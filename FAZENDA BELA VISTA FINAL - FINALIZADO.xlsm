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Pichau\Desktop\"/>
    </mc:Choice>
  </mc:AlternateContent>
  <xr:revisionPtr revIDLastSave="0" documentId="8_{5F0FD1D5-AD89-4104-A8B4-169C7588A906}" xr6:coauthVersionLast="47" xr6:coauthVersionMax="47" xr10:uidLastSave="{00000000-0000-0000-0000-000000000000}"/>
  <bookViews>
    <workbookView xWindow="-120" yWindow="-120" windowWidth="29040" windowHeight="16440" tabRatio="693" xr2:uid="{00000000-000D-0000-FFFF-FFFF00000000}"/>
  </bookViews>
  <sheets>
    <sheet name="CADASTROS" sheetId="5" r:id="rId1"/>
    <sheet name="Planilha6" sheetId="16" state="hidden" r:id="rId2"/>
    <sheet name="PLANILHA_COLHEITA_DIÁRIA" sheetId="4" state="hidden" r:id="rId3"/>
    <sheet name="PLANILHA_PAGAMENTO_SEMANAL" sheetId="1" state="hidden" r:id="rId4"/>
    <sheet name="CX ECONÔMICA" sheetId="11" state="hidden" r:id="rId5"/>
    <sheet name="BRADESCO" sheetId="12" state="hidden" r:id="rId6"/>
    <sheet name="BANCO DO BRASIL" sheetId="13" state="hidden" r:id="rId7"/>
    <sheet name="CONTROLE DE PRODUÇÃO" sheetId="9" r:id="rId8"/>
    <sheet name="Planilha7" sheetId="17" state="hidden" r:id="rId9"/>
    <sheet name="FOLHA DE PAGAMENTO" sheetId="10" r:id="rId10"/>
    <sheet name="Apoio" sheetId="7" r:id="rId11"/>
  </sheets>
  <definedNames>
    <definedName name="_xlnm._FilterDatabase" localSheetId="0" hidden="1">CADASTROS!$B$2:$H$42</definedName>
    <definedName name="_xlnm._FilterDatabase" localSheetId="3" hidden="1">PLANILHA_PAGAMENTO_SEMANAL!$A$7:$J$7</definedName>
    <definedName name="_xlnm.Print_Area" localSheetId="0">Tabela1[[#All],[ID]:[Nº Conta]]</definedName>
    <definedName name="_xlnm.Print_Area" localSheetId="7">'CONTROLE DE PRODUÇÃO'!$B$1:$AE$31</definedName>
    <definedName name="_xlnm.Print_Area" localSheetId="9">'FOLHA DE PAGAMENTO'!$A$1:$L$309</definedName>
    <definedName name="_xlnm.Print_Area" localSheetId="2">PLANILHA_COLHEITA_DIÁRIA!$A$1:$I$1031</definedName>
    <definedName name="_xlnm.Print_Area" localSheetId="3">PLANILHA_PAGAMENTO_SEMANAL!$A$1:$U$693</definedName>
    <definedName name="_xlnm.Criteria" localSheetId="3">PLANILHA_PAGAMENTO_SEMANAL!$F$8:$F$9</definedName>
    <definedName name="SegmentaçãodeDados_Banco">#N/A</definedName>
    <definedName name="_xlnm.Print_Titles" localSheetId="9">'FOLHA DE PAGAMENTO'!$1:$2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3" i="10" l="1"/>
  <c r="B14" i="10"/>
  <c r="F14" i="10" s="1"/>
  <c r="B15" i="10"/>
  <c r="K15" i="10" s="1"/>
  <c r="L15" i="10" s="1"/>
  <c r="B16" i="10"/>
  <c r="C16" i="10" s="1"/>
  <c r="B17" i="10"/>
  <c r="C17" i="10" s="1"/>
  <c r="B18" i="10"/>
  <c r="F18" i="10" s="1"/>
  <c r="B19" i="10"/>
  <c r="K19" i="10" s="1"/>
  <c r="L19" i="10" s="1"/>
  <c r="B20" i="10"/>
  <c r="C20" i="10" s="1"/>
  <c r="B21" i="10"/>
  <c r="C21" i="10" s="1"/>
  <c r="B22" i="10"/>
  <c r="E22" i="10" s="1"/>
  <c r="B23" i="10"/>
  <c r="K23" i="10" s="1"/>
  <c r="L23" i="10" s="1"/>
  <c r="E23" i="10"/>
  <c r="B24" i="10"/>
  <c r="C24" i="10" s="1"/>
  <c r="B25" i="10"/>
  <c r="C25" i="10" s="1"/>
  <c r="B26" i="10"/>
  <c r="E26" i="10" s="1"/>
  <c r="B27" i="10"/>
  <c r="H27" i="10" s="1"/>
  <c r="B28" i="10"/>
  <c r="C28" i="10" s="1"/>
  <c r="E28" i="10"/>
  <c r="H28" i="10"/>
  <c r="B29" i="10"/>
  <c r="C29" i="10" s="1"/>
  <c r="B30" i="10"/>
  <c r="E30" i="10" s="1"/>
  <c r="B31" i="10"/>
  <c r="H31" i="10" s="1"/>
  <c r="E31" i="10"/>
  <c r="B32" i="10"/>
  <c r="C32" i="10" s="1"/>
  <c r="E32" i="10"/>
  <c r="H32" i="10"/>
  <c r="B33" i="10"/>
  <c r="C33" i="10" s="1"/>
  <c r="E33" i="10"/>
  <c r="H33" i="10"/>
  <c r="B34" i="10"/>
  <c r="E34" i="10" s="1"/>
  <c r="B35" i="10"/>
  <c r="K35" i="10" s="1"/>
  <c r="L35" i="10" s="1"/>
  <c r="E35" i="10"/>
  <c r="B36" i="10"/>
  <c r="C36" i="10" s="1"/>
  <c r="E36" i="10"/>
  <c r="H36" i="10"/>
  <c r="B37" i="10"/>
  <c r="C37" i="10" s="1"/>
  <c r="E37" i="10"/>
  <c r="H37" i="10"/>
  <c r="B38" i="10"/>
  <c r="H38" i="10" s="1"/>
  <c r="B39" i="10"/>
  <c r="H39" i="10" s="1"/>
  <c r="E39" i="10"/>
  <c r="B40" i="10"/>
  <c r="C40" i="10" s="1"/>
  <c r="E40" i="10"/>
  <c r="H40" i="10"/>
  <c r="B41" i="10"/>
  <c r="C41" i="10" s="1"/>
  <c r="E41" i="10"/>
  <c r="H41" i="10"/>
  <c r="B42" i="10"/>
  <c r="E42" i="10" s="1"/>
  <c r="B43" i="10"/>
  <c r="K43" i="10" s="1"/>
  <c r="L43" i="10" s="1"/>
  <c r="E43" i="10"/>
  <c r="B11" i="10"/>
  <c r="F11" i="10" s="1"/>
  <c r="B12" i="10"/>
  <c r="D12" i="10" s="1"/>
  <c r="C22" i="9"/>
  <c r="C29" i="9"/>
  <c r="L22" i="9"/>
  <c r="L29" i="9"/>
  <c r="R22" i="9"/>
  <c r="R29" i="9"/>
  <c r="X22" i="9"/>
  <c r="X29" i="9"/>
  <c r="AD22" i="9"/>
  <c r="AD29" i="9"/>
  <c r="C30" i="9"/>
  <c r="L30" i="9"/>
  <c r="R30" i="9"/>
  <c r="X30" i="9"/>
  <c r="AD30" i="9"/>
  <c r="B9" i="10"/>
  <c r="G9" i="10" s="1"/>
  <c r="B10" i="10"/>
  <c r="E10" i="10" s="1"/>
  <c r="G31" i="9"/>
  <c r="H31" i="9"/>
  <c r="I31" i="9"/>
  <c r="J31" i="9"/>
  <c r="K31" i="9"/>
  <c r="C17" i="9"/>
  <c r="L17" i="9"/>
  <c r="R17" i="9"/>
  <c r="X17" i="9"/>
  <c r="AD17" i="9"/>
  <c r="C8" i="9"/>
  <c r="B44" i="10"/>
  <c r="E44" i="10" s="1"/>
  <c r="B45" i="10"/>
  <c r="C45" i="10" s="1"/>
  <c r="B46" i="10"/>
  <c r="B47" i="10"/>
  <c r="H47" i="10" s="1"/>
  <c r="B48" i="10"/>
  <c r="E48" i="10" s="1"/>
  <c r="B49" i="10"/>
  <c r="C49" i="10" s="1"/>
  <c r="B50" i="10"/>
  <c r="F50" i="10" s="1"/>
  <c r="E27" i="10" l="1"/>
  <c r="H24" i="10"/>
  <c r="E24" i="10"/>
  <c r="H29" i="10"/>
  <c r="E29" i="10"/>
  <c r="H23" i="10"/>
  <c r="H42" i="10"/>
  <c r="H43" i="10"/>
  <c r="E38" i="10"/>
  <c r="H35" i="10"/>
  <c r="H19" i="10"/>
  <c r="E18" i="10"/>
  <c r="H15" i="10"/>
  <c r="D42" i="10"/>
  <c r="G39" i="10"/>
  <c r="G35" i="10"/>
  <c r="D30" i="10"/>
  <c r="G27" i="10"/>
  <c r="D26" i="10"/>
  <c r="G23" i="10"/>
  <c r="D22" i="10"/>
  <c r="G19" i="10"/>
  <c r="D18" i="10"/>
  <c r="G15" i="10"/>
  <c r="D14" i="10"/>
  <c r="E14" i="10"/>
  <c r="G43" i="10"/>
  <c r="D38" i="10"/>
  <c r="D34" i="10"/>
  <c r="G31" i="10"/>
  <c r="F43" i="10"/>
  <c r="C42" i="10"/>
  <c r="K40" i="10"/>
  <c r="L40" i="10" s="1"/>
  <c r="F39" i="10"/>
  <c r="C38" i="10"/>
  <c r="K36" i="10"/>
  <c r="L36" i="10" s="1"/>
  <c r="F35" i="10"/>
  <c r="C34" i="10"/>
  <c r="K32" i="10"/>
  <c r="L32" i="10" s="1"/>
  <c r="F31" i="10"/>
  <c r="C30" i="10"/>
  <c r="K28" i="10"/>
  <c r="L28" i="10" s="1"/>
  <c r="F27" i="10"/>
  <c r="C26" i="10"/>
  <c r="K24" i="10"/>
  <c r="L24" i="10" s="1"/>
  <c r="F23" i="10"/>
  <c r="C22" i="10"/>
  <c r="K20" i="10"/>
  <c r="L20" i="10" s="1"/>
  <c r="F19" i="10"/>
  <c r="C18" i="10"/>
  <c r="K16" i="10"/>
  <c r="L16" i="10" s="1"/>
  <c r="F15" i="10"/>
  <c r="H16" i="10"/>
  <c r="E15" i="10"/>
  <c r="D43" i="10"/>
  <c r="G40" i="10"/>
  <c r="D39" i="10"/>
  <c r="G36" i="10"/>
  <c r="D35" i="10"/>
  <c r="G32" i="10"/>
  <c r="D31" i="10"/>
  <c r="G28" i="10"/>
  <c r="D27" i="10"/>
  <c r="G24" i="10"/>
  <c r="D23" i="10"/>
  <c r="G20" i="10"/>
  <c r="D19" i="10"/>
  <c r="G16" i="10"/>
  <c r="D15" i="10"/>
  <c r="H20" i="10"/>
  <c r="E19" i="10"/>
  <c r="C43" i="10"/>
  <c r="K41" i="10"/>
  <c r="L41" i="10" s="1"/>
  <c r="F40" i="10"/>
  <c r="C39" i="10"/>
  <c r="K37" i="10"/>
  <c r="L37" i="10" s="1"/>
  <c r="F36" i="10"/>
  <c r="C35" i="10"/>
  <c r="K33" i="10"/>
  <c r="L33" i="10" s="1"/>
  <c r="F32" i="10"/>
  <c r="C31" i="10"/>
  <c r="K29" i="10"/>
  <c r="L29" i="10" s="1"/>
  <c r="F28" i="10"/>
  <c r="C27" i="10"/>
  <c r="K25" i="10"/>
  <c r="L25" i="10" s="1"/>
  <c r="F24" i="10"/>
  <c r="C23" i="10"/>
  <c r="K21" i="10"/>
  <c r="L21" i="10" s="1"/>
  <c r="F20" i="10"/>
  <c r="C19" i="10"/>
  <c r="K17" i="10"/>
  <c r="L17" i="10" s="1"/>
  <c r="F16" i="10"/>
  <c r="C15" i="10"/>
  <c r="H13" i="10"/>
  <c r="H21" i="10"/>
  <c r="E20" i="10"/>
  <c r="G33" i="10"/>
  <c r="H25" i="10"/>
  <c r="H17" i="10"/>
  <c r="E16" i="10"/>
  <c r="G41" i="10"/>
  <c r="D40" i="10"/>
  <c r="G37" i="10"/>
  <c r="D36" i="10"/>
  <c r="D32" i="10"/>
  <c r="G29" i="10"/>
  <c r="D28" i="10"/>
  <c r="G25" i="10"/>
  <c r="D24" i="10"/>
  <c r="G21" i="10"/>
  <c r="D20" i="10"/>
  <c r="G17" i="10"/>
  <c r="D16" i="10"/>
  <c r="G13" i="10"/>
  <c r="K42" i="10"/>
  <c r="L42" i="10" s="1"/>
  <c r="F41" i="10"/>
  <c r="K38" i="10"/>
  <c r="L38" i="10" s="1"/>
  <c r="F37" i="10"/>
  <c r="K34" i="10"/>
  <c r="L34" i="10" s="1"/>
  <c r="F33" i="10"/>
  <c r="K30" i="10"/>
  <c r="L30" i="10" s="1"/>
  <c r="F29" i="10"/>
  <c r="K26" i="10"/>
  <c r="L26" i="10" s="1"/>
  <c r="F25" i="10"/>
  <c r="K22" i="10"/>
  <c r="L22" i="10" s="1"/>
  <c r="F21" i="10"/>
  <c r="K18" i="10"/>
  <c r="L18" i="10" s="1"/>
  <c r="F17" i="10"/>
  <c r="F13" i="10"/>
  <c r="H14" i="10"/>
  <c r="E13" i="10"/>
  <c r="H34" i="10"/>
  <c r="H30" i="10"/>
  <c r="H26" i="10"/>
  <c r="E25" i="10"/>
  <c r="H22" i="10"/>
  <c r="E21" i="10"/>
  <c r="E17" i="10"/>
  <c r="G42" i="10"/>
  <c r="D41" i="10"/>
  <c r="G38" i="10"/>
  <c r="D37" i="10"/>
  <c r="G34" i="10"/>
  <c r="D33" i="10"/>
  <c r="G30" i="10"/>
  <c r="D29" i="10"/>
  <c r="G26" i="10"/>
  <c r="D25" i="10"/>
  <c r="G22" i="10"/>
  <c r="D21" i="10"/>
  <c r="G18" i="10"/>
  <c r="D17" i="10"/>
  <c r="G14" i="10"/>
  <c r="D13" i="10"/>
  <c r="H18" i="10"/>
  <c r="F42" i="10"/>
  <c r="K39" i="10"/>
  <c r="L39" i="10" s="1"/>
  <c r="F38" i="10"/>
  <c r="F34" i="10"/>
  <c r="K31" i="10"/>
  <c r="L31" i="10" s="1"/>
  <c r="F30" i="10"/>
  <c r="K27" i="10"/>
  <c r="L27" i="10" s="1"/>
  <c r="F26" i="10"/>
  <c r="F22" i="10"/>
  <c r="G12" i="10"/>
  <c r="E12" i="10"/>
  <c r="E11" i="10"/>
  <c r="H12" i="10"/>
  <c r="F12" i="10"/>
  <c r="D11" i="10"/>
  <c r="H11" i="10"/>
  <c r="G11" i="10"/>
  <c r="AE29" i="9"/>
  <c r="AE22" i="9"/>
  <c r="AE30" i="9"/>
  <c r="D10" i="10"/>
  <c r="H9" i="10"/>
  <c r="F9" i="10"/>
  <c r="H10" i="10"/>
  <c r="E9" i="10"/>
  <c r="G10" i="10"/>
  <c r="D9" i="10"/>
  <c r="F10" i="10"/>
  <c r="C44" i="10"/>
  <c r="D44" i="10"/>
  <c r="C48" i="10"/>
  <c r="AE17" i="9"/>
  <c r="G48" i="10"/>
  <c r="F48" i="10"/>
  <c r="D48" i="10"/>
  <c r="H44" i="10"/>
  <c r="G44" i="10"/>
  <c r="G47" i="10"/>
  <c r="F47" i="10"/>
  <c r="K47" i="10"/>
  <c r="L47" i="10" s="1"/>
  <c r="E47" i="10"/>
  <c r="D47" i="10"/>
  <c r="H48" i="10"/>
  <c r="C47" i="10"/>
  <c r="F44" i="10"/>
  <c r="C46" i="10"/>
  <c r="G46" i="10"/>
  <c r="D46" i="10"/>
  <c r="H46" i="10"/>
  <c r="K50" i="10"/>
  <c r="L50" i="10" s="1"/>
  <c r="D49" i="10"/>
  <c r="H49" i="10"/>
  <c r="E49" i="10"/>
  <c r="K49" i="10"/>
  <c r="L49" i="10" s="1"/>
  <c r="K46" i="10"/>
  <c r="L46" i="10" s="1"/>
  <c r="D45" i="10"/>
  <c r="H45" i="10"/>
  <c r="E45" i="10"/>
  <c r="K45" i="10"/>
  <c r="L45" i="10" s="1"/>
  <c r="G49" i="10"/>
  <c r="F46" i="10"/>
  <c r="G45" i="10"/>
  <c r="C50" i="10"/>
  <c r="G50" i="10"/>
  <c r="D50" i="10"/>
  <c r="H50" i="10"/>
  <c r="E50" i="10"/>
  <c r="F49" i="10"/>
  <c r="E46" i="10"/>
  <c r="F45" i="10"/>
  <c r="K48" i="10"/>
  <c r="L48" i="10" s="1"/>
  <c r="K44" i="10"/>
  <c r="L44" i="10" s="1"/>
  <c r="B51" i="10"/>
  <c r="G51" i="10" s="1"/>
  <c r="B52" i="10"/>
  <c r="D52" i="10" s="1"/>
  <c r="B53" i="10"/>
  <c r="K53" i="10" s="1"/>
  <c r="L53" i="10" s="1"/>
  <c r="B54" i="10"/>
  <c r="C54" i="10" s="1"/>
  <c r="B55" i="10"/>
  <c r="G55" i="10" s="1"/>
  <c r="B56" i="10"/>
  <c r="D56" i="10" s="1"/>
  <c r="B57" i="10"/>
  <c r="K57" i="10" s="1"/>
  <c r="L57" i="10" s="1"/>
  <c r="B58" i="10"/>
  <c r="C58" i="10" s="1"/>
  <c r="B59" i="10"/>
  <c r="G59" i="10" s="1"/>
  <c r="B60" i="10"/>
  <c r="C60" i="10" s="1"/>
  <c r="B61" i="10"/>
  <c r="K61" i="10" s="1"/>
  <c r="L61" i="10" s="1"/>
  <c r="B62" i="10"/>
  <c r="C62" i="10" s="1"/>
  <c r="B63" i="10"/>
  <c r="G63" i="10" s="1"/>
  <c r="B64" i="10"/>
  <c r="D64" i="10" s="1"/>
  <c r="B65" i="10"/>
  <c r="K65" i="10" s="1"/>
  <c r="L65" i="10" s="1"/>
  <c r="B66" i="10"/>
  <c r="C66" i="10" s="1"/>
  <c r="B67" i="10"/>
  <c r="K67" i="10" s="1"/>
  <c r="L67" i="10" s="1"/>
  <c r="B68" i="10"/>
  <c r="E68" i="10" s="1"/>
  <c r="B69" i="10"/>
  <c r="K69" i="10" s="1"/>
  <c r="L69" i="10" s="1"/>
  <c r="B70" i="10"/>
  <c r="C70" i="10" s="1"/>
  <c r="B71" i="10"/>
  <c r="K71" i="10" s="1"/>
  <c r="L71" i="10" s="1"/>
  <c r="B72" i="10"/>
  <c r="E72" i="10" s="1"/>
  <c r="B73" i="10"/>
  <c r="K73" i="10" s="1"/>
  <c r="L73" i="10" s="1"/>
  <c r="B74" i="10"/>
  <c r="G74" i="10" s="1"/>
  <c r="B75" i="10"/>
  <c r="G75" i="10" s="1"/>
  <c r="B76" i="10"/>
  <c r="C76" i="10" s="1"/>
  <c r="B77" i="10"/>
  <c r="K77" i="10" s="1"/>
  <c r="L77" i="10" s="1"/>
  <c r="B78" i="10"/>
  <c r="D78" i="10" s="1"/>
  <c r="B79" i="10"/>
  <c r="G79" i="10" s="1"/>
  <c r="B80" i="10"/>
  <c r="C80" i="10" s="1"/>
  <c r="B81" i="10"/>
  <c r="K81" i="10" s="1"/>
  <c r="L81" i="10" s="1"/>
  <c r="B82" i="10"/>
  <c r="E82" i="10" s="1"/>
  <c r="B83" i="10"/>
  <c r="G83" i="10" s="1"/>
  <c r="B84" i="10"/>
  <c r="E84" i="10" s="1"/>
  <c r="B85" i="10"/>
  <c r="K85" i="10" s="1"/>
  <c r="L85" i="10" s="1"/>
  <c r="B86" i="10"/>
  <c r="E86" i="10" s="1"/>
  <c r="B87" i="10"/>
  <c r="H87" i="10" s="1"/>
  <c r="B88" i="10"/>
  <c r="D88" i="10" s="1"/>
  <c r="B89" i="10"/>
  <c r="K89" i="10" s="1"/>
  <c r="L89" i="10" s="1"/>
  <c r="B90" i="10"/>
  <c r="K90" i="10" s="1"/>
  <c r="L90" i="10" s="1"/>
  <c r="B91" i="10"/>
  <c r="F91" i="10" s="1"/>
  <c r="B92" i="10"/>
  <c r="E92" i="10" s="1"/>
  <c r="B93" i="10"/>
  <c r="K93" i="10" s="1"/>
  <c r="L93" i="10" s="1"/>
  <c r="B94" i="10"/>
  <c r="E94" i="10" s="1"/>
  <c r="B95" i="10"/>
  <c r="F95" i="10" s="1"/>
  <c r="B96" i="10"/>
  <c r="D96" i="10" s="1"/>
  <c r="B97" i="10"/>
  <c r="K97" i="10" s="1"/>
  <c r="L97" i="10" s="1"/>
  <c r="B98" i="10"/>
  <c r="F98" i="10" s="1"/>
  <c r="B99" i="10"/>
  <c r="G99" i="10" s="1"/>
  <c r="B100" i="10"/>
  <c r="E100" i="10" s="1"/>
  <c r="B101" i="10"/>
  <c r="K101" i="10" s="1"/>
  <c r="L101" i="10" s="1"/>
  <c r="B102" i="10"/>
  <c r="F102" i="10" s="1"/>
  <c r="B103" i="10"/>
  <c r="G103" i="10" s="1"/>
  <c r="B104" i="10"/>
  <c r="C104" i="10" s="1"/>
  <c r="B105" i="10"/>
  <c r="K105" i="10" s="1"/>
  <c r="L105" i="10" s="1"/>
  <c r="B106" i="10"/>
  <c r="E106" i="10" s="1"/>
  <c r="B107" i="10"/>
  <c r="F107" i="10" s="1"/>
  <c r="B108" i="10"/>
  <c r="D108" i="10" s="1"/>
  <c r="B109" i="10"/>
  <c r="K109" i="10" s="1"/>
  <c r="L109" i="10" s="1"/>
  <c r="B110" i="10"/>
  <c r="C110" i="10" s="1"/>
  <c r="B111" i="10"/>
  <c r="H111" i="10" s="1"/>
  <c r="B112" i="10"/>
  <c r="D112" i="10" s="1"/>
  <c r="B113" i="10"/>
  <c r="K113" i="10" s="1"/>
  <c r="L113" i="10" s="1"/>
  <c r="B114" i="10"/>
  <c r="F114" i="10" s="1"/>
  <c r="B115" i="10"/>
  <c r="G115" i="10" s="1"/>
  <c r="B116" i="10"/>
  <c r="C116" i="10" s="1"/>
  <c r="B117" i="10"/>
  <c r="K117" i="10" s="1"/>
  <c r="L117" i="10" s="1"/>
  <c r="B118" i="10"/>
  <c r="D118" i="10" s="1"/>
  <c r="B119" i="10"/>
  <c r="F119" i="10" s="1"/>
  <c r="B120" i="10"/>
  <c r="D120" i="10" s="1"/>
  <c r="B121" i="10"/>
  <c r="K121" i="10" s="1"/>
  <c r="L121" i="10" s="1"/>
  <c r="B122" i="10"/>
  <c r="F122" i="10" s="1"/>
  <c r="B123" i="10"/>
  <c r="G123" i="10" s="1"/>
  <c r="B124" i="10"/>
  <c r="H124" i="10" s="1"/>
  <c r="B125" i="10"/>
  <c r="D125" i="10" s="1"/>
  <c r="B126" i="10"/>
  <c r="C126" i="10" s="1"/>
  <c r="B127" i="10"/>
  <c r="F127" i="10" s="1"/>
  <c r="B128" i="10"/>
  <c r="K128" i="10" s="1"/>
  <c r="L128" i="10" s="1"/>
  <c r="B129" i="10"/>
  <c r="D129" i="10" s="1"/>
  <c r="B130" i="10"/>
  <c r="C130" i="10" s="1"/>
  <c r="B131" i="10"/>
  <c r="F131" i="10" s="1"/>
  <c r="B132" i="10"/>
  <c r="K132" i="10" s="1"/>
  <c r="L132" i="10" s="1"/>
  <c r="B133" i="10"/>
  <c r="D133" i="10" s="1"/>
  <c r="C19" i="9"/>
  <c r="L19" i="9"/>
  <c r="R19" i="9"/>
  <c r="X19" i="9"/>
  <c r="AD19" i="9"/>
  <c r="C24" i="9"/>
  <c r="L24" i="9"/>
  <c r="R24" i="9"/>
  <c r="X24" i="9"/>
  <c r="AD24" i="9"/>
  <c r="L9" i="9"/>
  <c r="B134" i="10"/>
  <c r="B135" i="10"/>
  <c r="D135" i="10" s="1"/>
  <c r="B136" i="10"/>
  <c r="F136" i="10" s="1"/>
  <c r="B137" i="10"/>
  <c r="H137" i="10" s="1"/>
  <c r="B138" i="10"/>
  <c r="F138" i="10" s="1"/>
  <c r="B139" i="10"/>
  <c r="F139" i="10" s="1"/>
  <c r="B140" i="10"/>
  <c r="F140" i="10" s="1"/>
  <c r="B141" i="10"/>
  <c r="H141" i="10" s="1"/>
  <c r="B142" i="10"/>
  <c r="E142" i="10" s="1"/>
  <c r="B143" i="10"/>
  <c r="F143" i="10" s="1"/>
  <c r="B144" i="10"/>
  <c r="C144" i="10" s="1"/>
  <c r="B145" i="10"/>
  <c r="F145" i="10" s="1"/>
  <c r="B146" i="10"/>
  <c r="C146" i="10" s="1"/>
  <c r="B147" i="10"/>
  <c r="D147" i="10" s="1"/>
  <c r="B148" i="10"/>
  <c r="B149" i="10"/>
  <c r="E149" i="10" s="1"/>
  <c r="B150" i="10"/>
  <c r="C150" i="10" s="1"/>
  <c r="B151" i="10"/>
  <c r="E151" i="10" s="1"/>
  <c r="B152" i="10"/>
  <c r="G152" i="10" s="1"/>
  <c r="B153" i="10"/>
  <c r="K153" i="10" s="1"/>
  <c r="L153" i="10" s="1"/>
  <c r="B154" i="10"/>
  <c r="K154" i="10" s="1"/>
  <c r="L154" i="10" s="1"/>
  <c r="B155" i="10"/>
  <c r="C155" i="10" s="1"/>
  <c r="B156" i="10"/>
  <c r="G156" i="10" s="1"/>
  <c r="B157" i="10"/>
  <c r="F157" i="10" s="1"/>
  <c r="B158" i="10"/>
  <c r="F158" i="10" s="1"/>
  <c r="B159" i="10"/>
  <c r="C159" i="10" s="1"/>
  <c r="B160" i="10"/>
  <c r="F160" i="10" s="1"/>
  <c r="B161" i="10"/>
  <c r="E161" i="10" s="1"/>
  <c r="B162" i="10"/>
  <c r="G162" i="10" s="1"/>
  <c r="B163" i="10"/>
  <c r="D163" i="10" s="1"/>
  <c r="B164" i="10"/>
  <c r="F164" i="10" s="1"/>
  <c r="B165" i="10"/>
  <c r="F165" i="10" s="1"/>
  <c r="B166" i="10"/>
  <c r="D166" i="10" s="1"/>
  <c r="B167" i="10"/>
  <c r="C167" i="10" s="1"/>
  <c r="B168" i="10"/>
  <c r="F168" i="10" s="1"/>
  <c r="B169" i="10"/>
  <c r="E169" i="10" s="1"/>
  <c r="B170" i="10"/>
  <c r="C170" i="10" s="1"/>
  <c r="B171" i="10"/>
  <c r="E171" i="10" s="1"/>
  <c r="B172" i="10"/>
  <c r="F172" i="10" s="1"/>
  <c r="B173" i="10"/>
  <c r="E173" i="10" s="1"/>
  <c r="B174" i="10"/>
  <c r="C174" i="10" s="1"/>
  <c r="B175" i="10"/>
  <c r="E175" i="10" s="1"/>
  <c r="B176" i="10"/>
  <c r="B177" i="10"/>
  <c r="F177" i="10" s="1"/>
  <c r="B178" i="10"/>
  <c r="F178" i="10" s="1"/>
  <c r="B179" i="10"/>
  <c r="C179" i="10" s="1"/>
  <c r="B180" i="10"/>
  <c r="F180" i="10" s="1"/>
  <c r="B181" i="10"/>
  <c r="F181" i="10" s="1"/>
  <c r="B182" i="10"/>
  <c r="H182" i="10" s="1"/>
  <c r="B183" i="10"/>
  <c r="C183" i="10" s="1"/>
  <c r="B184" i="10"/>
  <c r="C184" i="10" s="1"/>
  <c r="B185" i="10"/>
  <c r="K185" i="10" s="1"/>
  <c r="L185" i="10" s="1"/>
  <c r="B186" i="10"/>
  <c r="B187" i="10"/>
  <c r="E187" i="10" s="1"/>
  <c r="B188" i="10"/>
  <c r="C188" i="10" s="1"/>
  <c r="B189" i="10"/>
  <c r="F189" i="10" s="1"/>
  <c r="B190" i="10"/>
  <c r="E190" i="10" s="1"/>
  <c r="B191" i="10"/>
  <c r="H191" i="10" s="1"/>
  <c r="B192" i="10"/>
  <c r="G192" i="10" s="1"/>
  <c r="B193" i="10"/>
  <c r="F193" i="10" s="1"/>
  <c r="B194" i="10"/>
  <c r="E194" i="10" s="1"/>
  <c r="B195" i="10"/>
  <c r="D195" i="10" s="1"/>
  <c r="B196" i="10"/>
  <c r="G196" i="10" s="1"/>
  <c r="B197" i="10"/>
  <c r="D197" i="10" s="1"/>
  <c r="B198" i="10"/>
  <c r="F198" i="10" s="1"/>
  <c r="B199" i="10"/>
  <c r="D199" i="10" s="1"/>
  <c r="B200" i="10"/>
  <c r="G200" i="10" s="1"/>
  <c r="B201" i="10"/>
  <c r="H201" i="10" s="1"/>
  <c r="B202" i="10"/>
  <c r="D202" i="10" s="1"/>
  <c r="B203" i="10"/>
  <c r="H203" i="10" s="1"/>
  <c r="B204" i="10"/>
  <c r="C204" i="10" s="1"/>
  <c r="B205" i="10"/>
  <c r="H205" i="10" s="1"/>
  <c r="B206" i="10"/>
  <c r="F206" i="10" s="1"/>
  <c r="B207" i="10"/>
  <c r="G207" i="10" s="1"/>
  <c r="B208" i="10"/>
  <c r="G208" i="10" s="1"/>
  <c r="B209" i="10"/>
  <c r="H209" i="10" s="1"/>
  <c r="B210" i="10"/>
  <c r="F210" i="10" s="1"/>
  <c r="B211" i="10"/>
  <c r="B212" i="10"/>
  <c r="K212" i="10" s="1"/>
  <c r="L212" i="10" s="1"/>
  <c r="B213" i="10"/>
  <c r="K213" i="10" s="1"/>
  <c r="L213" i="10" s="1"/>
  <c r="B214" i="10"/>
  <c r="C214" i="10" s="1"/>
  <c r="B215" i="10"/>
  <c r="H215" i="10" s="1"/>
  <c r="B216" i="10"/>
  <c r="E216" i="10" s="1"/>
  <c r="B217" i="10"/>
  <c r="K217" i="10" s="1"/>
  <c r="L217" i="10" s="1"/>
  <c r="B218" i="10"/>
  <c r="G218" i="10" s="1"/>
  <c r="B219" i="10"/>
  <c r="G219" i="10" s="1"/>
  <c r="B220" i="10"/>
  <c r="G220" i="10" s="1"/>
  <c r="B221" i="10"/>
  <c r="E221" i="10" s="1"/>
  <c r="B222" i="10"/>
  <c r="E222" i="10" s="1"/>
  <c r="B223" i="10"/>
  <c r="C223" i="10" s="1"/>
  <c r="B224" i="10"/>
  <c r="G224" i="10" s="1"/>
  <c r="B225" i="10"/>
  <c r="E225" i="10" s="1"/>
  <c r="B226" i="10"/>
  <c r="F226" i="10" s="1"/>
  <c r="B227" i="10"/>
  <c r="G227" i="10" s="1"/>
  <c r="B228" i="10"/>
  <c r="C228" i="10" s="1"/>
  <c r="B229" i="10"/>
  <c r="H229" i="10" s="1"/>
  <c r="B230" i="10"/>
  <c r="C230" i="10" s="1"/>
  <c r="B231" i="10"/>
  <c r="H231" i="10" s="1"/>
  <c r="B232" i="10"/>
  <c r="E232" i="10" s="1"/>
  <c r="B233" i="10"/>
  <c r="D233" i="10" s="1"/>
  <c r="B234" i="10"/>
  <c r="G234" i="10" s="1"/>
  <c r="B235" i="10"/>
  <c r="G235" i="10" s="1"/>
  <c r="B236" i="10"/>
  <c r="K236" i="10" s="1"/>
  <c r="L236" i="10" s="1"/>
  <c r="B237" i="10"/>
  <c r="H237" i="10" s="1"/>
  <c r="B238" i="10"/>
  <c r="D238" i="10" s="1"/>
  <c r="B239" i="10"/>
  <c r="G239" i="10" s="1"/>
  <c r="B240" i="10"/>
  <c r="E240" i="10" s="1"/>
  <c r="B241" i="10"/>
  <c r="E241" i="10" s="1"/>
  <c r="B242" i="10"/>
  <c r="K242" i="10" s="1"/>
  <c r="L242" i="10" s="1"/>
  <c r="B243" i="10"/>
  <c r="B244" i="10"/>
  <c r="C244" i="10" s="1"/>
  <c r="B245" i="10"/>
  <c r="E245" i="10" s="1"/>
  <c r="B246" i="10"/>
  <c r="C246" i="10" s="1"/>
  <c r="B247" i="10"/>
  <c r="H247" i="10" s="1"/>
  <c r="B248" i="10"/>
  <c r="E248" i="10" s="1"/>
  <c r="B249" i="10"/>
  <c r="F249" i="10" s="1"/>
  <c r="B250" i="10"/>
  <c r="G250" i="10" s="1"/>
  <c r="B251" i="10"/>
  <c r="G251" i="10" s="1"/>
  <c r="B252" i="10"/>
  <c r="K252" i="10" s="1"/>
  <c r="L252" i="10" s="1"/>
  <c r="B253" i="10"/>
  <c r="H253" i="10" s="1"/>
  <c r="B254" i="10"/>
  <c r="E254" i="10" s="1"/>
  <c r="B255" i="10"/>
  <c r="C255" i="10" s="1"/>
  <c r="B256" i="10"/>
  <c r="K256" i="10" s="1"/>
  <c r="L256" i="10" s="1"/>
  <c r="B257" i="10"/>
  <c r="H257" i="10" s="1"/>
  <c r="B258" i="10"/>
  <c r="G258" i="10" s="1"/>
  <c r="B259" i="10"/>
  <c r="G259" i="10" s="1"/>
  <c r="B260" i="10"/>
  <c r="G260" i="10" s="1"/>
  <c r="B261" i="10"/>
  <c r="H261" i="10" s="1"/>
  <c r="B262" i="10"/>
  <c r="E262" i="10" s="1"/>
  <c r="B263" i="10"/>
  <c r="F263" i="10" s="1"/>
  <c r="B264" i="10"/>
  <c r="B265" i="10"/>
  <c r="F265" i="10" s="1"/>
  <c r="B266" i="10"/>
  <c r="K266" i="10" s="1"/>
  <c r="L266" i="10" s="1"/>
  <c r="B267" i="10"/>
  <c r="G267" i="10" s="1"/>
  <c r="B268" i="10"/>
  <c r="K268" i="10" s="1"/>
  <c r="L268" i="10" s="1"/>
  <c r="B269" i="10"/>
  <c r="E269" i="10" s="1"/>
  <c r="B270" i="10"/>
  <c r="D270" i="10" s="1"/>
  <c r="B271" i="10"/>
  <c r="C271" i="10" s="1"/>
  <c r="B272" i="10"/>
  <c r="E272" i="10" s="1"/>
  <c r="B273" i="10"/>
  <c r="K273" i="10" s="1"/>
  <c r="L273" i="10" s="1"/>
  <c r="B274" i="10"/>
  <c r="F274" i="10" s="1"/>
  <c r="B275" i="10"/>
  <c r="G275" i="10" s="1"/>
  <c r="B276" i="10"/>
  <c r="G276" i="10" s="1"/>
  <c r="B277" i="10"/>
  <c r="K277" i="10" s="1"/>
  <c r="L277" i="10" s="1"/>
  <c r="B278" i="10"/>
  <c r="G278" i="10" s="1"/>
  <c r="B279" i="10"/>
  <c r="G279" i="10" s="1"/>
  <c r="B280" i="10"/>
  <c r="G280" i="10" s="1"/>
  <c r="B281" i="10"/>
  <c r="K281" i="10" s="1"/>
  <c r="L281" i="10" s="1"/>
  <c r="B282" i="10"/>
  <c r="F282" i="10" s="1"/>
  <c r="B283" i="10"/>
  <c r="G283" i="10" s="1"/>
  <c r="B284" i="10"/>
  <c r="F284" i="10" s="1"/>
  <c r="B285" i="10"/>
  <c r="F285" i="10" s="1"/>
  <c r="B286" i="10"/>
  <c r="C286" i="10" s="1"/>
  <c r="B287" i="10"/>
  <c r="C287" i="10" s="1"/>
  <c r="B288" i="10"/>
  <c r="C288" i="10" s="1"/>
  <c r="B289" i="10"/>
  <c r="E289" i="10" s="1"/>
  <c r="B290" i="10"/>
  <c r="C290" i="10" s="1"/>
  <c r="B291" i="10"/>
  <c r="G291" i="10" s="1"/>
  <c r="B292" i="10"/>
  <c r="C292" i="10" s="1"/>
  <c r="B293" i="10"/>
  <c r="D293" i="10" s="1"/>
  <c r="B294" i="10"/>
  <c r="K294" i="10" s="1"/>
  <c r="L294" i="10" s="1"/>
  <c r="B295" i="10"/>
  <c r="G295" i="10" s="1"/>
  <c r="B296" i="10"/>
  <c r="F296" i="10" s="1"/>
  <c r="B297" i="10"/>
  <c r="D297" i="10" s="1"/>
  <c r="C28" i="9"/>
  <c r="C12" i="9"/>
  <c r="G73" i="10" l="1"/>
  <c r="C118" i="10"/>
  <c r="C121" i="10"/>
  <c r="H101" i="10"/>
  <c r="K133" i="10"/>
  <c r="L133" i="10" s="1"/>
  <c r="C108" i="10"/>
  <c r="H71" i="10"/>
  <c r="H67" i="10"/>
  <c r="C124" i="10"/>
  <c r="F115" i="10"/>
  <c r="F103" i="10"/>
  <c r="E69" i="10"/>
  <c r="F128" i="10"/>
  <c r="C100" i="10"/>
  <c r="K111" i="10"/>
  <c r="L111" i="10" s="1"/>
  <c r="G93" i="10"/>
  <c r="G111" i="10"/>
  <c r="E93" i="10"/>
  <c r="C89" i="10"/>
  <c r="H117" i="10"/>
  <c r="F123" i="10"/>
  <c r="G122" i="10"/>
  <c r="C129" i="10"/>
  <c r="E122" i="10"/>
  <c r="G98" i="10"/>
  <c r="E98" i="10"/>
  <c r="G90" i="10"/>
  <c r="C112" i="10"/>
  <c r="D98" i="10"/>
  <c r="D90" i="10"/>
  <c r="H123" i="10"/>
  <c r="C84" i="10"/>
  <c r="E121" i="10"/>
  <c r="C106" i="10"/>
  <c r="F65" i="10"/>
  <c r="G128" i="10"/>
  <c r="K91" i="10"/>
  <c r="L91" i="10" s="1"/>
  <c r="C65" i="10"/>
  <c r="G125" i="10"/>
  <c r="K99" i="10"/>
  <c r="L99" i="10" s="1"/>
  <c r="D94" i="10"/>
  <c r="K94" i="10"/>
  <c r="L94" i="10" s="1"/>
  <c r="G94" i="10"/>
  <c r="E125" i="10"/>
  <c r="K112" i="10"/>
  <c r="L112" i="10" s="1"/>
  <c r="H99" i="10"/>
  <c r="C94" i="10"/>
  <c r="E60" i="10"/>
  <c r="G77" i="10"/>
  <c r="F69" i="10"/>
  <c r="K62" i="10"/>
  <c r="L62" i="10" s="1"/>
  <c r="E114" i="10"/>
  <c r="D109" i="10"/>
  <c r="K86" i="10"/>
  <c r="L86" i="10" s="1"/>
  <c r="F78" i="10"/>
  <c r="F124" i="10"/>
  <c r="D114" i="10"/>
  <c r="C109" i="10"/>
  <c r="D102" i="10"/>
  <c r="C92" i="10"/>
  <c r="F86" i="10"/>
  <c r="E78" i="10"/>
  <c r="D124" i="10"/>
  <c r="K120" i="10"/>
  <c r="L120" i="10" s="1"/>
  <c r="C114" i="10"/>
  <c r="D86" i="10"/>
  <c r="C78" i="10"/>
  <c r="K70" i="10"/>
  <c r="L70" i="10" s="1"/>
  <c r="D128" i="10"/>
  <c r="K123" i="10"/>
  <c r="L123" i="10" s="1"/>
  <c r="C120" i="10"/>
  <c r="K108" i="10"/>
  <c r="L108" i="10" s="1"/>
  <c r="F99" i="10"/>
  <c r="F94" i="10"/>
  <c r="H90" i="10"/>
  <c r="C86" i="10"/>
  <c r="K78" i="10"/>
  <c r="L78" i="10" s="1"/>
  <c r="E73" i="10"/>
  <c r="D60" i="10"/>
  <c r="H106" i="10"/>
  <c r="G57" i="10"/>
  <c r="G118" i="10"/>
  <c r="H114" i="10"/>
  <c r="G106" i="10"/>
  <c r="F57" i="10"/>
  <c r="C125" i="10"/>
  <c r="D122" i="10"/>
  <c r="F118" i="10"/>
  <c r="G114" i="10"/>
  <c r="F111" i="10"/>
  <c r="F106" i="10"/>
  <c r="E97" i="10"/>
  <c r="D93" i="10"/>
  <c r="G82" i="10"/>
  <c r="H63" i="10"/>
  <c r="D57" i="10"/>
  <c r="K118" i="10"/>
  <c r="L118" i="10" s="1"/>
  <c r="H118" i="10"/>
  <c r="K114" i="10"/>
  <c r="L114" i="10" s="1"/>
  <c r="E118" i="10"/>
  <c r="D106" i="10"/>
  <c r="D100" i="10"/>
  <c r="F82" i="10"/>
  <c r="C57" i="10"/>
  <c r="H86" i="10"/>
  <c r="E74" i="10"/>
  <c r="C56" i="10"/>
  <c r="C132" i="10"/>
  <c r="C128" i="10"/>
  <c r="H107" i="10"/>
  <c r="F101" i="10"/>
  <c r="D84" i="10"/>
  <c r="E80" i="10"/>
  <c r="H66" i="10"/>
  <c r="G107" i="10"/>
  <c r="K75" i="10"/>
  <c r="L75" i="10" s="1"/>
  <c r="F66" i="10"/>
  <c r="E131" i="10"/>
  <c r="H75" i="10"/>
  <c r="E66" i="10"/>
  <c r="D131" i="10"/>
  <c r="H119" i="10"/>
  <c r="F113" i="10"/>
  <c r="H110" i="10"/>
  <c r="K103" i="10"/>
  <c r="L103" i="10" s="1"/>
  <c r="K96" i="10"/>
  <c r="L96" i="10" s="1"/>
  <c r="D61" i="10"/>
  <c r="C131" i="10"/>
  <c r="H125" i="10"/>
  <c r="G119" i="10"/>
  <c r="E113" i="10"/>
  <c r="F110" i="10"/>
  <c r="K106" i="10"/>
  <c r="L106" i="10" s="1"/>
  <c r="H103" i="10"/>
  <c r="C96" i="10"/>
  <c r="K82" i="10"/>
  <c r="L82" i="10" s="1"/>
  <c r="G78" i="10"/>
  <c r="F74" i="10"/>
  <c r="H65" i="10"/>
  <c r="C61" i="10"/>
  <c r="E112" i="10"/>
  <c r="G102" i="10"/>
  <c r="D82" i="10"/>
  <c r="E102" i="10"/>
  <c r="C82" i="10"/>
  <c r="F73" i="10"/>
  <c r="C64" i="10"/>
  <c r="K54" i="10"/>
  <c r="L54" i="10" s="1"/>
  <c r="D81" i="10"/>
  <c r="F77" i="10"/>
  <c r="C73" i="10"/>
  <c r="G67" i="10"/>
  <c r="K63" i="10"/>
  <c r="L63" i="10" s="1"/>
  <c r="D58" i="10"/>
  <c r="H133" i="10"/>
  <c r="G117" i="10"/>
  <c r="G133" i="10"/>
  <c r="H128" i="10"/>
  <c r="K125" i="10"/>
  <c r="L125" i="10" s="1"/>
  <c r="C122" i="10"/>
  <c r="F117" i="10"/>
  <c r="D113" i="10"/>
  <c r="C102" i="10"/>
  <c r="C98" i="10"/>
  <c r="H94" i="10"/>
  <c r="C93" i="10"/>
  <c r="F90" i="10"/>
  <c r="E88" i="10"/>
  <c r="H82" i="10"/>
  <c r="D77" i="10"/>
  <c r="D74" i="10"/>
  <c r="G71" i="10"/>
  <c r="D66" i="10"/>
  <c r="H57" i="10"/>
  <c r="H54" i="10"/>
  <c r="F133" i="10"/>
  <c r="E117" i="10"/>
  <c r="C113" i="10"/>
  <c r="K110" i="10"/>
  <c r="L110" i="10" s="1"/>
  <c r="E90" i="10"/>
  <c r="C88" i="10"/>
  <c r="C85" i="10"/>
  <c r="C77" i="10"/>
  <c r="C74" i="10"/>
  <c r="C68" i="10"/>
  <c r="G54" i="10"/>
  <c r="E133" i="10"/>
  <c r="D117" i="10"/>
  <c r="F54" i="10"/>
  <c r="C133" i="10"/>
  <c r="E128" i="10"/>
  <c r="F125" i="10"/>
  <c r="D121" i="10"/>
  <c r="C117" i="10"/>
  <c r="G110" i="10"/>
  <c r="G101" i="10"/>
  <c r="D97" i="10"/>
  <c r="C90" i="10"/>
  <c r="G87" i="10"/>
  <c r="H78" i="10"/>
  <c r="H73" i="10"/>
  <c r="H70" i="10"/>
  <c r="G65" i="10"/>
  <c r="H62" i="10"/>
  <c r="E57" i="10"/>
  <c r="E54" i="10"/>
  <c r="G70" i="10"/>
  <c r="G62" i="10"/>
  <c r="D54" i="10"/>
  <c r="H105" i="10"/>
  <c r="H132" i="10"/>
  <c r="K129" i="10"/>
  <c r="L129" i="10" s="1"/>
  <c r="E110" i="10"/>
  <c r="G105" i="10"/>
  <c r="E101" i="10"/>
  <c r="H91" i="10"/>
  <c r="H89" i="10"/>
  <c r="F70" i="10"/>
  <c r="F62" i="10"/>
  <c r="K58" i="10"/>
  <c r="L58" i="10" s="1"/>
  <c r="G132" i="10"/>
  <c r="H129" i="10"/>
  <c r="K122" i="10"/>
  <c r="L122" i="10" s="1"/>
  <c r="D110" i="10"/>
  <c r="F105" i="10"/>
  <c r="K102" i="10"/>
  <c r="L102" i="10" s="1"/>
  <c r="D101" i="10"/>
  <c r="K98" i="10"/>
  <c r="L98" i="10" s="1"/>
  <c r="G91" i="10"/>
  <c r="G89" i="10"/>
  <c r="E70" i="10"/>
  <c r="E62" i="10"/>
  <c r="H58" i="10"/>
  <c r="F132" i="10"/>
  <c r="G129" i="10"/>
  <c r="E127" i="10"/>
  <c r="G124" i="10"/>
  <c r="H122" i="10"/>
  <c r="E120" i="10"/>
  <c r="K115" i="10"/>
  <c r="L115" i="10" s="1"/>
  <c r="E105" i="10"/>
  <c r="H102" i="10"/>
  <c r="C101" i="10"/>
  <c r="H98" i="10"/>
  <c r="H93" i="10"/>
  <c r="F89" i="10"/>
  <c r="G86" i="10"/>
  <c r="K83" i="10"/>
  <c r="L83" i="10" s="1"/>
  <c r="E81" i="10"/>
  <c r="K74" i="10"/>
  <c r="L74" i="10" s="1"/>
  <c r="D73" i="10"/>
  <c r="D70" i="10"/>
  <c r="K66" i="10"/>
  <c r="L66" i="10" s="1"/>
  <c r="D62" i="10"/>
  <c r="G58" i="10"/>
  <c r="E56" i="10"/>
  <c r="C52" i="10"/>
  <c r="E132" i="10"/>
  <c r="F129" i="10"/>
  <c r="D127" i="10"/>
  <c r="H115" i="10"/>
  <c r="H113" i="10"/>
  <c r="D105" i="10"/>
  <c r="H95" i="10"/>
  <c r="E89" i="10"/>
  <c r="H83" i="10"/>
  <c r="H74" i="10"/>
  <c r="F58" i="10"/>
  <c r="D132" i="10"/>
  <c r="E129" i="10"/>
  <c r="C127" i="10"/>
  <c r="E124" i="10"/>
  <c r="G113" i="10"/>
  <c r="E109" i="10"/>
  <c r="C105" i="10"/>
  <c r="K100" i="10"/>
  <c r="L100" i="10" s="1"/>
  <c r="G95" i="10"/>
  <c r="F93" i="10"/>
  <c r="D89" i="10"/>
  <c r="G69" i="10"/>
  <c r="G66" i="10"/>
  <c r="H61" i="10"/>
  <c r="E58" i="10"/>
  <c r="AE19" i="9"/>
  <c r="C97" i="10"/>
  <c r="C81" i="10"/>
  <c r="E77" i="10"/>
  <c r="H69" i="10"/>
  <c r="F64" i="10"/>
  <c r="G64" i="10"/>
  <c r="H64" i="10"/>
  <c r="K64" i="10"/>
  <c r="L64" i="10" s="1"/>
  <c r="E52" i="10"/>
  <c r="F56" i="10"/>
  <c r="G56" i="10"/>
  <c r="H56" i="10"/>
  <c r="K56" i="10"/>
  <c r="L56" i="10" s="1"/>
  <c r="C71" i="10"/>
  <c r="D71" i="10"/>
  <c r="E71" i="10"/>
  <c r="F71" i="10"/>
  <c r="G61" i="10"/>
  <c r="K59" i="10"/>
  <c r="L59" i="10" s="1"/>
  <c r="F52" i="10"/>
  <c r="G52" i="10"/>
  <c r="H52" i="10"/>
  <c r="K52" i="10"/>
  <c r="L52" i="10" s="1"/>
  <c r="E96" i="10"/>
  <c r="K87" i="10"/>
  <c r="L87" i="10" s="1"/>
  <c r="F84" i="10"/>
  <c r="G84" i="10"/>
  <c r="H84" i="10"/>
  <c r="K84" i="10"/>
  <c r="L84" i="10" s="1"/>
  <c r="D80" i="10"/>
  <c r="D69" i="10"/>
  <c r="C67" i="10"/>
  <c r="D67" i="10"/>
  <c r="E67" i="10"/>
  <c r="F67" i="10"/>
  <c r="E65" i="10"/>
  <c r="F61" i="10"/>
  <c r="H59" i="10"/>
  <c r="K55" i="10"/>
  <c r="L55" i="10" s="1"/>
  <c r="H53" i="10"/>
  <c r="C119" i="10"/>
  <c r="D119" i="10"/>
  <c r="E119" i="10"/>
  <c r="F88" i="10"/>
  <c r="G88" i="10"/>
  <c r="H88" i="10"/>
  <c r="K88" i="10"/>
  <c r="L88" i="10" s="1"/>
  <c r="H130" i="10"/>
  <c r="H126" i="10"/>
  <c r="E108" i="10"/>
  <c r="G130" i="10"/>
  <c r="G126" i="10"/>
  <c r="C115" i="10"/>
  <c r="D115" i="10"/>
  <c r="E115" i="10"/>
  <c r="C103" i="10"/>
  <c r="D103" i="10"/>
  <c r="E103" i="10"/>
  <c r="C91" i="10"/>
  <c r="D91" i="10"/>
  <c r="E91" i="10"/>
  <c r="H85" i="10"/>
  <c r="E76" i="10"/>
  <c r="C69" i="10"/>
  <c r="D65" i="10"/>
  <c r="C63" i="10"/>
  <c r="D63" i="10"/>
  <c r="E63" i="10"/>
  <c r="F63" i="10"/>
  <c r="E61" i="10"/>
  <c r="H55" i="10"/>
  <c r="G53" i="10"/>
  <c r="K51" i="10"/>
  <c r="L51" i="10" s="1"/>
  <c r="F116" i="10"/>
  <c r="G116" i="10"/>
  <c r="H116" i="10"/>
  <c r="F104" i="10"/>
  <c r="G104" i="10"/>
  <c r="H104" i="10"/>
  <c r="C79" i="10"/>
  <c r="D79" i="10"/>
  <c r="E79" i="10"/>
  <c r="F79" i="10"/>
  <c r="C107" i="10"/>
  <c r="D107" i="10"/>
  <c r="E107" i="10"/>
  <c r="C75" i="10"/>
  <c r="D75" i="10"/>
  <c r="E75" i="10"/>
  <c r="F75" i="10"/>
  <c r="K130" i="10"/>
  <c r="L130" i="10" s="1"/>
  <c r="K126" i="10"/>
  <c r="L126" i="10" s="1"/>
  <c r="F112" i="10"/>
  <c r="G112" i="10"/>
  <c r="H112" i="10"/>
  <c r="G85" i="10"/>
  <c r="F80" i="10"/>
  <c r="G80" i="10"/>
  <c r="H80" i="10"/>
  <c r="K80" i="10"/>
  <c r="L80" i="10" s="1"/>
  <c r="D76" i="10"/>
  <c r="C59" i="10"/>
  <c r="D59" i="10"/>
  <c r="E59" i="10"/>
  <c r="F59" i="10"/>
  <c r="F53" i="10"/>
  <c r="H51" i="10"/>
  <c r="C95" i="10"/>
  <c r="D95" i="10"/>
  <c r="E95" i="10"/>
  <c r="F60" i="10"/>
  <c r="G60" i="10"/>
  <c r="H60" i="10"/>
  <c r="K60" i="10"/>
  <c r="L60" i="10" s="1"/>
  <c r="K131" i="10"/>
  <c r="L131" i="10" s="1"/>
  <c r="F130" i="10"/>
  <c r="K127" i="10"/>
  <c r="L127" i="10" s="1"/>
  <c r="E130" i="10"/>
  <c r="H121" i="10"/>
  <c r="K116" i="10"/>
  <c r="L116" i="10" s="1"/>
  <c r="H109" i="10"/>
  <c r="F108" i="10"/>
  <c r="G108" i="10"/>
  <c r="H108" i="10"/>
  <c r="K104" i="10"/>
  <c r="L104" i="10" s="1"/>
  <c r="H97" i="10"/>
  <c r="F96" i="10"/>
  <c r="G96" i="10"/>
  <c r="H96" i="10"/>
  <c r="K92" i="10"/>
  <c r="L92" i="10" s="1"/>
  <c r="C87" i="10"/>
  <c r="D87" i="10"/>
  <c r="E87" i="10"/>
  <c r="F87" i="10"/>
  <c r="F85" i="10"/>
  <c r="H81" i="10"/>
  <c r="C55" i="10"/>
  <c r="D55" i="10"/>
  <c r="E55" i="10"/>
  <c r="F55" i="10"/>
  <c r="E53" i="10"/>
  <c r="G109" i="10"/>
  <c r="E104" i="10"/>
  <c r="G81" i="10"/>
  <c r="K79" i="10"/>
  <c r="L79" i="10" s="1"/>
  <c r="F76" i="10"/>
  <c r="G76" i="10"/>
  <c r="H76" i="10"/>
  <c r="K76" i="10"/>
  <c r="L76" i="10" s="1"/>
  <c r="D53" i="10"/>
  <c r="C51" i="10"/>
  <c r="D51" i="10"/>
  <c r="E51" i="10"/>
  <c r="F51" i="10"/>
  <c r="F72" i="10"/>
  <c r="G72" i="10"/>
  <c r="H72" i="10"/>
  <c r="K72" i="10"/>
  <c r="L72" i="10" s="1"/>
  <c r="F92" i="10"/>
  <c r="G92" i="10"/>
  <c r="H92" i="10"/>
  <c r="F68" i="10"/>
  <c r="G68" i="10"/>
  <c r="H68" i="10"/>
  <c r="K68" i="10"/>
  <c r="L68" i="10" s="1"/>
  <c r="F100" i="10"/>
  <c r="G100" i="10"/>
  <c r="H100" i="10"/>
  <c r="F126" i="10"/>
  <c r="H131" i="10"/>
  <c r="H127" i="10"/>
  <c r="E126" i="10"/>
  <c r="F120" i="10"/>
  <c r="G120" i="10"/>
  <c r="H120" i="10"/>
  <c r="G131" i="10"/>
  <c r="D130" i="10"/>
  <c r="G127" i="10"/>
  <c r="D126" i="10"/>
  <c r="G121" i="10"/>
  <c r="E116" i="10"/>
  <c r="G97" i="10"/>
  <c r="E85" i="10"/>
  <c r="D72" i="10"/>
  <c r="K124" i="10"/>
  <c r="L124" i="10" s="1"/>
  <c r="C123" i="10"/>
  <c r="D123" i="10"/>
  <c r="E123" i="10"/>
  <c r="F121" i="10"/>
  <c r="K119" i="10"/>
  <c r="L119" i="10" s="1"/>
  <c r="D116" i="10"/>
  <c r="C111" i="10"/>
  <c r="D111" i="10"/>
  <c r="E111" i="10"/>
  <c r="F109" i="10"/>
  <c r="K107" i="10"/>
  <c r="L107" i="10" s="1"/>
  <c r="D104" i="10"/>
  <c r="C99" i="10"/>
  <c r="D99" i="10"/>
  <c r="E99" i="10"/>
  <c r="F97" i="10"/>
  <c r="K95" i="10"/>
  <c r="L95" i="10" s="1"/>
  <c r="D92" i="10"/>
  <c r="D85" i="10"/>
  <c r="C83" i="10"/>
  <c r="D83" i="10"/>
  <c r="E83" i="10"/>
  <c r="F83" i="10"/>
  <c r="F81" i="10"/>
  <c r="H79" i="10"/>
  <c r="H77" i="10"/>
  <c r="C72" i="10"/>
  <c r="D68" i="10"/>
  <c r="E64" i="10"/>
  <c r="C53" i="10"/>
  <c r="AE24" i="9"/>
  <c r="H281" i="10"/>
  <c r="C252" i="10"/>
  <c r="C202" i="10"/>
  <c r="E154" i="10"/>
  <c r="E143" i="10"/>
  <c r="D267" i="10"/>
  <c r="K282" i="10"/>
  <c r="L282" i="10" s="1"/>
  <c r="C137" i="10"/>
  <c r="E282" i="10"/>
  <c r="K272" i="10"/>
  <c r="L272" i="10" s="1"/>
  <c r="E218" i="10"/>
  <c r="D281" i="10"/>
  <c r="C239" i="10"/>
  <c r="G287" i="10"/>
  <c r="C247" i="10"/>
  <c r="F169" i="10"/>
  <c r="G138" i="10"/>
  <c r="D214" i="10"/>
  <c r="H158" i="10"/>
  <c r="G244" i="10"/>
  <c r="K166" i="10"/>
  <c r="L166" i="10" s="1"/>
  <c r="G136" i="10"/>
  <c r="C175" i="10"/>
  <c r="E136" i="10"/>
  <c r="D279" i="10"/>
  <c r="K225" i="10"/>
  <c r="L225" i="10" s="1"/>
  <c r="C279" i="10"/>
  <c r="C251" i="10"/>
  <c r="F225" i="10"/>
  <c r="D294" i="10"/>
  <c r="C294" i="10"/>
  <c r="D250" i="10"/>
  <c r="D241" i="10"/>
  <c r="H233" i="10"/>
  <c r="D193" i="10"/>
  <c r="E268" i="10"/>
  <c r="K202" i="10"/>
  <c r="L202" i="10" s="1"/>
  <c r="K274" i="10"/>
  <c r="L274" i="10" s="1"/>
  <c r="C274" i="10"/>
  <c r="D254" i="10"/>
  <c r="E238" i="10"/>
  <c r="E209" i="10"/>
  <c r="G294" i="10"/>
  <c r="G274" i="10"/>
  <c r="E294" i="10"/>
  <c r="D274" i="10"/>
  <c r="D258" i="10"/>
  <c r="D251" i="10"/>
  <c r="K238" i="10"/>
  <c r="L238" i="10" s="1"/>
  <c r="G202" i="10"/>
  <c r="E140" i="10"/>
  <c r="D136" i="10"/>
  <c r="C208" i="10"/>
  <c r="F202" i="10"/>
  <c r="G187" i="10"/>
  <c r="H162" i="10"/>
  <c r="C136" i="10"/>
  <c r="F242" i="10"/>
  <c r="C238" i="10"/>
  <c r="C231" i="10"/>
  <c r="H223" i="10"/>
  <c r="E202" i="10"/>
  <c r="H193" i="10"/>
  <c r="D162" i="10"/>
  <c r="G146" i="10"/>
  <c r="H282" i="10"/>
  <c r="C272" i="10"/>
  <c r="H254" i="10"/>
  <c r="D201" i="10"/>
  <c r="E192" i="10"/>
  <c r="K174" i="10"/>
  <c r="L174" i="10" s="1"/>
  <c r="K144" i="10"/>
  <c r="L144" i="10" s="1"/>
  <c r="G137" i="10"/>
  <c r="G282" i="10"/>
  <c r="H277" i="10"/>
  <c r="F254" i="10"/>
  <c r="C240" i="10"/>
  <c r="C236" i="10"/>
  <c r="G228" i="10"/>
  <c r="C220" i="10"/>
  <c r="G212" i="10"/>
  <c r="C192" i="10"/>
  <c r="H174" i="10"/>
  <c r="H159" i="10"/>
  <c r="G203" i="10"/>
  <c r="G174" i="10"/>
  <c r="F159" i="10"/>
  <c r="D282" i="10"/>
  <c r="G270" i="10"/>
  <c r="H239" i="10"/>
  <c r="C235" i="10"/>
  <c r="D203" i="10"/>
  <c r="E181" i="10"/>
  <c r="E174" i="10"/>
  <c r="F166" i="10"/>
  <c r="D159" i="10"/>
  <c r="D151" i="10"/>
  <c r="K136" i="10"/>
  <c r="L136" i="10" s="1"/>
  <c r="C295" i="10"/>
  <c r="C260" i="10"/>
  <c r="H218" i="10"/>
  <c r="H210" i="10"/>
  <c r="C203" i="10"/>
  <c r="K190" i="10"/>
  <c r="L190" i="10" s="1"/>
  <c r="D174" i="10"/>
  <c r="K142" i="10"/>
  <c r="L142" i="10" s="1"/>
  <c r="H136" i="10"/>
  <c r="H274" i="10"/>
  <c r="K254" i="10"/>
  <c r="L254" i="10" s="1"/>
  <c r="H235" i="10"/>
  <c r="G216" i="10"/>
  <c r="K210" i="10"/>
  <c r="L210" i="10" s="1"/>
  <c r="G195" i="10"/>
  <c r="H190" i="10"/>
  <c r="H183" i="10"/>
  <c r="G158" i="10"/>
  <c r="D154" i="10"/>
  <c r="D137" i="10"/>
  <c r="G190" i="10"/>
  <c r="H175" i="10"/>
  <c r="K173" i="10"/>
  <c r="L173" i="10" s="1"/>
  <c r="E158" i="10"/>
  <c r="G296" i="10"/>
  <c r="H283" i="10"/>
  <c r="F279" i="10"/>
  <c r="E274" i="10"/>
  <c r="F270" i="10"/>
  <c r="G254" i="10"/>
  <c r="E242" i="10"/>
  <c r="G238" i="10"/>
  <c r="C226" i="10"/>
  <c r="F220" i="10"/>
  <c r="C210" i="10"/>
  <c r="H194" i="10"/>
  <c r="D190" i="10"/>
  <c r="F175" i="10"/>
  <c r="F173" i="10"/>
  <c r="D158" i="10"/>
  <c r="F153" i="10"/>
  <c r="G147" i="10"/>
  <c r="C142" i="10"/>
  <c r="C242" i="10"/>
  <c r="F238" i="10"/>
  <c r="E220" i="10"/>
  <c r="F214" i="10"/>
  <c r="C190" i="10"/>
  <c r="K181" i="10"/>
  <c r="L181" i="10" s="1"/>
  <c r="D175" i="10"/>
  <c r="C158" i="10"/>
  <c r="E153" i="10"/>
  <c r="F147" i="10"/>
  <c r="H289" i="10"/>
  <c r="F289" i="10"/>
  <c r="F199" i="10"/>
  <c r="H294" i="10"/>
  <c r="D289" i="10"/>
  <c r="E273" i="10"/>
  <c r="D213" i="10"/>
  <c r="E208" i="10"/>
  <c r="C199" i="10"/>
  <c r="H171" i="10"/>
  <c r="H166" i="10"/>
  <c r="H151" i="10"/>
  <c r="G171" i="10"/>
  <c r="F171" i="10"/>
  <c r="H154" i="10"/>
  <c r="C266" i="10"/>
  <c r="K244" i="10"/>
  <c r="L244" i="10" s="1"/>
  <c r="F236" i="10"/>
  <c r="G223" i="10"/>
  <c r="C212" i="10"/>
  <c r="C207" i="10"/>
  <c r="K177" i="10"/>
  <c r="L177" i="10" s="1"/>
  <c r="F174" i="10"/>
  <c r="D171" i="10"/>
  <c r="G154" i="10"/>
  <c r="K150" i="10"/>
  <c r="L150" i="10" s="1"/>
  <c r="G144" i="10"/>
  <c r="C138" i="10"/>
  <c r="D217" i="10"/>
  <c r="K196" i="10"/>
  <c r="L196" i="10" s="1"/>
  <c r="E177" i="10"/>
  <c r="C171" i="10"/>
  <c r="K158" i="10"/>
  <c r="L158" i="10" s="1"/>
  <c r="F154" i="10"/>
  <c r="E150" i="10"/>
  <c r="G194" i="10"/>
  <c r="K178" i="10"/>
  <c r="L178" i="10" s="1"/>
  <c r="F295" i="10"/>
  <c r="H293" i="10"/>
  <c r="G247" i="10"/>
  <c r="G231" i="10"/>
  <c r="H213" i="10"/>
  <c r="E210" i="10"/>
  <c r="K201" i="10"/>
  <c r="L201" i="10" s="1"/>
  <c r="K197" i="10"/>
  <c r="L197" i="10" s="1"/>
  <c r="D194" i="10"/>
  <c r="G191" i="10"/>
  <c r="E178" i="10"/>
  <c r="G167" i="10"/>
  <c r="D295" i="10"/>
  <c r="E293" i="10"/>
  <c r="H279" i="10"/>
  <c r="H269" i="10"/>
  <c r="F247" i="10"/>
  <c r="G242" i="10"/>
  <c r="D231" i="10"/>
  <c r="E226" i="10"/>
  <c r="H217" i="10"/>
  <c r="E213" i="10"/>
  <c r="D210" i="10"/>
  <c r="E197" i="10"/>
  <c r="C194" i="10"/>
  <c r="C191" i="10"/>
  <c r="D178" i="10"/>
  <c r="F167" i="10"/>
  <c r="F162" i="10"/>
  <c r="G151" i="10"/>
  <c r="D143" i="10"/>
  <c r="C140" i="10"/>
  <c r="C162" i="10"/>
  <c r="F144" i="10"/>
  <c r="K206" i="10"/>
  <c r="L206" i="10" s="1"/>
  <c r="K262" i="10"/>
  <c r="L262" i="10" s="1"/>
  <c r="H206" i="10"/>
  <c r="H262" i="10"/>
  <c r="F262" i="10"/>
  <c r="F257" i="10"/>
  <c r="K250" i="10"/>
  <c r="L250" i="10" s="1"/>
  <c r="K245" i="10"/>
  <c r="L245" i="10" s="1"/>
  <c r="K297" i="10"/>
  <c r="L297" i="10" s="1"/>
  <c r="F294" i="10"/>
  <c r="K289" i="10"/>
  <c r="L289" i="10" s="1"/>
  <c r="E284" i="10"/>
  <c r="C282" i="10"/>
  <c r="F278" i="10"/>
  <c r="D262" i="10"/>
  <c r="E257" i="10"/>
  <c r="C254" i="10"/>
  <c r="H250" i="10"/>
  <c r="H245" i="10"/>
  <c r="K241" i="10"/>
  <c r="L241" i="10" s="1"/>
  <c r="G230" i="10"/>
  <c r="G215" i="10"/>
  <c r="K208" i="10"/>
  <c r="L208" i="10" s="1"/>
  <c r="D206" i="10"/>
  <c r="H199" i="10"/>
  <c r="K192" i="10"/>
  <c r="L192" i="10" s="1"/>
  <c r="F190" i="10"/>
  <c r="F179" i="10"/>
  <c r="C166" i="10"/>
  <c r="C154" i="10"/>
  <c r="E144" i="10"/>
  <c r="G141" i="10"/>
  <c r="K284" i="10"/>
  <c r="L284" i="10" s="1"/>
  <c r="K230" i="10"/>
  <c r="L230" i="10" s="1"/>
  <c r="G206" i="10"/>
  <c r="G284" i="10"/>
  <c r="H230" i="10"/>
  <c r="E206" i="10"/>
  <c r="C284" i="10"/>
  <c r="D278" i="10"/>
  <c r="K270" i="10"/>
  <c r="L270" i="10" s="1"/>
  <c r="E266" i="10"/>
  <c r="C262" i="10"/>
  <c r="D257" i="10"/>
  <c r="F250" i="10"/>
  <c r="D245" i="10"/>
  <c r="F241" i="10"/>
  <c r="E230" i="10"/>
  <c r="K218" i="10"/>
  <c r="L218" i="10" s="1"/>
  <c r="D215" i="10"/>
  <c r="C206" i="10"/>
  <c r="G199" i="10"/>
  <c r="K194" i="10"/>
  <c r="L194" i="10" s="1"/>
  <c r="D179" i="10"/>
  <c r="G170" i="10"/>
  <c r="K157" i="10"/>
  <c r="L157" i="10" s="1"/>
  <c r="C141" i="10"/>
  <c r="E157" i="10"/>
  <c r="K143" i="10"/>
  <c r="L143" i="10" s="1"/>
  <c r="K140" i="10"/>
  <c r="L140" i="10" s="1"/>
  <c r="D218" i="10"/>
  <c r="F194" i="10"/>
  <c r="G183" i="10"/>
  <c r="H178" i="10"/>
  <c r="H143" i="10"/>
  <c r="G140" i="10"/>
  <c r="D283" i="10"/>
  <c r="E277" i="10"/>
  <c r="E270" i="10"/>
  <c r="K265" i="10"/>
  <c r="L265" i="10" s="1"/>
  <c r="K260" i="10"/>
  <c r="L260" i="10" s="1"/>
  <c r="H255" i="10"/>
  <c r="F252" i="10"/>
  <c r="K240" i="10"/>
  <c r="L240" i="10" s="1"/>
  <c r="G210" i="10"/>
  <c r="H295" i="10"/>
  <c r="K293" i="10"/>
  <c r="L293" i="10" s="1"/>
  <c r="C283" i="10"/>
  <c r="D277" i="10"/>
  <c r="H273" i="10"/>
  <c r="C270" i="10"/>
  <c r="D265" i="10"/>
  <c r="E252" i="10"/>
  <c r="G240" i="10"/>
  <c r="C218" i="10"/>
  <c r="H207" i="10"/>
  <c r="G204" i="10"/>
  <c r="H189" i="10"/>
  <c r="K162" i="10"/>
  <c r="L162" i="10" s="1"/>
  <c r="G155" i="10"/>
  <c r="K292" i="10"/>
  <c r="L292" i="10" s="1"/>
  <c r="G268" i="10"/>
  <c r="D263" i="10"/>
  <c r="E261" i="10"/>
  <c r="F258" i="10"/>
  <c r="E256" i="10"/>
  <c r="E246" i="10"/>
  <c r="D234" i="10"/>
  <c r="E229" i="10"/>
  <c r="E224" i="10"/>
  <c r="D222" i="10"/>
  <c r="D219" i="10"/>
  <c r="K209" i="10"/>
  <c r="L209" i="10" s="1"/>
  <c r="D198" i="10"/>
  <c r="D186" i="10"/>
  <c r="H186" i="10"/>
  <c r="D182" i="10"/>
  <c r="H287" i="10"/>
  <c r="H285" i="10"/>
  <c r="E278" i="10"/>
  <c r="F273" i="10"/>
  <c r="H270" i="10"/>
  <c r="F268" i="10"/>
  <c r="D266" i="10"/>
  <c r="C263" i="10"/>
  <c r="D261" i="10"/>
  <c r="E258" i="10"/>
  <c r="C256" i="10"/>
  <c r="G248" i="10"/>
  <c r="D246" i="10"/>
  <c r="H242" i="10"/>
  <c r="H238" i="10"/>
  <c r="E236" i="10"/>
  <c r="C234" i="10"/>
  <c r="D229" i="10"/>
  <c r="D226" i="10"/>
  <c r="C224" i="10"/>
  <c r="C222" i="10"/>
  <c r="C219" i="10"/>
  <c r="E214" i="10"/>
  <c r="F209" i="10"/>
  <c r="K204" i="10"/>
  <c r="L204" i="10" s="1"/>
  <c r="H202" i="10"/>
  <c r="C198" i="10"/>
  <c r="E193" i="10"/>
  <c r="H187" i="10"/>
  <c r="C182" i="10"/>
  <c r="F170" i="10"/>
  <c r="D155" i="10"/>
  <c r="E138" i="10"/>
  <c r="D170" i="10"/>
  <c r="E167" i="10"/>
  <c r="D167" i="10"/>
  <c r="H163" i="10"/>
  <c r="K161" i="10"/>
  <c r="L161" i="10" s="1"/>
  <c r="D150" i="10"/>
  <c r="H150" i="10"/>
  <c r="C278" i="10"/>
  <c r="D273" i="10"/>
  <c r="C268" i="10"/>
  <c r="C258" i="10"/>
  <c r="K233" i="10"/>
  <c r="L233" i="10" s="1"/>
  <c r="K228" i="10"/>
  <c r="L228" i="10" s="1"/>
  <c r="D209" i="10"/>
  <c r="F204" i="10"/>
  <c r="F187" i="10"/>
  <c r="G163" i="10"/>
  <c r="F161" i="10"/>
  <c r="E155" i="10"/>
  <c r="F155" i="10"/>
  <c r="K149" i="10"/>
  <c r="L149" i="10" s="1"/>
  <c r="K135" i="10"/>
  <c r="L135" i="10" s="1"/>
  <c r="E204" i="10"/>
  <c r="D187" i="10"/>
  <c r="E170" i="10"/>
  <c r="K170" i="10"/>
  <c r="L170" i="10" s="1"/>
  <c r="F163" i="10"/>
  <c r="F149" i="10"/>
  <c r="H135" i="10"/>
  <c r="K290" i="10"/>
  <c r="L290" i="10" s="1"/>
  <c r="K286" i="10"/>
  <c r="L286" i="10" s="1"/>
  <c r="H267" i="10"/>
  <c r="H265" i="10"/>
  <c r="G262" i="10"/>
  <c r="K257" i="10"/>
  <c r="L257" i="10" s="1"/>
  <c r="G252" i="10"/>
  <c r="E250" i="10"/>
  <c r="D247" i="10"/>
  <c r="D242" i="10"/>
  <c r="D235" i="10"/>
  <c r="F230" i="10"/>
  <c r="H225" i="10"/>
  <c r="K220" i="10"/>
  <c r="L220" i="10" s="1"/>
  <c r="F218" i="10"/>
  <c r="F215" i="10"/>
  <c r="H197" i="10"/>
  <c r="C187" i="10"/>
  <c r="C178" i="10"/>
  <c r="G178" i="10"/>
  <c r="K169" i="10"/>
  <c r="L169" i="10" s="1"/>
  <c r="G166" i="10"/>
  <c r="F151" i="10"/>
  <c r="H286" i="10"/>
  <c r="E163" i="10"/>
  <c r="C163" i="10"/>
  <c r="G290" i="10"/>
  <c r="G286" i="10"/>
  <c r="C267" i="10"/>
  <c r="C250" i="10"/>
  <c r="G232" i="10"/>
  <c r="D230" i="10"/>
  <c r="D225" i="10"/>
  <c r="K222" i="10"/>
  <c r="L222" i="10" s="1"/>
  <c r="C215" i="10"/>
  <c r="K186" i="10"/>
  <c r="L186" i="10" s="1"/>
  <c r="E183" i="10"/>
  <c r="D183" i="10"/>
  <c r="G179" i="10"/>
  <c r="E166" i="10"/>
  <c r="C151" i="10"/>
  <c r="G142" i="10"/>
  <c r="D140" i="10"/>
  <c r="H140" i="10"/>
  <c r="E264" i="10"/>
  <c r="G264" i="10"/>
  <c r="K226" i="10"/>
  <c r="L226" i="10" s="1"/>
  <c r="H222" i="10"/>
  <c r="K198" i="10"/>
  <c r="L198" i="10" s="1"/>
  <c r="G186" i="10"/>
  <c r="K182" i="10"/>
  <c r="L182" i="10" s="1"/>
  <c r="H290" i="10"/>
  <c r="F290" i="10"/>
  <c r="F286" i="10"/>
  <c r="E290" i="10"/>
  <c r="H266" i="10"/>
  <c r="H263" i="10"/>
  <c r="K258" i="10"/>
  <c r="L258" i="10" s="1"/>
  <c r="K249" i="10"/>
  <c r="L249" i="10" s="1"/>
  <c r="H246" i="10"/>
  <c r="H234" i="10"/>
  <c r="H226" i="10"/>
  <c r="G222" i="10"/>
  <c r="K214" i="10"/>
  <c r="L214" i="10" s="1"/>
  <c r="H198" i="10"/>
  <c r="F186" i="10"/>
  <c r="G182" i="10"/>
  <c r="D290" i="10"/>
  <c r="E288" i="10"/>
  <c r="D286" i="10"/>
  <c r="K278" i="10"/>
  <c r="L278" i="10" s="1"/>
  <c r="K276" i="10"/>
  <c r="L276" i="10" s="1"/>
  <c r="G266" i="10"/>
  <c r="G263" i="10"/>
  <c r="K261" i="10"/>
  <c r="L261" i="10" s="1"/>
  <c r="H258" i="10"/>
  <c r="H251" i="10"/>
  <c r="H249" i="10"/>
  <c r="G246" i="10"/>
  <c r="H241" i="10"/>
  <c r="F234" i="10"/>
  <c r="F231" i="10"/>
  <c r="K229" i="10"/>
  <c r="L229" i="10" s="1"/>
  <c r="G226" i="10"/>
  <c r="K224" i="10"/>
  <c r="L224" i="10" s="1"/>
  <c r="F222" i="10"/>
  <c r="H219" i="10"/>
  <c r="H214" i="10"/>
  <c r="G198" i="10"/>
  <c r="C196" i="10"/>
  <c r="E186" i="10"/>
  <c r="F182" i="10"/>
  <c r="H167" i="10"/>
  <c r="K165" i="10"/>
  <c r="L165" i="10" s="1"/>
  <c r="E162" i="10"/>
  <c r="E159" i="10"/>
  <c r="G159" i="10"/>
  <c r="G150" i="10"/>
  <c r="D144" i="10"/>
  <c r="H144" i="10"/>
  <c r="F211" i="10"/>
  <c r="G211" i="10"/>
  <c r="K246" i="10"/>
  <c r="L246" i="10" s="1"/>
  <c r="K234" i="10"/>
  <c r="L234" i="10" s="1"/>
  <c r="K288" i="10"/>
  <c r="L288" i="10" s="1"/>
  <c r="E286" i="10"/>
  <c r="H278" i="10"/>
  <c r="C276" i="10"/>
  <c r="G271" i="10"/>
  <c r="H271" i="10"/>
  <c r="F266" i="10"/>
  <c r="D249" i="10"/>
  <c r="F246" i="10"/>
  <c r="G236" i="10"/>
  <c r="E234" i="10"/>
  <c r="G214" i="10"/>
  <c r="E198" i="10"/>
  <c r="K193" i="10"/>
  <c r="L193" i="10" s="1"/>
  <c r="C186" i="10"/>
  <c r="E182" i="10"/>
  <c r="E179" i="10"/>
  <c r="H179" i="10"/>
  <c r="H170" i="10"/>
  <c r="E165" i="10"/>
  <c r="H155" i="10"/>
  <c r="F150" i="10"/>
  <c r="E147" i="10"/>
  <c r="C147" i="10"/>
  <c r="H147" i="10"/>
  <c r="K138" i="10"/>
  <c r="L138" i="10" s="1"/>
  <c r="G175" i="10"/>
  <c r="C237" i="10"/>
  <c r="G237" i="10"/>
  <c r="H221" i="10"/>
  <c r="C205" i="10"/>
  <c r="G205" i="10"/>
  <c r="D200" i="10"/>
  <c r="H200" i="10"/>
  <c r="D176" i="10"/>
  <c r="H176" i="10"/>
  <c r="E176" i="10"/>
  <c r="K176" i="10"/>
  <c r="L176" i="10" s="1"/>
  <c r="D148" i="10"/>
  <c r="H148" i="10"/>
  <c r="E148" i="10"/>
  <c r="K148" i="10"/>
  <c r="L148" i="10" s="1"/>
  <c r="C297" i="10"/>
  <c r="G297" i="10"/>
  <c r="D292" i="10"/>
  <c r="H292" i="10"/>
  <c r="E287" i="10"/>
  <c r="K287" i="10"/>
  <c r="L287" i="10" s="1"/>
  <c r="E255" i="10"/>
  <c r="K255" i="10"/>
  <c r="L255" i="10" s="1"/>
  <c r="E239" i="10"/>
  <c r="K239" i="10"/>
  <c r="L239" i="10" s="1"/>
  <c r="F237" i="10"/>
  <c r="C233" i="10"/>
  <c r="G233" i="10"/>
  <c r="F232" i="10"/>
  <c r="E223" i="10"/>
  <c r="K223" i="10"/>
  <c r="L223" i="10" s="1"/>
  <c r="C217" i="10"/>
  <c r="G217" i="10"/>
  <c r="F216" i="10"/>
  <c r="D212" i="10"/>
  <c r="H212" i="10"/>
  <c r="E207" i="10"/>
  <c r="K207" i="10"/>
  <c r="L207" i="10" s="1"/>
  <c r="F205" i="10"/>
  <c r="C201" i="10"/>
  <c r="G201" i="10"/>
  <c r="F200" i="10"/>
  <c r="D196" i="10"/>
  <c r="H196" i="10"/>
  <c r="F195" i="10"/>
  <c r="E191" i="10"/>
  <c r="K191" i="10"/>
  <c r="L191" i="10" s="1"/>
  <c r="D188" i="10"/>
  <c r="H188" i="10"/>
  <c r="K188" i="10"/>
  <c r="L188" i="10" s="1"/>
  <c r="E188" i="10"/>
  <c r="D184" i="10"/>
  <c r="H184" i="10"/>
  <c r="E184" i="10"/>
  <c r="K184" i="10"/>
  <c r="L184" i="10" s="1"/>
  <c r="G180" i="10"/>
  <c r="G176" i="10"/>
  <c r="G172" i="10"/>
  <c r="G168" i="10"/>
  <c r="G164" i="10"/>
  <c r="G160" i="10"/>
  <c r="G148" i="10"/>
  <c r="E145" i="10"/>
  <c r="K145" i="10"/>
  <c r="L145" i="10" s="1"/>
  <c r="C145" i="10"/>
  <c r="H145" i="10"/>
  <c r="D145" i="10"/>
  <c r="C139" i="10"/>
  <c r="G139" i="10"/>
  <c r="D139" i="10"/>
  <c r="K139" i="10"/>
  <c r="L139" i="10" s="1"/>
  <c r="E139" i="10"/>
  <c r="E291" i="10"/>
  <c r="K291" i="10"/>
  <c r="L291" i="10" s="1"/>
  <c r="E275" i="10"/>
  <c r="K275" i="10"/>
  <c r="L275" i="10" s="1"/>
  <c r="E259" i="10"/>
  <c r="K259" i="10"/>
  <c r="L259" i="10" s="1"/>
  <c r="C253" i="10"/>
  <c r="G253" i="10"/>
  <c r="E243" i="10"/>
  <c r="K243" i="10"/>
  <c r="L243" i="10" s="1"/>
  <c r="E227" i="10"/>
  <c r="K227" i="10"/>
  <c r="L227" i="10" s="1"/>
  <c r="E211" i="10"/>
  <c r="K211" i="10"/>
  <c r="L211" i="10" s="1"/>
  <c r="C189" i="10"/>
  <c r="G189" i="10"/>
  <c r="C185" i="10"/>
  <c r="G185" i="10"/>
  <c r="D185" i="10"/>
  <c r="H185" i="10"/>
  <c r="D156" i="10"/>
  <c r="H156" i="10"/>
  <c r="E156" i="10"/>
  <c r="K156" i="10"/>
  <c r="L156" i="10" s="1"/>
  <c r="D152" i="10"/>
  <c r="H152" i="10"/>
  <c r="E152" i="10"/>
  <c r="K152" i="10"/>
  <c r="L152" i="10" s="1"/>
  <c r="F291" i="10"/>
  <c r="D276" i="10"/>
  <c r="H276" i="10"/>
  <c r="F275" i="10"/>
  <c r="D260" i="10"/>
  <c r="H260" i="10"/>
  <c r="F259" i="10"/>
  <c r="D228" i="10"/>
  <c r="H228" i="10"/>
  <c r="F227" i="10"/>
  <c r="F221" i="10"/>
  <c r="D288" i="10"/>
  <c r="H288" i="10"/>
  <c r="D272" i="10"/>
  <c r="H272" i="10"/>
  <c r="D256" i="10"/>
  <c r="H256" i="10"/>
  <c r="E253" i="10"/>
  <c r="F239" i="10"/>
  <c r="E237" i="10"/>
  <c r="F233" i="10"/>
  <c r="D224" i="10"/>
  <c r="H224" i="10"/>
  <c r="F223" i="10"/>
  <c r="E219" i="10"/>
  <c r="K219" i="10"/>
  <c r="L219" i="10" s="1"/>
  <c r="F217" i="10"/>
  <c r="C213" i="10"/>
  <c r="G213" i="10"/>
  <c r="F212" i="10"/>
  <c r="D211" i="10"/>
  <c r="D208" i="10"/>
  <c r="H208" i="10"/>
  <c r="F207" i="10"/>
  <c r="E205" i="10"/>
  <c r="E203" i="10"/>
  <c r="K203" i="10"/>
  <c r="L203" i="10" s="1"/>
  <c r="F201" i="10"/>
  <c r="E200" i="10"/>
  <c r="C197" i="10"/>
  <c r="G197" i="10"/>
  <c r="F196" i="10"/>
  <c r="D192" i="10"/>
  <c r="H192" i="10"/>
  <c r="F191" i="10"/>
  <c r="E189" i="10"/>
  <c r="G188" i="10"/>
  <c r="F185" i="10"/>
  <c r="G184" i="10"/>
  <c r="F176" i="10"/>
  <c r="F156" i="10"/>
  <c r="F152" i="10"/>
  <c r="F148" i="10"/>
  <c r="D146" i="10"/>
  <c r="H146" i="10"/>
  <c r="E146" i="10"/>
  <c r="F146" i="10"/>
  <c r="E141" i="10"/>
  <c r="K141" i="10"/>
  <c r="L141" i="10" s="1"/>
  <c r="D141" i="10"/>
  <c r="F141" i="10"/>
  <c r="D296" i="10"/>
  <c r="H296" i="10"/>
  <c r="C285" i="10"/>
  <c r="G285" i="10"/>
  <c r="D280" i="10"/>
  <c r="H280" i="10"/>
  <c r="C269" i="10"/>
  <c r="G269" i="10"/>
  <c r="D264" i="10"/>
  <c r="H264" i="10"/>
  <c r="D248" i="10"/>
  <c r="H248" i="10"/>
  <c r="G243" i="10"/>
  <c r="D232" i="10"/>
  <c r="H232" i="10"/>
  <c r="C221" i="10"/>
  <c r="G221" i="10"/>
  <c r="D216" i="10"/>
  <c r="H216" i="10"/>
  <c r="E195" i="10"/>
  <c r="K195" i="10"/>
  <c r="L195" i="10" s="1"/>
  <c r="D180" i="10"/>
  <c r="H180" i="10"/>
  <c r="E180" i="10"/>
  <c r="K180" i="10"/>
  <c r="L180" i="10" s="1"/>
  <c r="D172" i="10"/>
  <c r="H172" i="10"/>
  <c r="E172" i="10"/>
  <c r="K172" i="10"/>
  <c r="L172" i="10" s="1"/>
  <c r="D168" i="10"/>
  <c r="H168" i="10"/>
  <c r="E168" i="10"/>
  <c r="K168" i="10"/>
  <c r="L168" i="10" s="1"/>
  <c r="D164" i="10"/>
  <c r="H164" i="10"/>
  <c r="E164" i="10"/>
  <c r="K164" i="10"/>
  <c r="L164" i="10" s="1"/>
  <c r="D160" i="10"/>
  <c r="H160" i="10"/>
  <c r="E160" i="10"/>
  <c r="K160" i="10"/>
  <c r="L160" i="10" s="1"/>
  <c r="D134" i="10"/>
  <c r="H134" i="10"/>
  <c r="C134" i="10"/>
  <c r="K134" i="10"/>
  <c r="L134" i="10" s="1"/>
  <c r="E134" i="10"/>
  <c r="F134" i="10"/>
  <c r="H297" i="10"/>
  <c r="G292" i="10"/>
  <c r="C281" i="10"/>
  <c r="G281" i="10"/>
  <c r="F280" i="10"/>
  <c r="E271" i="10"/>
  <c r="K271" i="10"/>
  <c r="L271" i="10" s="1"/>
  <c r="F269" i="10"/>
  <c r="C265" i="10"/>
  <c r="G265" i="10"/>
  <c r="F264" i="10"/>
  <c r="G255" i="10"/>
  <c r="F253" i="10"/>
  <c r="C249" i="10"/>
  <c r="G249" i="10"/>
  <c r="F248" i="10"/>
  <c r="D244" i="10"/>
  <c r="H244" i="10"/>
  <c r="F243" i="10"/>
  <c r="F297" i="10"/>
  <c r="E296" i="10"/>
  <c r="C293" i="10"/>
  <c r="G293" i="10"/>
  <c r="F292" i="10"/>
  <c r="D291" i="10"/>
  <c r="G288" i="10"/>
  <c r="F287" i="10"/>
  <c r="E285" i="10"/>
  <c r="E283" i="10"/>
  <c r="K283" i="10"/>
  <c r="L283" i="10" s="1"/>
  <c r="F281" i="10"/>
  <c r="E280" i="10"/>
  <c r="C277" i="10"/>
  <c r="G277" i="10"/>
  <c r="F276" i="10"/>
  <c r="D275" i="10"/>
  <c r="G272" i="10"/>
  <c r="F271" i="10"/>
  <c r="E267" i="10"/>
  <c r="K267" i="10"/>
  <c r="L267" i="10" s="1"/>
  <c r="C261" i="10"/>
  <c r="G261" i="10"/>
  <c r="F260" i="10"/>
  <c r="D259" i="10"/>
  <c r="G256" i="10"/>
  <c r="F255" i="10"/>
  <c r="E251" i="10"/>
  <c r="K251" i="10"/>
  <c r="L251" i="10" s="1"/>
  <c r="C245" i="10"/>
  <c r="G245" i="10"/>
  <c r="F244" i="10"/>
  <c r="D243" i="10"/>
  <c r="D240" i="10"/>
  <c r="H240" i="10"/>
  <c r="E235" i="10"/>
  <c r="K235" i="10"/>
  <c r="L235" i="10" s="1"/>
  <c r="C229" i="10"/>
  <c r="G229" i="10"/>
  <c r="F228" i="10"/>
  <c r="D227" i="10"/>
  <c r="E297" i="10"/>
  <c r="K296" i="10"/>
  <c r="L296" i="10" s="1"/>
  <c r="C296" i="10"/>
  <c r="E295" i="10"/>
  <c r="K295" i="10"/>
  <c r="L295" i="10" s="1"/>
  <c r="F293" i="10"/>
  <c r="E292" i="10"/>
  <c r="H291" i="10"/>
  <c r="C291" i="10"/>
  <c r="C289" i="10"/>
  <c r="G289" i="10"/>
  <c r="F288" i="10"/>
  <c r="D287" i="10"/>
  <c r="K285" i="10"/>
  <c r="L285" i="10" s="1"/>
  <c r="D285" i="10"/>
  <c r="D284" i="10"/>
  <c r="H284" i="10"/>
  <c r="F283" i="10"/>
  <c r="E281" i="10"/>
  <c r="K280" i="10"/>
  <c r="L280" i="10" s="1"/>
  <c r="C280" i="10"/>
  <c r="E279" i="10"/>
  <c r="K279" i="10"/>
  <c r="L279" i="10" s="1"/>
  <c r="F277" i="10"/>
  <c r="E276" i="10"/>
  <c r="H275" i="10"/>
  <c r="C275" i="10"/>
  <c r="C273" i="10"/>
  <c r="G273" i="10"/>
  <c r="F272" i="10"/>
  <c r="D271" i="10"/>
  <c r="K269" i="10"/>
  <c r="L269" i="10" s="1"/>
  <c r="D269" i="10"/>
  <c r="D268" i="10"/>
  <c r="H268" i="10"/>
  <c r="F267" i="10"/>
  <c r="E265" i="10"/>
  <c r="K264" i="10"/>
  <c r="L264" i="10" s="1"/>
  <c r="C264" i="10"/>
  <c r="E263" i="10"/>
  <c r="K263" i="10"/>
  <c r="L263" i="10" s="1"/>
  <c r="F261" i="10"/>
  <c r="E260" i="10"/>
  <c r="H259" i="10"/>
  <c r="C259" i="10"/>
  <c r="C257" i="10"/>
  <c r="G257" i="10"/>
  <c r="F256" i="10"/>
  <c r="D255" i="10"/>
  <c r="K253" i="10"/>
  <c r="L253" i="10" s="1"/>
  <c r="D253" i="10"/>
  <c r="D252" i="10"/>
  <c r="H252" i="10"/>
  <c r="F251" i="10"/>
  <c r="E249" i="10"/>
  <c r="K248" i="10"/>
  <c r="L248" i="10" s="1"/>
  <c r="C248" i="10"/>
  <c r="E247" i="10"/>
  <c r="K247" i="10"/>
  <c r="L247" i="10" s="1"/>
  <c r="F245" i="10"/>
  <c r="E244" i="10"/>
  <c r="H243" i="10"/>
  <c r="C243" i="10"/>
  <c r="C241" i="10"/>
  <c r="G241" i="10"/>
  <c r="F240" i="10"/>
  <c r="D239" i="10"/>
  <c r="K237" i="10"/>
  <c r="L237" i="10" s="1"/>
  <c r="D237" i="10"/>
  <c r="D236" i="10"/>
  <c r="H236" i="10"/>
  <c r="F235" i="10"/>
  <c r="E233" i="10"/>
  <c r="K232" i="10"/>
  <c r="L232" i="10" s="1"/>
  <c r="C232" i="10"/>
  <c r="E231" i="10"/>
  <c r="K231" i="10"/>
  <c r="L231" i="10" s="1"/>
  <c r="F229" i="10"/>
  <c r="E228" i="10"/>
  <c r="H227" i="10"/>
  <c r="C227" i="10"/>
  <c r="C225" i="10"/>
  <c r="G225" i="10"/>
  <c r="F224" i="10"/>
  <c r="D223" i="10"/>
  <c r="K221" i="10"/>
  <c r="L221" i="10" s="1"/>
  <c r="D221" i="10"/>
  <c r="D220" i="10"/>
  <c r="H220" i="10"/>
  <c r="F219" i="10"/>
  <c r="E217" i="10"/>
  <c r="K216" i="10"/>
  <c r="L216" i="10" s="1"/>
  <c r="C216" i="10"/>
  <c r="E215" i="10"/>
  <c r="K215" i="10"/>
  <c r="L215" i="10" s="1"/>
  <c r="F213" i="10"/>
  <c r="E212" i="10"/>
  <c r="H211" i="10"/>
  <c r="C211" i="10"/>
  <c r="C209" i="10"/>
  <c r="G209" i="10"/>
  <c r="F208" i="10"/>
  <c r="D207" i="10"/>
  <c r="K205" i="10"/>
  <c r="L205" i="10" s="1"/>
  <c r="D205" i="10"/>
  <c r="D204" i="10"/>
  <c r="H204" i="10"/>
  <c r="F203" i="10"/>
  <c r="E201" i="10"/>
  <c r="K200" i="10"/>
  <c r="L200" i="10" s="1"/>
  <c r="C200" i="10"/>
  <c r="E199" i="10"/>
  <c r="K199" i="10"/>
  <c r="L199" i="10" s="1"/>
  <c r="F197" i="10"/>
  <c r="E196" i="10"/>
  <c r="H195" i="10"/>
  <c r="C195" i="10"/>
  <c r="C193" i="10"/>
  <c r="G193" i="10"/>
  <c r="F192" i="10"/>
  <c r="D191" i="10"/>
  <c r="K189" i="10"/>
  <c r="L189" i="10" s="1"/>
  <c r="D189" i="10"/>
  <c r="F188" i="10"/>
  <c r="E185" i="10"/>
  <c r="F184" i="10"/>
  <c r="C181" i="10"/>
  <c r="G181" i="10"/>
  <c r="D181" i="10"/>
  <c r="H181" i="10"/>
  <c r="C180" i="10"/>
  <c r="C177" i="10"/>
  <c r="G177" i="10"/>
  <c r="D177" i="10"/>
  <c r="H177" i="10"/>
  <c r="C176" i="10"/>
  <c r="C173" i="10"/>
  <c r="G173" i="10"/>
  <c r="D173" i="10"/>
  <c r="H173" i="10"/>
  <c r="C172" i="10"/>
  <c r="C169" i="10"/>
  <c r="G169" i="10"/>
  <c r="D169" i="10"/>
  <c r="H169" i="10"/>
  <c r="C168" i="10"/>
  <c r="C165" i="10"/>
  <c r="G165" i="10"/>
  <c r="D165" i="10"/>
  <c r="H165" i="10"/>
  <c r="C164" i="10"/>
  <c r="C161" i="10"/>
  <c r="G161" i="10"/>
  <c r="D161" i="10"/>
  <c r="H161" i="10"/>
  <c r="C160" i="10"/>
  <c r="C157" i="10"/>
  <c r="G157" i="10"/>
  <c r="D157" i="10"/>
  <c r="H157" i="10"/>
  <c r="C156" i="10"/>
  <c r="C153" i="10"/>
  <c r="G153" i="10"/>
  <c r="D153" i="10"/>
  <c r="H153" i="10"/>
  <c r="C152" i="10"/>
  <c r="C149" i="10"/>
  <c r="G149" i="10"/>
  <c r="D149" i="10"/>
  <c r="H149" i="10"/>
  <c r="C148" i="10"/>
  <c r="K146" i="10"/>
  <c r="L146" i="10" s="1"/>
  <c r="G145" i="10"/>
  <c r="H139" i="10"/>
  <c r="G134" i="10"/>
  <c r="C135" i="10"/>
  <c r="G135" i="10"/>
  <c r="F183" i="10"/>
  <c r="D142" i="10"/>
  <c r="H142" i="10"/>
  <c r="E137" i="10"/>
  <c r="K137" i="10"/>
  <c r="L137" i="10" s="1"/>
  <c r="F135" i="10"/>
  <c r="K187" i="10"/>
  <c r="L187" i="10" s="1"/>
  <c r="K183" i="10"/>
  <c r="L183" i="10" s="1"/>
  <c r="K179" i="10"/>
  <c r="L179" i="10" s="1"/>
  <c r="K175" i="10"/>
  <c r="L175" i="10" s="1"/>
  <c r="K171" i="10"/>
  <c r="L171" i="10" s="1"/>
  <c r="K167" i="10"/>
  <c r="L167" i="10" s="1"/>
  <c r="K163" i="10"/>
  <c r="L163" i="10" s="1"/>
  <c r="K159" i="10"/>
  <c r="L159" i="10" s="1"/>
  <c r="K155" i="10"/>
  <c r="L155" i="10" s="1"/>
  <c r="K151" i="10"/>
  <c r="L151" i="10" s="1"/>
  <c r="K147" i="10"/>
  <c r="L147" i="10" s="1"/>
  <c r="C143" i="10"/>
  <c r="G143" i="10"/>
  <c r="F142" i="10"/>
  <c r="D138" i="10"/>
  <c r="H138" i="10"/>
  <c r="F137" i="10"/>
  <c r="E135" i="10"/>
  <c r="B298" i="10"/>
  <c r="H298" i="10" s="1"/>
  <c r="B299" i="10"/>
  <c r="D299" i="10" s="1"/>
  <c r="B300" i="10"/>
  <c r="H300" i="10" s="1"/>
  <c r="B301" i="10"/>
  <c r="H301" i="10" s="1"/>
  <c r="B302" i="10"/>
  <c r="D302" i="10" s="1"/>
  <c r="B303" i="10"/>
  <c r="C303" i="10" s="1"/>
  <c r="B304" i="10"/>
  <c r="D304" i="10" s="1"/>
  <c r="B7" i="10"/>
  <c r="E7" i="10" s="1"/>
  <c r="B8" i="10"/>
  <c r="D8" i="10" s="1"/>
  <c r="B6" i="10"/>
  <c r="E6" i="10" s="1"/>
  <c r="C27" i="9"/>
  <c r="C5" i="9"/>
  <c r="C7" i="9"/>
  <c r="C21" i="9"/>
  <c r="C23" i="9"/>
  <c r="C13" i="9"/>
  <c r="C13" i="10" s="1"/>
  <c r="L27" i="9"/>
  <c r="L5" i="9"/>
  <c r="L8" i="9"/>
  <c r="L7" i="9"/>
  <c r="L21" i="9"/>
  <c r="L23" i="9"/>
  <c r="L13" i="9"/>
  <c r="K13" i="10" s="1"/>
  <c r="L13" i="10" s="1"/>
  <c r="R27" i="9"/>
  <c r="R5" i="9"/>
  <c r="R8" i="9"/>
  <c r="R7" i="9"/>
  <c r="R21" i="9"/>
  <c r="R23" i="9"/>
  <c r="R13" i="9"/>
  <c r="X27" i="9"/>
  <c r="X5" i="9"/>
  <c r="X8" i="9"/>
  <c r="X7" i="9"/>
  <c r="X21" i="9"/>
  <c r="X23" i="9"/>
  <c r="X13" i="9"/>
  <c r="AD27" i="9"/>
  <c r="AD5" i="9"/>
  <c r="AD8" i="9"/>
  <c r="AD7" i="9"/>
  <c r="AD21" i="9"/>
  <c r="AD23" i="9"/>
  <c r="AD13" i="9"/>
  <c r="L10" i="9"/>
  <c r="E301" i="10" l="1"/>
  <c r="F301" i="10"/>
  <c r="G298" i="10"/>
  <c r="G304" i="10"/>
  <c r="D301" i="10"/>
  <c r="K301" i="10"/>
  <c r="L301" i="10" s="1"/>
  <c r="C304" i="10"/>
  <c r="K304" i="10"/>
  <c r="L304" i="10" s="1"/>
  <c r="H304" i="10"/>
  <c r="C300" i="10"/>
  <c r="E304" i="10"/>
  <c r="F304" i="10"/>
  <c r="C301" i="10"/>
  <c r="G301" i="10"/>
  <c r="G300" i="10"/>
  <c r="E303" i="10"/>
  <c r="F300" i="10"/>
  <c r="C298" i="10"/>
  <c r="K298" i="10"/>
  <c r="L298" i="10" s="1"/>
  <c r="G303" i="10"/>
  <c r="F303" i="10"/>
  <c r="D303" i="10"/>
  <c r="E300" i="10"/>
  <c r="D300" i="10"/>
  <c r="H303" i="10"/>
  <c r="K303" i="10"/>
  <c r="L303" i="10" s="1"/>
  <c r="D298" i="10"/>
  <c r="G299" i="10"/>
  <c r="E298" i="10"/>
  <c r="F298" i="10"/>
  <c r="H302" i="10"/>
  <c r="F299" i="10"/>
  <c r="E299" i="10"/>
  <c r="E302" i="10"/>
  <c r="F302" i="10"/>
  <c r="H299" i="10"/>
  <c r="K299" i="10"/>
  <c r="L299" i="10" s="1"/>
  <c r="K302" i="10"/>
  <c r="L302" i="10" s="1"/>
  <c r="G302" i="10"/>
  <c r="K300" i="10"/>
  <c r="L300" i="10" s="1"/>
  <c r="C302" i="10"/>
  <c r="C299" i="10"/>
  <c r="F6" i="10"/>
  <c r="F7" i="10"/>
  <c r="H8" i="10"/>
  <c r="F8" i="10"/>
  <c r="E8" i="10"/>
  <c r="G8" i="10"/>
  <c r="H7" i="10"/>
  <c r="D7" i="10"/>
  <c r="G7" i="10"/>
  <c r="H6" i="10"/>
  <c r="D6" i="10"/>
  <c r="G6" i="10"/>
  <c r="AE13" i="9"/>
  <c r="AE7" i="9"/>
  <c r="AE23" i="9"/>
  <c r="AE21" i="9"/>
  <c r="AE8" i="9"/>
  <c r="AE5" i="9"/>
  <c r="AE27" i="9"/>
  <c r="C10" i="9" l="1"/>
  <c r="C14" i="9"/>
  <c r="C14" i="10" s="1"/>
  <c r="C11" i="9"/>
  <c r="C12" i="10" s="1"/>
  <c r="C25" i="9"/>
  <c r="C26" i="9"/>
  <c r="C16" i="9"/>
  <c r="C20" i="9"/>
  <c r="C9" i="9"/>
  <c r="C6" i="9"/>
  <c r="C15" i="9"/>
  <c r="C18" i="9"/>
  <c r="C4" i="9"/>
  <c r="B305" i="10"/>
  <c r="C305" i="10" s="1"/>
  <c r="B306" i="10"/>
  <c r="K306" i="10" s="1"/>
  <c r="L306" i="10" s="1"/>
  <c r="B307" i="10"/>
  <c r="D307" i="10" s="1"/>
  <c r="B308" i="10"/>
  <c r="G308" i="10" s="1"/>
  <c r="L14" i="9"/>
  <c r="K14" i="10" s="1"/>
  <c r="L14" i="10" s="1"/>
  <c r="R14" i="9"/>
  <c r="X14" i="9"/>
  <c r="AD14" i="9"/>
  <c r="L11" i="9"/>
  <c r="R11" i="9"/>
  <c r="X11" i="9"/>
  <c r="AD11" i="9"/>
  <c r="L18" i="9"/>
  <c r="L15" i="9"/>
  <c r="L28" i="9"/>
  <c r="R18" i="9"/>
  <c r="R15" i="9"/>
  <c r="R28" i="9"/>
  <c r="X18" i="9"/>
  <c r="X15" i="9"/>
  <c r="X28" i="9"/>
  <c r="AD18" i="9"/>
  <c r="AD15" i="9"/>
  <c r="AD28" i="9"/>
  <c r="L26" i="9"/>
  <c r="L20" i="9"/>
  <c r="R26" i="9"/>
  <c r="R20" i="9"/>
  <c r="X26" i="9"/>
  <c r="X20" i="9"/>
  <c r="AD26" i="9"/>
  <c r="AD20" i="9"/>
  <c r="L12" i="9"/>
  <c r="R12" i="9"/>
  <c r="X12" i="9"/>
  <c r="AD12" i="9"/>
  <c r="K12" i="10" l="1"/>
  <c r="L12" i="10" s="1"/>
  <c r="K11" i="10"/>
  <c r="L11" i="10" s="1"/>
  <c r="C11" i="10"/>
  <c r="C10" i="10"/>
  <c r="C9" i="10"/>
  <c r="C8" i="10"/>
  <c r="C6" i="10"/>
  <c r="C7" i="10"/>
  <c r="C307" i="10"/>
  <c r="G306" i="10"/>
  <c r="H306" i="10"/>
  <c r="G305" i="10"/>
  <c r="F308" i="10"/>
  <c r="F306" i="10"/>
  <c r="E306" i="10"/>
  <c r="C306" i="10"/>
  <c r="F305" i="10"/>
  <c r="D305" i="10"/>
  <c r="E305" i="10"/>
  <c r="H305" i="10"/>
  <c r="K305" i="10"/>
  <c r="L305" i="10" s="1"/>
  <c r="D306" i="10"/>
  <c r="E308" i="10"/>
  <c r="D308" i="10"/>
  <c r="C308" i="10"/>
  <c r="K307" i="10"/>
  <c r="L307" i="10" s="1"/>
  <c r="H307" i="10"/>
  <c r="G307" i="10"/>
  <c r="F307" i="10"/>
  <c r="H308" i="10"/>
  <c r="E307" i="10"/>
  <c r="K308" i="10"/>
  <c r="L308" i="10" s="1"/>
  <c r="AE14" i="9"/>
  <c r="AE11" i="9"/>
  <c r="AE15" i="9"/>
  <c r="AE18" i="9"/>
  <c r="AE28" i="9"/>
  <c r="AE20" i="9"/>
  <c r="AE26" i="9"/>
  <c r="AE12" i="9"/>
  <c r="L4" i="9" l="1"/>
  <c r="R4" i="9"/>
  <c r="X4" i="9"/>
  <c r="AD4" i="9"/>
  <c r="AE4" i="9" l="1"/>
  <c r="L25" i="9"/>
  <c r="R25" i="9"/>
  <c r="X25" i="9"/>
  <c r="AD25" i="9"/>
  <c r="AE25" i="9" l="1"/>
  <c r="L16" i="9"/>
  <c r="R16" i="9"/>
  <c r="X16" i="9"/>
  <c r="AD16" i="9"/>
  <c r="K10" i="10" l="1"/>
  <c r="L10" i="10" s="1"/>
  <c r="AE16" i="9"/>
  <c r="B5" i="10"/>
  <c r="E5" i="10" s="1"/>
  <c r="G5" i="10" l="1"/>
  <c r="F5" i="10"/>
  <c r="H5" i="10"/>
  <c r="D5" i="10"/>
  <c r="L6" i="9" l="1"/>
  <c r="K9" i="10" s="1"/>
  <c r="L9" i="10" s="1"/>
  <c r="R6" i="9"/>
  <c r="X6" i="9"/>
  <c r="AD6" i="9"/>
  <c r="R9" i="9"/>
  <c r="X9" i="9"/>
  <c r="AD9" i="9"/>
  <c r="AE9" i="9" l="1"/>
  <c r="AE6" i="9"/>
  <c r="C5" i="10" l="1"/>
  <c r="R10" i="9"/>
  <c r="X10" i="9"/>
  <c r="AD10" i="9"/>
  <c r="L31" i="9" l="1"/>
  <c r="K6" i="10"/>
  <c r="L6" i="10" s="1"/>
  <c r="AE10" i="9"/>
  <c r="K5" i="10" l="1"/>
  <c r="L5" i="10" s="1"/>
  <c r="K8" i="10" l="1"/>
  <c r="L8" i="10" s="1"/>
  <c r="K7" i="10"/>
  <c r="L7" i="10" s="1"/>
  <c r="B4" i="10" l="1"/>
  <c r="D4" i="10" s="1"/>
  <c r="G4" i="10" l="1"/>
  <c r="F4" i="10"/>
  <c r="E4" i="10"/>
  <c r="H4" i="10"/>
  <c r="C4" i="10" l="1"/>
  <c r="K4" i="10" l="1"/>
  <c r="L4" i="10" s="1"/>
  <c r="B14" i="7"/>
  <c r="B13" i="7"/>
  <c r="B11" i="7"/>
  <c r="T293" i="1"/>
  <c r="S293" i="1"/>
  <c r="R293" i="1"/>
  <c r="Q293" i="1"/>
  <c r="M293" i="1"/>
  <c r="L293" i="1"/>
  <c r="T292" i="1"/>
  <c r="S292" i="1"/>
  <c r="R292" i="1"/>
  <c r="Q292" i="1"/>
  <c r="M292" i="1"/>
  <c r="L292" i="1"/>
  <c r="T291" i="1"/>
  <c r="S291" i="1"/>
  <c r="R291" i="1"/>
  <c r="Q291" i="1"/>
  <c r="M291" i="1"/>
  <c r="L291" i="1"/>
  <c r="T288" i="1"/>
  <c r="S288" i="1"/>
  <c r="R288" i="1"/>
  <c r="Q288" i="1"/>
  <c r="M288" i="1"/>
  <c r="L288" i="1"/>
  <c r="T287" i="1"/>
  <c r="S287" i="1"/>
  <c r="R287" i="1"/>
  <c r="Q287" i="1"/>
  <c r="M287" i="1"/>
  <c r="L287" i="1"/>
  <c r="T286" i="1"/>
  <c r="S286" i="1"/>
  <c r="R286" i="1"/>
  <c r="Q286" i="1"/>
  <c r="M286" i="1"/>
  <c r="L286" i="1"/>
  <c r="T280" i="1"/>
  <c r="S280" i="1"/>
  <c r="R280" i="1"/>
  <c r="Q280" i="1"/>
  <c r="M280" i="1"/>
  <c r="L280" i="1"/>
  <c r="T277" i="1"/>
  <c r="S277" i="1"/>
  <c r="R277" i="1"/>
  <c r="Q277" i="1"/>
  <c r="M277" i="1"/>
  <c r="L277" i="1"/>
  <c r="T276" i="1"/>
  <c r="S276" i="1"/>
  <c r="R276" i="1"/>
  <c r="Q276" i="1"/>
  <c r="M276" i="1"/>
  <c r="L276" i="1"/>
  <c r="T413" i="1"/>
  <c r="S413" i="1"/>
  <c r="R413" i="1"/>
  <c r="Q413" i="1"/>
  <c r="M413" i="1"/>
  <c r="L413" i="1"/>
  <c r="T398" i="1"/>
  <c r="S398" i="1"/>
  <c r="R398" i="1"/>
  <c r="Q398" i="1"/>
  <c r="M398" i="1"/>
  <c r="L398" i="1"/>
  <c r="T394" i="1"/>
  <c r="S394" i="1"/>
  <c r="R394" i="1"/>
  <c r="Q394" i="1"/>
  <c r="M394" i="1"/>
  <c r="L394" i="1"/>
  <c r="T393" i="1"/>
  <c r="S393" i="1"/>
  <c r="R393" i="1"/>
  <c r="Q393" i="1"/>
  <c r="M393" i="1"/>
  <c r="L393" i="1"/>
  <c r="T392" i="1"/>
  <c r="S392" i="1"/>
  <c r="R392" i="1"/>
  <c r="Q392" i="1"/>
  <c r="M392" i="1"/>
  <c r="L392" i="1"/>
  <c r="T391" i="1"/>
  <c r="S391" i="1"/>
  <c r="R391" i="1"/>
  <c r="Q391" i="1"/>
  <c r="M391" i="1"/>
  <c r="L391" i="1"/>
  <c r="T390" i="1"/>
  <c r="S390" i="1"/>
  <c r="R390" i="1"/>
  <c r="Q390" i="1"/>
  <c r="M390" i="1"/>
  <c r="L390" i="1"/>
  <c r="T389" i="1"/>
  <c r="S389" i="1"/>
  <c r="R389" i="1"/>
  <c r="Q389" i="1"/>
  <c r="M389" i="1"/>
  <c r="L389" i="1"/>
  <c r="T388" i="1"/>
  <c r="S388" i="1"/>
  <c r="R388" i="1"/>
  <c r="Q388" i="1"/>
  <c r="M388" i="1"/>
  <c r="L388" i="1"/>
  <c r="T387" i="1"/>
  <c r="S387" i="1"/>
  <c r="R387" i="1"/>
  <c r="Q387" i="1"/>
  <c r="M387" i="1"/>
  <c r="L387" i="1"/>
  <c r="T386" i="1"/>
  <c r="S386" i="1"/>
  <c r="R386" i="1"/>
  <c r="Q386" i="1"/>
  <c r="M386" i="1"/>
  <c r="L386" i="1"/>
  <c r="T385" i="1"/>
  <c r="S385" i="1"/>
  <c r="R385" i="1"/>
  <c r="Q385" i="1"/>
  <c r="M385" i="1"/>
  <c r="L385" i="1"/>
  <c r="T427" i="1"/>
  <c r="S427" i="1"/>
  <c r="R427" i="1"/>
  <c r="Q427" i="1"/>
  <c r="M427" i="1"/>
  <c r="L427" i="1"/>
  <c r="T384" i="1"/>
  <c r="S384" i="1"/>
  <c r="R384" i="1"/>
  <c r="Q384" i="1"/>
  <c r="M384" i="1"/>
  <c r="L384" i="1"/>
  <c r="T383" i="1"/>
  <c r="S383" i="1"/>
  <c r="R383" i="1"/>
  <c r="Q383" i="1"/>
  <c r="M383" i="1"/>
  <c r="L383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55" i="1"/>
  <c r="U54" i="1"/>
  <c r="U53" i="1"/>
  <c r="U52" i="1"/>
  <c r="U51" i="1"/>
  <c r="U50" i="1"/>
  <c r="U47" i="1"/>
  <c r="U46" i="1"/>
  <c r="U45" i="1"/>
  <c r="U44" i="1"/>
  <c r="U43" i="1"/>
  <c r="U42" i="1"/>
  <c r="U41" i="1"/>
  <c r="U40" i="1"/>
  <c r="U39" i="1"/>
  <c r="U38" i="1"/>
  <c r="U36" i="1"/>
  <c r="U35" i="1"/>
  <c r="U34" i="1"/>
  <c r="U33" i="1"/>
  <c r="U32" i="1"/>
  <c r="U31" i="1"/>
  <c r="U29" i="1"/>
  <c r="U28" i="1"/>
  <c r="U27" i="1"/>
  <c r="U25" i="1"/>
  <c r="U24" i="1"/>
  <c r="U23" i="1"/>
  <c r="U22" i="1"/>
  <c r="U20" i="1"/>
  <c r="U19" i="1"/>
  <c r="U17" i="1"/>
  <c r="U16" i="1"/>
  <c r="U15" i="1"/>
  <c r="U14" i="1"/>
  <c r="U13" i="1"/>
  <c r="U12" i="1"/>
  <c r="U9" i="1"/>
  <c r="U8" i="1"/>
  <c r="U7" i="1"/>
  <c r="T119" i="1"/>
  <c r="S119" i="1"/>
  <c r="R119" i="1"/>
  <c r="Q119" i="1"/>
  <c r="M119" i="1"/>
  <c r="L119" i="1"/>
  <c r="T118" i="1"/>
  <c r="S118" i="1"/>
  <c r="R118" i="1"/>
  <c r="Q118" i="1"/>
  <c r="M118" i="1"/>
  <c r="L118" i="1"/>
  <c r="T49" i="1"/>
  <c r="S49" i="1"/>
  <c r="R49" i="1"/>
  <c r="Q49" i="1"/>
  <c r="M49" i="1"/>
  <c r="L49" i="1"/>
  <c r="T48" i="1"/>
  <c r="S48" i="1"/>
  <c r="R48" i="1"/>
  <c r="Q48" i="1"/>
  <c r="M48" i="1"/>
  <c r="L48" i="1"/>
  <c r="T37" i="1"/>
  <c r="S37" i="1"/>
  <c r="R37" i="1"/>
  <c r="Q37" i="1"/>
  <c r="M37" i="1"/>
  <c r="L37" i="1"/>
  <c r="T30" i="1"/>
  <c r="S30" i="1"/>
  <c r="R30" i="1"/>
  <c r="Q30" i="1"/>
  <c r="M30" i="1"/>
  <c r="L30" i="1"/>
  <c r="T26" i="1"/>
  <c r="S26" i="1"/>
  <c r="R26" i="1"/>
  <c r="Q26" i="1"/>
  <c r="M26" i="1"/>
  <c r="L26" i="1"/>
  <c r="T21" i="1"/>
  <c r="S21" i="1"/>
  <c r="R21" i="1"/>
  <c r="Q21" i="1"/>
  <c r="M21" i="1"/>
  <c r="L21" i="1"/>
  <c r="T18" i="1"/>
  <c r="S18" i="1"/>
  <c r="R18" i="1"/>
  <c r="Q18" i="1"/>
  <c r="M18" i="1"/>
  <c r="L18" i="1"/>
  <c r="T11" i="1"/>
  <c r="S11" i="1"/>
  <c r="R11" i="1"/>
  <c r="Q11" i="1"/>
  <c r="M11" i="1"/>
  <c r="L11" i="1"/>
  <c r="T10" i="1"/>
  <c r="S10" i="1"/>
  <c r="R10" i="1"/>
  <c r="Q10" i="1"/>
  <c r="M10" i="1"/>
  <c r="L10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I1849" i="1"/>
  <c r="H1849" i="1"/>
  <c r="G1849" i="1"/>
  <c r="F1849" i="1"/>
  <c r="B1849" i="1"/>
  <c r="A1849" i="1"/>
  <c r="I1841" i="1"/>
  <c r="H1841" i="1"/>
  <c r="G1841" i="1"/>
  <c r="F1841" i="1"/>
  <c r="B1841" i="1"/>
  <c r="A1841" i="1"/>
  <c r="B2414" i="4"/>
  <c r="B2413" i="4"/>
  <c r="B2412" i="4"/>
  <c r="B2411" i="4"/>
  <c r="B2410" i="4"/>
  <c r="B2409" i="4"/>
  <c r="B2408" i="4"/>
  <c r="B2407" i="4"/>
  <c r="B2406" i="4"/>
  <c r="B2405" i="4"/>
  <c r="B2404" i="4"/>
  <c r="B2392" i="4"/>
  <c r="B2391" i="4"/>
  <c r="B2390" i="4"/>
  <c r="B2389" i="4"/>
  <c r="B2388" i="4"/>
  <c r="B2387" i="4"/>
  <c r="B2386" i="4"/>
  <c r="B2385" i="4"/>
  <c r="B2384" i="4"/>
  <c r="B2383" i="4"/>
  <c r="B2382" i="4"/>
  <c r="B2381" i="4"/>
  <c r="B2380" i="4"/>
  <c r="B2379" i="4"/>
  <c r="I2433" i="4"/>
  <c r="H2431" i="4"/>
  <c r="H2435" i="4" s="1"/>
  <c r="G2431" i="4"/>
  <c r="G2435" i="4" s="1"/>
  <c r="F2431" i="4"/>
  <c r="F2435" i="4" s="1"/>
  <c r="E2431" i="4"/>
  <c r="E2435" i="4" s="1"/>
  <c r="D2431" i="4"/>
  <c r="D2435" i="4" s="1"/>
  <c r="C2431" i="4"/>
  <c r="C2435" i="4" s="1"/>
  <c r="I2430" i="4"/>
  <c r="I2429" i="4"/>
  <c r="I2428" i="4"/>
  <c r="I2427" i="4"/>
  <c r="I2426" i="4"/>
  <c r="I2425" i="4"/>
  <c r="I2424" i="4"/>
  <c r="I2423" i="4"/>
  <c r="I2422" i="4"/>
  <c r="I2421" i="4"/>
  <c r="I2420" i="4"/>
  <c r="I2419" i="4"/>
  <c r="I2418" i="4"/>
  <c r="I2417" i="4"/>
  <c r="I2416" i="4"/>
  <c r="I2415" i="4"/>
  <c r="I2414" i="4"/>
  <c r="D1872" i="1" s="1"/>
  <c r="J1872" i="1" s="1"/>
  <c r="I2413" i="4"/>
  <c r="D1871" i="1" s="1"/>
  <c r="J1871" i="1" s="1"/>
  <c r="I2412" i="4"/>
  <c r="D1870" i="1" s="1"/>
  <c r="J1870" i="1" s="1"/>
  <c r="I2411" i="4"/>
  <c r="D1869" i="1" s="1"/>
  <c r="J1869" i="1" s="1"/>
  <c r="I2410" i="4"/>
  <c r="D1868" i="1" s="1"/>
  <c r="J1868" i="1" s="1"/>
  <c r="I2409" i="4"/>
  <c r="D1867" i="1" s="1"/>
  <c r="J1867" i="1" s="1"/>
  <c r="I2408" i="4"/>
  <c r="D1866" i="1" s="1"/>
  <c r="J1866" i="1" s="1"/>
  <c r="I2407" i="4"/>
  <c r="D1865" i="1" s="1"/>
  <c r="J1865" i="1" s="1"/>
  <c r="I2406" i="4"/>
  <c r="D1864" i="1" s="1"/>
  <c r="J1864" i="1" s="1"/>
  <c r="I2405" i="4"/>
  <c r="D1863" i="1" s="1"/>
  <c r="J1863" i="1" s="1"/>
  <c r="I2404" i="4"/>
  <c r="D1862" i="1" s="1"/>
  <c r="J1862" i="1" s="1"/>
  <c r="I1840" i="1"/>
  <c r="I1839" i="1"/>
  <c r="I1838" i="1"/>
  <c r="H1840" i="1"/>
  <c r="H1839" i="1"/>
  <c r="H1838" i="1"/>
  <c r="G1840" i="1"/>
  <c r="G1839" i="1"/>
  <c r="G1838" i="1"/>
  <c r="F1840" i="1"/>
  <c r="F1839" i="1"/>
  <c r="F1838" i="1"/>
  <c r="B1840" i="1"/>
  <c r="B1839" i="1"/>
  <c r="B1838" i="1"/>
  <c r="A1840" i="1"/>
  <c r="A1839" i="1"/>
  <c r="A1838" i="1"/>
  <c r="B2378" i="4"/>
  <c r="B2377" i="4"/>
  <c r="B2376" i="4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B2375" i="4"/>
  <c r="B2374" i="4"/>
  <c r="B2373" i="4"/>
  <c r="B2372" i="4"/>
  <c r="B2371" i="4"/>
  <c r="B2370" i="4"/>
  <c r="B2369" i="4"/>
  <c r="B2368" i="4"/>
  <c r="B2367" i="4"/>
  <c r="B2366" i="4"/>
  <c r="B2354" i="4"/>
  <c r="B2353" i="4"/>
  <c r="B2352" i="4"/>
  <c r="I2395" i="4"/>
  <c r="H2393" i="4"/>
  <c r="H2397" i="4" s="1"/>
  <c r="G2393" i="4"/>
  <c r="G2397" i="4" s="1"/>
  <c r="F2393" i="4"/>
  <c r="F2397" i="4" s="1"/>
  <c r="E2393" i="4"/>
  <c r="E2397" i="4" s="1"/>
  <c r="D2393" i="4"/>
  <c r="D2397" i="4" s="1"/>
  <c r="C2393" i="4"/>
  <c r="C2397" i="4" s="1"/>
  <c r="I2392" i="4"/>
  <c r="D1861" i="1" s="1"/>
  <c r="J1861" i="1" s="1"/>
  <c r="I2391" i="4"/>
  <c r="D1860" i="1" s="1"/>
  <c r="J1860" i="1" s="1"/>
  <c r="I2390" i="4"/>
  <c r="I2389" i="4"/>
  <c r="D1858" i="1" s="1"/>
  <c r="J1858" i="1" s="1"/>
  <c r="I2388" i="4"/>
  <c r="D1857" i="1" s="1"/>
  <c r="J1857" i="1" s="1"/>
  <c r="I2387" i="4"/>
  <c r="D1856" i="1" s="1"/>
  <c r="J1856" i="1" s="1"/>
  <c r="I2386" i="4"/>
  <c r="D1855" i="1" s="1"/>
  <c r="J1855" i="1" s="1"/>
  <c r="I2385" i="4"/>
  <c r="D1854" i="1" s="1"/>
  <c r="J1854" i="1" s="1"/>
  <c r="I2384" i="4"/>
  <c r="D1853" i="1" s="1"/>
  <c r="J1853" i="1" s="1"/>
  <c r="I2383" i="4"/>
  <c r="D1852" i="1" s="1"/>
  <c r="J1852" i="1" s="1"/>
  <c r="I2382" i="4"/>
  <c r="D1851" i="1" s="1"/>
  <c r="J1851" i="1" s="1"/>
  <c r="I2381" i="4"/>
  <c r="D1850" i="1" s="1"/>
  <c r="J1850" i="1" s="1"/>
  <c r="I2380" i="4"/>
  <c r="D1849" i="1" s="1"/>
  <c r="J1849" i="1" s="1"/>
  <c r="I2379" i="4"/>
  <c r="D1841" i="1" s="1"/>
  <c r="J1841" i="1" s="1"/>
  <c r="I2378" i="4"/>
  <c r="D1840" i="1" s="1"/>
  <c r="J1840" i="1" s="1"/>
  <c r="I2377" i="4"/>
  <c r="D1839" i="1" s="1"/>
  <c r="J1839" i="1" s="1"/>
  <c r="I2376" i="4"/>
  <c r="D1838" i="1" s="1"/>
  <c r="J1838" i="1" s="1"/>
  <c r="I2375" i="4"/>
  <c r="D1837" i="1" s="1"/>
  <c r="J1837" i="1" s="1"/>
  <c r="I2374" i="4"/>
  <c r="D1836" i="1" s="1"/>
  <c r="J1836" i="1" s="1"/>
  <c r="I2373" i="4"/>
  <c r="D1835" i="1" s="1"/>
  <c r="J1835" i="1" s="1"/>
  <c r="I2372" i="4"/>
  <c r="D1834" i="1" s="1"/>
  <c r="J1834" i="1" s="1"/>
  <c r="I2371" i="4"/>
  <c r="D1833" i="1" s="1"/>
  <c r="J1833" i="1" s="1"/>
  <c r="I2370" i="4"/>
  <c r="D1832" i="1" s="1"/>
  <c r="J1832" i="1" s="1"/>
  <c r="I2369" i="4"/>
  <c r="D1831" i="1" s="1"/>
  <c r="J1831" i="1" s="1"/>
  <c r="I2368" i="4"/>
  <c r="D1830" i="1" s="1"/>
  <c r="J1830" i="1" s="1"/>
  <c r="I2367" i="4"/>
  <c r="D1829" i="1" s="1"/>
  <c r="J1829" i="1" s="1"/>
  <c r="I2366" i="4"/>
  <c r="D1828" i="1" s="1"/>
  <c r="J1828" i="1" s="1"/>
  <c r="I1824" i="1"/>
  <c r="I1823" i="1"/>
  <c r="I1822" i="1"/>
  <c r="I1821" i="1"/>
  <c r="I1820" i="1"/>
  <c r="I1819" i="1"/>
  <c r="H1824" i="1"/>
  <c r="H1823" i="1"/>
  <c r="H1822" i="1"/>
  <c r="H1821" i="1"/>
  <c r="H1820" i="1"/>
  <c r="H1819" i="1"/>
  <c r="G1824" i="1"/>
  <c r="G1823" i="1"/>
  <c r="G1822" i="1"/>
  <c r="G1821" i="1"/>
  <c r="G1820" i="1"/>
  <c r="G1819" i="1"/>
  <c r="F1824" i="1"/>
  <c r="F1823" i="1"/>
  <c r="F1822" i="1"/>
  <c r="F1821" i="1"/>
  <c r="F1820" i="1"/>
  <c r="F1819" i="1"/>
  <c r="A1822" i="1"/>
  <c r="B1824" i="1"/>
  <c r="B1823" i="1"/>
  <c r="B1822" i="1"/>
  <c r="B1821" i="1"/>
  <c r="B1820" i="1"/>
  <c r="B1819" i="1"/>
  <c r="A1824" i="1"/>
  <c r="A1823" i="1"/>
  <c r="A1821" i="1"/>
  <c r="A1820" i="1"/>
  <c r="A1819" i="1"/>
  <c r="B2351" i="4"/>
  <c r="B2350" i="4"/>
  <c r="B2349" i="4"/>
  <c r="B2348" i="4"/>
  <c r="B2347" i="4"/>
  <c r="B2346" i="4"/>
  <c r="I1818" i="1"/>
  <c r="I1817" i="1"/>
  <c r="H1818" i="1"/>
  <c r="H1817" i="1"/>
  <c r="G1818" i="1"/>
  <c r="G1817" i="1"/>
  <c r="F1818" i="1"/>
  <c r="F1817" i="1"/>
  <c r="B1818" i="1"/>
  <c r="B1817" i="1"/>
  <c r="A1818" i="1"/>
  <c r="A1817" i="1"/>
  <c r="B2345" i="4"/>
  <c r="B2344" i="4"/>
  <c r="I1816" i="1"/>
  <c r="I1815" i="1"/>
  <c r="I1814" i="1"/>
  <c r="I1813" i="1"/>
  <c r="I1812" i="1"/>
  <c r="I1811" i="1"/>
  <c r="I1810" i="1"/>
  <c r="I1809" i="1"/>
  <c r="I1808" i="1"/>
  <c r="I1807" i="1"/>
  <c r="H1816" i="1"/>
  <c r="H1815" i="1"/>
  <c r="H1814" i="1"/>
  <c r="H1813" i="1"/>
  <c r="H1812" i="1"/>
  <c r="H1811" i="1"/>
  <c r="H1810" i="1"/>
  <c r="H1809" i="1"/>
  <c r="H1808" i="1"/>
  <c r="H1807" i="1"/>
  <c r="G1816" i="1"/>
  <c r="G1815" i="1"/>
  <c r="G1814" i="1"/>
  <c r="G1813" i="1"/>
  <c r="G1812" i="1"/>
  <c r="G1811" i="1"/>
  <c r="G1810" i="1"/>
  <c r="G1809" i="1"/>
  <c r="G1808" i="1"/>
  <c r="G1807" i="1"/>
  <c r="F1816" i="1"/>
  <c r="F1815" i="1"/>
  <c r="F1814" i="1"/>
  <c r="F1813" i="1"/>
  <c r="F1812" i="1"/>
  <c r="F1811" i="1"/>
  <c r="F1810" i="1"/>
  <c r="F1809" i="1"/>
  <c r="F1808" i="1"/>
  <c r="F1807" i="1"/>
  <c r="B1816" i="1"/>
  <c r="B1815" i="1"/>
  <c r="B1814" i="1"/>
  <c r="B1813" i="1"/>
  <c r="B1812" i="1"/>
  <c r="B1811" i="1"/>
  <c r="B1810" i="1"/>
  <c r="B1809" i="1"/>
  <c r="B1808" i="1"/>
  <c r="B1807" i="1"/>
  <c r="A1816" i="1"/>
  <c r="A1815" i="1"/>
  <c r="A1814" i="1"/>
  <c r="A1813" i="1"/>
  <c r="A1812" i="1"/>
  <c r="A1811" i="1"/>
  <c r="A1810" i="1"/>
  <c r="A1809" i="1"/>
  <c r="A1808" i="1"/>
  <c r="A1807" i="1"/>
  <c r="B2343" i="4"/>
  <c r="B2342" i="4"/>
  <c r="B2341" i="4"/>
  <c r="B2340" i="4"/>
  <c r="B2339" i="4"/>
  <c r="B2338" i="4"/>
  <c r="B2337" i="4"/>
  <c r="B2336" i="4"/>
  <c r="B2335" i="4"/>
  <c r="B2334" i="4"/>
  <c r="G1056" i="1"/>
  <c r="H1056" i="1"/>
  <c r="I1056" i="1"/>
  <c r="B2333" i="4"/>
  <c r="B2332" i="4"/>
  <c r="B2331" i="4"/>
  <c r="B2330" i="4"/>
  <c r="B2329" i="4"/>
  <c r="B2328" i="4"/>
  <c r="I2357" i="4"/>
  <c r="H2355" i="4"/>
  <c r="H2359" i="4" s="1"/>
  <c r="G2355" i="4"/>
  <c r="G2359" i="4" s="1"/>
  <c r="F2355" i="4"/>
  <c r="F2359" i="4" s="1"/>
  <c r="E2355" i="4"/>
  <c r="E2359" i="4" s="1"/>
  <c r="D2355" i="4"/>
  <c r="D2359" i="4" s="1"/>
  <c r="C2355" i="4"/>
  <c r="C2359" i="4" s="1"/>
  <c r="I2354" i="4"/>
  <c r="D1827" i="1" s="1"/>
  <c r="J1827" i="1" s="1"/>
  <c r="I2353" i="4"/>
  <c r="D1826" i="1" s="1"/>
  <c r="J1826" i="1" s="1"/>
  <c r="I2352" i="4"/>
  <c r="D1825" i="1" s="1"/>
  <c r="J1825" i="1" s="1"/>
  <c r="I2351" i="4"/>
  <c r="D1824" i="1" s="1"/>
  <c r="J1824" i="1" s="1"/>
  <c r="I2350" i="4"/>
  <c r="D1823" i="1" s="1"/>
  <c r="J1823" i="1" s="1"/>
  <c r="I2349" i="4"/>
  <c r="D1822" i="1" s="1"/>
  <c r="J1822" i="1" s="1"/>
  <c r="I2348" i="4"/>
  <c r="D1821" i="1" s="1"/>
  <c r="J1821" i="1" s="1"/>
  <c r="I2347" i="4"/>
  <c r="D1820" i="1" s="1"/>
  <c r="J1820" i="1" s="1"/>
  <c r="I2346" i="4"/>
  <c r="D1819" i="1" s="1"/>
  <c r="J1819" i="1" s="1"/>
  <c r="I2345" i="4"/>
  <c r="D1818" i="1" s="1"/>
  <c r="J1818" i="1" s="1"/>
  <c r="I2344" i="4"/>
  <c r="D1817" i="1" s="1"/>
  <c r="J1817" i="1" s="1"/>
  <c r="I2343" i="4"/>
  <c r="D1816" i="1" s="1"/>
  <c r="I2342" i="4"/>
  <c r="D1815" i="1" s="1"/>
  <c r="I2341" i="4"/>
  <c r="D1814" i="1" s="1"/>
  <c r="I2340" i="4"/>
  <c r="D1813" i="1" s="1"/>
  <c r="I2339" i="4"/>
  <c r="D1812" i="1" s="1"/>
  <c r="I2338" i="4"/>
  <c r="D1811" i="1" s="1"/>
  <c r="I2337" i="4"/>
  <c r="D1810" i="1" s="1"/>
  <c r="I2336" i="4"/>
  <c r="D1809" i="1" s="1"/>
  <c r="I2335" i="4"/>
  <c r="D1808" i="1" s="1"/>
  <c r="I2334" i="4"/>
  <c r="D1807" i="1" s="1"/>
  <c r="I2333" i="4"/>
  <c r="I2332" i="4"/>
  <c r="D1805" i="1" s="1"/>
  <c r="J1805" i="1" s="1"/>
  <c r="I2331" i="4"/>
  <c r="D1804" i="1" s="1"/>
  <c r="J1804" i="1" s="1"/>
  <c r="I2330" i="4"/>
  <c r="D1803" i="1" s="1"/>
  <c r="J1803" i="1" s="1"/>
  <c r="I2329" i="4"/>
  <c r="D1802" i="1" s="1"/>
  <c r="J1802" i="1" s="1"/>
  <c r="I2328" i="4"/>
  <c r="D1801" i="1" s="1"/>
  <c r="J1801" i="1" s="1"/>
  <c r="B2316" i="4"/>
  <c r="B2315" i="4"/>
  <c r="B2314" i="4"/>
  <c r="B2313" i="4"/>
  <c r="I1806" i="1"/>
  <c r="I1805" i="1"/>
  <c r="I1804" i="1"/>
  <c r="I1803" i="1"/>
  <c r="I1802" i="1"/>
  <c r="I1801" i="1"/>
  <c r="I1800" i="1"/>
  <c r="I1799" i="1"/>
  <c r="I1798" i="1"/>
  <c r="I1797" i="1"/>
  <c r="H1806" i="1"/>
  <c r="H1805" i="1"/>
  <c r="H1804" i="1"/>
  <c r="H1803" i="1"/>
  <c r="H1802" i="1"/>
  <c r="H1801" i="1"/>
  <c r="H1800" i="1"/>
  <c r="H1799" i="1"/>
  <c r="H1798" i="1"/>
  <c r="H1797" i="1"/>
  <c r="G1806" i="1"/>
  <c r="G1805" i="1"/>
  <c r="G1804" i="1"/>
  <c r="G1803" i="1"/>
  <c r="G1802" i="1"/>
  <c r="G1801" i="1"/>
  <c r="G1800" i="1"/>
  <c r="G1799" i="1"/>
  <c r="G1798" i="1"/>
  <c r="G1797" i="1"/>
  <c r="F1806" i="1"/>
  <c r="F1805" i="1"/>
  <c r="F1804" i="1"/>
  <c r="F1803" i="1"/>
  <c r="F1802" i="1"/>
  <c r="F1801" i="1"/>
  <c r="F1800" i="1"/>
  <c r="F1799" i="1"/>
  <c r="F1798" i="1"/>
  <c r="F1797" i="1"/>
  <c r="B1806" i="1"/>
  <c r="B1805" i="1"/>
  <c r="B1804" i="1"/>
  <c r="B1803" i="1"/>
  <c r="B1802" i="1"/>
  <c r="B1801" i="1"/>
  <c r="B1800" i="1"/>
  <c r="B1799" i="1"/>
  <c r="B1798" i="1"/>
  <c r="B1797" i="1"/>
  <c r="A1806" i="1"/>
  <c r="A1805" i="1"/>
  <c r="A1804" i="1"/>
  <c r="A1803" i="1"/>
  <c r="A1802" i="1"/>
  <c r="A1801" i="1"/>
  <c r="A1800" i="1"/>
  <c r="A1799" i="1"/>
  <c r="A1798" i="1"/>
  <c r="A1797" i="1"/>
  <c r="I1789" i="1"/>
  <c r="H1789" i="1"/>
  <c r="G1789" i="1"/>
  <c r="F1789" i="1"/>
  <c r="B1789" i="1"/>
  <c r="A1789" i="1"/>
  <c r="B2312" i="4"/>
  <c r="I1788" i="1"/>
  <c r="I1787" i="1"/>
  <c r="I1786" i="1"/>
  <c r="I1785" i="1"/>
  <c r="I1784" i="1"/>
  <c r="I1783" i="1"/>
  <c r="I1782" i="1"/>
  <c r="I1781" i="1"/>
  <c r="I1780" i="1"/>
  <c r="H1788" i="1"/>
  <c r="H1787" i="1"/>
  <c r="H1786" i="1"/>
  <c r="H1785" i="1"/>
  <c r="H1784" i="1"/>
  <c r="H1783" i="1"/>
  <c r="H1782" i="1"/>
  <c r="H1781" i="1"/>
  <c r="H1780" i="1"/>
  <c r="G1788" i="1"/>
  <c r="G1787" i="1"/>
  <c r="G1786" i="1"/>
  <c r="G1785" i="1"/>
  <c r="G1784" i="1"/>
  <c r="G1783" i="1"/>
  <c r="G1782" i="1"/>
  <c r="G1781" i="1"/>
  <c r="G1780" i="1"/>
  <c r="F1788" i="1"/>
  <c r="F1787" i="1"/>
  <c r="F1786" i="1"/>
  <c r="F1785" i="1"/>
  <c r="F1784" i="1"/>
  <c r="F1783" i="1"/>
  <c r="F1782" i="1"/>
  <c r="F1781" i="1"/>
  <c r="F1780" i="1"/>
  <c r="B1788" i="1"/>
  <c r="B1787" i="1"/>
  <c r="B1786" i="1"/>
  <c r="B1785" i="1"/>
  <c r="B1784" i="1"/>
  <c r="B1783" i="1"/>
  <c r="B1782" i="1"/>
  <c r="B1781" i="1"/>
  <c r="B1780" i="1"/>
  <c r="A1788" i="1"/>
  <c r="A1787" i="1"/>
  <c r="A1786" i="1"/>
  <c r="A1785" i="1"/>
  <c r="A1784" i="1"/>
  <c r="A1783" i="1"/>
  <c r="A1782" i="1"/>
  <c r="A1781" i="1"/>
  <c r="A1780" i="1"/>
  <c r="B2311" i="4"/>
  <c r="B2310" i="4"/>
  <c r="B2309" i="4"/>
  <c r="B2308" i="4"/>
  <c r="B2307" i="4"/>
  <c r="B2306" i="4"/>
  <c r="B2305" i="4"/>
  <c r="B2304" i="4"/>
  <c r="B2303" i="4"/>
  <c r="I1779" i="1"/>
  <c r="I1778" i="1"/>
  <c r="I1777" i="1"/>
  <c r="I1776" i="1"/>
  <c r="I1775" i="1"/>
  <c r="I1774" i="1"/>
  <c r="I1773" i="1"/>
  <c r="I1772" i="1"/>
  <c r="H1779" i="1"/>
  <c r="H1778" i="1"/>
  <c r="H1777" i="1"/>
  <c r="H1776" i="1"/>
  <c r="H1775" i="1"/>
  <c r="H1774" i="1"/>
  <c r="H1773" i="1"/>
  <c r="H1772" i="1"/>
  <c r="G1779" i="1"/>
  <c r="G1778" i="1"/>
  <c r="G1777" i="1"/>
  <c r="G1776" i="1"/>
  <c r="G1775" i="1"/>
  <c r="G1774" i="1"/>
  <c r="G1773" i="1"/>
  <c r="G1772" i="1"/>
  <c r="F1779" i="1"/>
  <c r="F1778" i="1"/>
  <c r="F1777" i="1"/>
  <c r="F1776" i="1"/>
  <c r="F1775" i="1"/>
  <c r="F1774" i="1"/>
  <c r="F1773" i="1"/>
  <c r="F1772" i="1"/>
  <c r="B1779" i="1"/>
  <c r="B1778" i="1"/>
  <c r="B1777" i="1"/>
  <c r="B1776" i="1"/>
  <c r="B1775" i="1"/>
  <c r="B1774" i="1"/>
  <c r="B1773" i="1"/>
  <c r="B1772" i="1"/>
  <c r="A1779" i="1"/>
  <c r="A1778" i="1"/>
  <c r="A1777" i="1"/>
  <c r="A1776" i="1"/>
  <c r="A1775" i="1"/>
  <c r="A1774" i="1"/>
  <c r="A1773" i="1"/>
  <c r="A1772" i="1"/>
  <c r="B2302" i="4"/>
  <c r="B2301" i="4"/>
  <c r="B2300" i="4"/>
  <c r="B2299" i="4"/>
  <c r="B2298" i="4"/>
  <c r="B2297" i="4"/>
  <c r="B2296" i="4"/>
  <c r="B2295" i="4"/>
  <c r="B2294" i="4"/>
  <c r="B2293" i="4"/>
  <c r="B2292" i="4"/>
  <c r="B2291" i="4"/>
  <c r="B2290" i="4"/>
  <c r="I1771" i="1"/>
  <c r="I1770" i="1"/>
  <c r="I1769" i="1"/>
  <c r="I1768" i="1"/>
  <c r="I1767" i="1"/>
  <c r="I1766" i="1"/>
  <c r="I1765" i="1"/>
  <c r="I1764" i="1"/>
  <c r="H1771" i="1"/>
  <c r="H1770" i="1"/>
  <c r="H1769" i="1"/>
  <c r="H1768" i="1"/>
  <c r="H1767" i="1"/>
  <c r="H1766" i="1"/>
  <c r="H1765" i="1"/>
  <c r="H1764" i="1"/>
  <c r="G1771" i="1"/>
  <c r="G1770" i="1"/>
  <c r="G1769" i="1"/>
  <c r="G1768" i="1"/>
  <c r="G1767" i="1"/>
  <c r="G1766" i="1"/>
  <c r="G1765" i="1"/>
  <c r="G1764" i="1"/>
  <c r="F1771" i="1"/>
  <c r="F1770" i="1"/>
  <c r="F1769" i="1"/>
  <c r="F1768" i="1"/>
  <c r="F1767" i="1"/>
  <c r="F1766" i="1"/>
  <c r="F1765" i="1"/>
  <c r="F1764" i="1"/>
  <c r="B1771" i="1"/>
  <c r="B1770" i="1"/>
  <c r="B1769" i="1"/>
  <c r="B1768" i="1"/>
  <c r="B1767" i="1"/>
  <c r="B1766" i="1"/>
  <c r="B1765" i="1"/>
  <c r="B1764" i="1"/>
  <c r="A1771" i="1"/>
  <c r="A1770" i="1"/>
  <c r="A1769" i="1"/>
  <c r="A1768" i="1"/>
  <c r="A1767" i="1"/>
  <c r="A1766" i="1"/>
  <c r="A1765" i="1"/>
  <c r="A1764" i="1"/>
  <c r="B2278" i="4"/>
  <c r="B2277" i="4"/>
  <c r="B2276" i="4"/>
  <c r="I2319" i="4"/>
  <c r="H2317" i="4"/>
  <c r="H2321" i="4" s="1"/>
  <c r="G2317" i="4"/>
  <c r="G2321" i="4" s="1"/>
  <c r="F2317" i="4"/>
  <c r="F2321" i="4" s="1"/>
  <c r="E2317" i="4"/>
  <c r="E2321" i="4" s="1"/>
  <c r="D2317" i="4"/>
  <c r="D2321" i="4" s="1"/>
  <c r="C2317" i="4"/>
  <c r="C2321" i="4" s="1"/>
  <c r="I2316" i="4"/>
  <c r="D1800" i="1" s="1"/>
  <c r="J1800" i="1" s="1"/>
  <c r="I2315" i="4"/>
  <c r="D1799" i="1" s="1"/>
  <c r="J1799" i="1" s="1"/>
  <c r="I2314" i="4"/>
  <c r="D1798" i="1" s="1"/>
  <c r="J1798" i="1" s="1"/>
  <c r="I2313" i="4"/>
  <c r="D1797" i="1" s="1"/>
  <c r="J1797" i="1" s="1"/>
  <c r="I2312" i="4"/>
  <c r="D1789" i="1" s="1"/>
  <c r="J1789" i="1" s="1"/>
  <c r="I2311" i="4"/>
  <c r="D1788" i="1" s="1"/>
  <c r="J1788" i="1" s="1"/>
  <c r="I2310" i="4"/>
  <c r="D1787" i="1" s="1"/>
  <c r="J1787" i="1" s="1"/>
  <c r="I2309" i="4"/>
  <c r="D1786" i="1" s="1"/>
  <c r="J1786" i="1" s="1"/>
  <c r="I2308" i="4"/>
  <c r="D1785" i="1" s="1"/>
  <c r="J1785" i="1" s="1"/>
  <c r="I2307" i="4"/>
  <c r="D1784" i="1" s="1"/>
  <c r="J1784" i="1" s="1"/>
  <c r="I2306" i="4"/>
  <c r="D1783" i="1" s="1"/>
  <c r="J1783" i="1" s="1"/>
  <c r="I2305" i="4"/>
  <c r="D1782" i="1" s="1"/>
  <c r="J1782" i="1" s="1"/>
  <c r="I2304" i="4"/>
  <c r="D1781" i="1" s="1"/>
  <c r="J1781" i="1" s="1"/>
  <c r="I2303" i="4"/>
  <c r="D1780" i="1" s="1"/>
  <c r="J1780" i="1" s="1"/>
  <c r="I2302" i="4"/>
  <c r="D1779" i="1" s="1"/>
  <c r="J1779" i="1" s="1"/>
  <c r="I2301" i="4"/>
  <c r="D1778" i="1" s="1"/>
  <c r="J1778" i="1" s="1"/>
  <c r="I2300" i="4"/>
  <c r="D1777" i="1" s="1"/>
  <c r="J1777" i="1" s="1"/>
  <c r="I2299" i="4"/>
  <c r="D1776" i="1" s="1"/>
  <c r="J1776" i="1" s="1"/>
  <c r="I2298" i="4"/>
  <c r="D1775" i="1" s="1"/>
  <c r="J1775" i="1" s="1"/>
  <c r="I2297" i="4"/>
  <c r="D1774" i="1" s="1"/>
  <c r="J1774" i="1" s="1"/>
  <c r="I2296" i="4"/>
  <c r="D1773" i="1" s="1"/>
  <c r="J1773" i="1" s="1"/>
  <c r="I2295" i="4"/>
  <c r="D1772" i="1" s="1"/>
  <c r="J1772" i="1" s="1"/>
  <c r="I2294" i="4"/>
  <c r="D1771" i="1" s="1"/>
  <c r="J1771" i="1" s="1"/>
  <c r="I2293" i="4"/>
  <c r="D1770" i="1" s="1"/>
  <c r="J1770" i="1" s="1"/>
  <c r="I2292" i="4"/>
  <c r="D1769" i="1" s="1"/>
  <c r="J1769" i="1" s="1"/>
  <c r="I2291" i="4"/>
  <c r="D1768" i="1" s="1"/>
  <c r="J1768" i="1" s="1"/>
  <c r="I2290" i="4"/>
  <c r="D1767" i="1" s="1"/>
  <c r="J1767" i="1" s="1"/>
  <c r="I1763" i="1"/>
  <c r="I1762" i="1"/>
  <c r="H1763" i="1"/>
  <c r="H1762" i="1"/>
  <c r="G1763" i="1"/>
  <c r="G1762" i="1"/>
  <c r="F1763" i="1"/>
  <c r="F1762" i="1"/>
  <c r="B1763" i="1"/>
  <c r="B1762" i="1"/>
  <c r="A1763" i="1"/>
  <c r="A1762" i="1"/>
  <c r="B2275" i="4"/>
  <c r="B2274" i="4"/>
  <c r="B12" i="7" l="1"/>
  <c r="B15" i="7"/>
  <c r="D1859" i="1"/>
  <c r="J1859" i="1" s="1"/>
  <c r="J1894" i="1" s="1"/>
  <c r="O413" i="1"/>
  <c r="U413" i="1" s="1"/>
  <c r="I2431" i="4"/>
  <c r="I2393" i="4"/>
  <c r="J1813" i="1"/>
  <c r="D1806" i="1"/>
  <c r="J1806" i="1" s="1"/>
  <c r="J1809" i="1"/>
  <c r="J1808" i="1"/>
  <c r="J1812" i="1"/>
  <c r="J1816" i="1"/>
  <c r="J1807" i="1"/>
  <c r="J1811" i="1"/>
  <c r="J1815" i="1"/>
  <c r="J1810" i="1"/>
  <c r="J1814" i="1"/>
  <c r="I2317" i="4"/>
  <c r="I2355" i="4"/>
  <c r="I1761" i="1"/>
  <c r="H1761" i="1"/>
  <c r="G1761" i="1"/>
  <c r="F1761" i="1"/>
  <c r="B1761" i="1"/>
  <c r="A1761" i="1"/>
  <c r="I1760" i="1"/>
  <c r="I1759" i="1"/>
  <c r="I1758" i="1"/>
  <c r="I1757" i="1"/>
  <c r="H1760" i="1"/>
  <c r="H1759" i="1"/>
  <c r="H1758" i="1"/>
  <c r="H1757" i="1"/>
  <c r="G1760" i="1"/>
  <c r="G1759" i="1"/>
  <c r="G1758" i="1"/>
  <c r="G1757" i="1"/>
  <c r="F1760" i="1"/>
  <c r="F1759" i="1"/>
  <c r="F1758" i="1"/>
  <c r="F1757" i="1"/>
  <c r="B1760" i="1"/>
  <c r="B1759" i="1"/>
  <c r="B1758" i="1"/>
  <c r="B1757" i="1"/>
  <c r="A1760" i="1"/>
  <c r="A1759" i="1"/>
  <c r="A1758" i="1"/>
  <c r="A1757" i="1"/>
  <c r="B2273" i="4"/>
  <c r="B2272" i="4"/>
  <c r="B2271" i="4"/>
  <c r="B2270" i="4"/>
  <c r="B2269" i="4"/>
  <c r="B2268" i="4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F1756" i="1"/>
  <c r="F1755" i="1"/>
  <c r="F1754" i="1"/>
  <c r="F1753" i="1"/>
  <c r="F1752" i="1"/>
  <c r="F1751" i="1"/>
  <c r="F1750" i="1"/>
  <c r="F1748" i="1"/>
  <c r="F1747" i="1"/>
  <c r="F1749" i="1"/>
  <c r="F1746" i="1"/>
  <c r="F1745" i="1"/>
  <c r="B1749" i="1"/>
  <c r="B1756" i="1"/>
  <c r="B1755" i="1"/>
  <c r="B1754" i="1"/>
  <c r="B1753" i="1"/>
  <c r="B1752" i="1"/>
  <c r="B1751" i="1"/>
  <c r="B1750" i="1"/>
  <c r="B1748" i="1"/>
  <c r="B1747" i="1"/>
  <c r="B1746" i="1"/>
  <c r="B1745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B2267" i="4"/>
  <c r="B2266" i="4"/>
  <c r="B2265" i="4"/>
  <c r="B2264" i="4"/>
  <c r="B2263" i="4"/>
  <c r="B2262" i="4"/>
  <c r="B2261" i="4"/>
  <c r="B2260" i="4"/>
  <c r="B2259" i="4"/>
  <c r="B2258" i="4"/>
  <c r="B2257" i="4"/>
  <c r="I1737" i="1"/>
  <c r="B2256" i="4"/>
  <c r="B2255" i="4"/>
  <c r="B2254" i="4"/>
  <c r="B2253" i="4"/>
  <c r="B2252" i="4"/>
  <c r="I2281" i="4"/>
  <c r="H2279" i="4"/>
  <c r="H2283" i="4" s="1"/>
  <c r="G2279" i="4"/>
  <c r="G2283" i="4" s="1"/>
  <c r="F2279" i="4"/>
  <c r="F2283" i="4" s="1"/>
  <c r="E2279" i="4"/>
  <c r="E2283" i="4" s="1"/>
  <c r="D2279" i="4"/>
  <c r="D2283" i="4" s="1"/>
  <c r="C2279" i="4"/>
  <c r="C2283" i="4" s="1"/>
  <c r="I2278" i="4"/>
  <c r="D1766" i="1" s="1"/>
  <c r="J1766" i="1" s="1"/>
  <c r="I2277" i="4"/>
  <c r="D1765" i="1" s="1"/>
  <c r="J1765" i="1" s="1"/>
  <c r="I2276" i="4"/>
  <c r="D1764" i="1" s="1"/>
  <c r="J1764" i="1" s="1"/>
  <c r="I2275" i="4"/>
  <c r="I2274" i="4"/>
  <c r="D1762" i="1" s="1"/>
  <c r="J1762" i="1" s="1"/>
  <c r="I2273" i="4"/>
  <c r="D1761" i="1" s="1"/>
  <c r="J1761" i="1" s="1"/>
  <c r="I2272" i="4"/>
  <c r="D1760" i="1" s="1"/>
  <c r="J1760" i="1" s="1"/>
  <c r="I2271" i="4"/>
  <c r="D1759" i="1" s="1"/>
  <c r="J1759" i="1" s="1"/>
  <c r="I2270" i="4"/>
  <c r="D1758" i="1" s="1"/>
  <c r="J1758" i="1" s="1"/>
  <c r="I2269" i="4"/>
  <c r="D1757" i="1" s="1"/>
  <c r="J1757" i="1" s="1"/>
  <c r="I2268" i="4"/>
  <c r="D1756" i="1" s="1"/>
  <c r="J1756" i="1" s="1"/>
  <c r="I2267" i="4"/>
  <c r="D1755" i="1" s="1"/>
  <c r="J1755" i="1" s="1"/>
  <c r="I2266" i="4"/>
  <c r="D1754" i="1" s="1"/>
  <c r="J1754" i="1" s="1"/>
  <c r="I2265" i="4"/>
  <c r="I2264" i="4"/>
  <c r="D1752" i="1" s="1"/>
  <c r="J1752" i="1" s="1"/>
  <c r="I2263" i="4"/>
  <c r="I2262" i="4"/>
  <c r="I2261" i="4"/>
  <c r="D1749" i="1" s="1"/>
  <c r="J1749" i="1" s="1"/>
  <c r="I2260" i="4"/>
  <c r="D1748" i="1" s="1"/>
  <c r="J1748" i="1" s="1"/>
  <c r="I2259" i="4"/>
  <c r="D1747" i="1" s="1"/>
  <c r="J1747" i="1" s="1"/>
  <c r="I2258" i="4"/>
  <c r="I2257" i="4"/>
  <c r="D1745" i="1" s="1"/>
  <c r="I2256" i="4"/>
  <c r="I2255" i="4"/>
  <c r="D1736" i="1" s="1"/>
  <c r="J1736" i="1" s="1"/>
  <c r="I2254" i="4"/>
  <c r="D1735" i="1" s="1"/>
  <c r="J1735" i="1" s="1"/>
  <c r="I2253" i="4"/>
  <c r="D1734" i="1" s="1"/>
  <c r="J1734" i="1" s="1"/>
  <c r="I2252" i="4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B2240" i="4"/>
  <c r="B2239" i="4"/>
  <c r="B2238" i="4"/>
  <c r="B2237" i="4"/>
  <c r="B2236" i="4"/>
  <c r="B2235" i="4"/>
  <c r="B2234" i="4"/>
  <c r="B2233" i="4"/>
  <c r="B2232" i="4"/>
  <c r="B2231" i="4"/>
  <c r="B2230" i="4"/>
  <c r="B2229" i="4"/>
  <c r="B2228" i="4"/>
  <c r="B2227" i="4"/>
  <c r="B2226" i="4"/>
  <c r="I1718" i="1"/>
  <c r="H1718" i="1"/>
  <c r="G1718" i="1"/>
  <c r="F1718" i="1"/>
  <c r="B1718" i="1"/>
  <c r="A1718" i="1"/>
  <c r="I1717" i="1"/>
  <c r="I1716" i="1"/>
  <c r="I1715" i="1"/>
  <c r="I1714" i="1"/>
  <c r="I1713" i="1"/>
  <c r="I1712" i="1"/>
  <c r="I1711" i="1"/>
  <c r="H1717" i="1"/>
  <c r="H1716" i="1"/>
  <c r="H1715" i="1"/>
  <c r="H1714" i="1"/>
  <c r="H1713" i="1"/>
  <c r="H1712" i="1"/>
  <c r="H1711" i="1"/>
  <c r="G1717" i="1"/>
  <c r="G1716" i="1"/>
  <c r="G1715" i="1"/>
  <c r="G1714" i="1"/>
  <c r="G1713" i="1"/>
  <c r="G1712" i="1"/>
  <c r="G1711" i="1"/>
  <c r="F1717" i="1"/>
  <c r="F1716" i="1"/>
  <c r="F1715" i="1"/>
  <c r="F1714" i="1"/>
  <c r="F1713" i="1"/>
  <c r="F1712" i="1"/>
  <c r="F1711" i="1"/>
  <c r="B1717" i="1"/>
  <c r="B1716" i="1"/>
  <c r="B1715" i="1"/>
  <c r="B1714" i="1"/>
  <c r="B1713" i="1"/>
  <c r="B1712" i="1"/>
  <c r="B1711" i="1"/>
  <c r="A1717" i="1"/>
  <c r="A1716" i="1"/>
  <c r="A1715" i="1"/>
  <c r="A1714" i="1"/>
  <c r="A1713" i="1"/>
  <c r="A1712" i="1"/>
  <c r="A1711" i="1"/>
  <c r="B2225" i="4"/>
  <c r="B2224" i="4"/>
  <c r="B2223" i="4"/>
  <c r="B2222" i="4"/>
  <c r="B2221" i="4"/>
  <c r="B2220" i="4"/>
  <c r="B2219" i="4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B2218" i="4"/>
  <c r="B2217" i="4"/>
  <c r="B2216" i="4"/>
  <c r="B2215" i="4"/>
  <c r="B2214" i="4"/>
  <c r="B2202" i="4"/>
  <c r="B2201" i="4"/>
  <c r="B2200" i="4"/>
  <c r="B2199" i="4"/>
  <c r="B2198" i="4"/>
  <c r="B2197" i="4"/>
  <c r="B2196" i="4"/>
  <c r="B2195" i="4"/>
  <c r="B2194" i="4"/>
  <c r="I2243" i="4"/>
  <c r="H2241" i="4"/>
  <c r="H2245" i="4" s="1"/>
  <c r="G2241" i="4"/>
  <c r="G2245" i="4" s="1"/>
  <c r="F2241" i="4"/>
  <c r="F2245" i="4" s="1"/>
  <c r="E2241" i="4"/>
  <c r="E2245" i="4" s="1"/>
  <c r="D2241" i="4"/>
  <c r="D2245" i="4" s="1"/>
  <c r="C2241" i="4"/>
  <c r="C2245" i="4" s="1"/>
  <c r="I2240" i="4"/>
  <c r="D1732" i="1" s="1"/>
  <c r="J1732" i="1" s="1"/>
  <c r="I2239" i="4"/>
  <c r="D1731" i="1" s="1"/>
  <c r="J1731" i="1" s="1"/>
  <c r="I2238" i="4"/>
  <c r="D1730" i="1" s="1"/>
  <c r="J1730" i="1" s="1"/>
  <c r="I2237" i="4"/>
  <c r="D1729" i="1" s="1"/>
  <c r="J1729" i="1" s="1"/>
  <c r="I2236" i="4"/>
  <c r="D1728" i="1" s="1"/>
  <c r="J1728" i="1" s="1"/>
  <c r="I2235" i="4"/>
  <c r="D1727" i="1" s="1"/>
  <c r="J1727" i="1" s="1"/>
  <c r="I2234" i="4"/>
  <c r="D1726" i="1" s="1"/>
  <c r="J1726" i="1" s="1"/>
  <c r="I2233" i="4"/>
  <c r="D1725" i="1" s="1"/>
  <c r="J1725" i="1" s="1"/>
  <c r="I2232" i="4"/>
  <c r="D1724" i="1" s="1"/>
  <c r="J1724" i="1" s="1"/>
  <c r="I2231" i="4"/>
  <c r="D1723" i="1" s="1"/>
  <c r="J1723" i="1" s="1"/>
  <c r="I2230" i="4"/>
  <c r="D1722" i="1" s="1"/>
  <c r="J1722" i="1" s="1"/>
  <c r="I2229" i="4"/>
  <c r="D1721" i="1" s="1"/>
  <c r="J1721" i="1" s="1"/>
  <c r="I2228" i="4"/>
  <c r="D1720" i="1" s="1"/>
  <c r="J1720" i="1" s="1"/>
  <c r="I2227" i="4"/>
  <c r="D1719" i="1" s="1"/>
  <c r="J1719" i="1" s="1"/>
  <c r="I2226" i="4"/>
  <c r="D1718" i="1" s="1"/>
  <c r="J1718" i="1" s="1"/>
  <c r="I2225" i="4"/>
  <c r="D1717" i="1" s="1"/>
  <c r="J1717" i="1" s="1"/>
  <c r="I2224" i="4"/>
  <c r="D1716" i="1" s="1"/>
  <c r="J1716" i="1" s="1"/>
  <c r="I2223" i="4"/>
  <c r="D1715" i="1" s="1"/>
  <c r="J1715" i="1" s="1"/>
  <c r="I2222" i="4"/>
  <c r="D1714" i="1" s="1"/>
  <c r="J1714" i="1" s="1"/>
  <c r="I2221" i="4"/>
  <c r="D1713" i="1" s="1"/>
  <c r="J1713" i="1" s="1"/>
  <c r="I2220" i="4"/>
  <c r="D1712" i="1" s="1"/>
  <c r="I2219" i="4"/>
  <c r="D1711" i="1" s="1"/>
  <c r="J1711" i="1" s="1"/>
  <c r="I2218" i="4"/>
  <c r="D1710" i="1" s="1"/>
  <c r="J1710" i="1" s="1"/>
  <c r="I2217" i="4"/>
  <c r="D1709" i="1" s="1"/>
  <c r="J1709" i="1" s="1"/>
  <c r="I2216" i="4"/>
  <c r="D1708" i="1" s="1"/>
  <c r="J1708" i="1" s="1"/>
  <c r="I2215" i="4"/>
  <c r="D1707" i="1" s="1"/>
  <c r="J1707" i="1" s="1"/>
  <c r="I2214" i="4"/>
  <c r="B2193" i="4"/>
  <c r="B2192" i="4"/>
  <c r="B2191" i="4"/>
  <c r="B2190" i="4"/>
  <c r="I1696" i="1"/>
  <c r="I1695" i="1"/>
  <c r="I1694" i="1"/>
  <c r="I1693" i="1"/>
  <c r="H1696" i="1"/>
  <c r="H1695" i="1"/>
  <c r="H1694" i="1"/>
  <c r="H1693" i="1"/>
  <c r="G1696" i="1"/>
  <c r="G1695" i="1"/>
  <c r="G1694" i="1"/>
  <c r="G1693" i="1"/>
  <c r="F1696" i="1"/>
  <c r="F1695" i="1"/>
  <c r="F1694" i="1"/>
  <c r="F1693" i="1"/>
  <c r="B1696" i="1"/>
  <c r="B1695" i="1"/>
  <c r="B1694" i="1"/>
  <c r="B1693" i="1"/>
  <c r="A1696" i="1"/>
  <c r="A1695" i="1"/>
  <c r="A1694" i="1"/>
  <c r="A1693" i="1"/>
  <c r="B2189" i="4"/>
  <c r="B2188" i="4"/>
  <c r="B2187" i="4"/>
  <c r="B2186" i="4"/>
  <c r="B2185" i="4"/>
  <c r="B2184" i="4"/>
  <c r="B2183" i="4"/>
  <c r="B2182" i="4"/>
  <c r="B2181" i="4"/>
  <c r="B2180" i="4"/>
  <c r="B2179" i="4"/>
  <c r="B2178" i="4"/>
  <c r="B2177" i="4"/>
  <c r="B2176" i="4"/>
  <c r="B2164" i="4"/>
  <c r="B2163" i="4"/>
  <c r="B2162" i="4"/>
  <c r="B2161" i="4"/>
  <c r="B2160" i="4"/>
  <c r="B2159" i="4"/>
  <c r="B2158" i="4"/>
  <c r="B2157" i="4"/>
  <c r="B2156" i="4"/>
  <c r="B2155" i="4"/>
  <c r="B2154" i="4"/>
  <c r="I2205" i="4"/>
  <c r="H2203" i="4"/>
  <c r="H2207" i="4" s="1"/>
  <c r="G2203" i="4"/>
  <c r="G2207" i="4" s="1"/>
  <c r="F2203" i="4"/>
  <c r="F2207" i="4" s="1"/>
  <c r="E2203" i="4"/>
  <c r="E2207" i="4" s="1"/>
  <c r="D2203" i="4"/>
  <c r="D2207" i="4" s="1"/>
  <c r="C2203" i="4"/>
  <c r="C2207" i="4" s="1"/>
  <c r="I2202" i="4"/>
  <c r="D1705" i="1" s="1"/>
  <c r="J1705" i="1" s="1"/>
  <c r="I2201" i="4"/>
  <c r="I2200" i="4"/>
  <c r="I2199" i="4"/>
  <c r="D1702" i="1" s="1"/>
  <c r="J1702" i="1" s="1"/>
  <c r="I2198" i="4"/>
  <c r="D1701" i="1" s="1"/>
  <c r="J1701" i="1" s="1"/>
  <c r="I2197" i="4"/>
  <c r="D1700" i="1" s="1"/>
  <c r="J1700" i="1" s="1"/>
  <c r="I2196" i="4"/>
  <c r="D1699" i="1" s="1"/>
  <c r="J1699" i="1" s="1"/>
  <c r="I2195" i="4"/>
  <c r="D1698" i="1" s="1"/>
  <c r="J1698" i="1" s="1"/>
  <c r="I2194" i="4"/>
  <c r="D1697" i="1" s="1"/>
  <c r="J1697" i="1" s="1"/>
  <c r="I2193" i="4"/>
  <c r="D1696" i="1" s="1"/>
  <c r="J1696" i="1" s="1"/>
  <c r="I2192" i="4"/>
  <c r="D1695" i="1" s="1"/>
  <c r="J1695" i="1" s="1"/>
  <c r="I2191" i="4"/>
  <c r="D1694" i="1" s="1"/>
  <c r="J1694" i="1" s="1"/>
  <c r="I2190" i="4"/>
  <c r="D1693" i="1" s="1"/>
  <c r="J1693" i="1" s="1"/>
  <c r="I2189" i="4"/>
  <c r="D1685" i="1" s="1"/>
  <c r="J1685" i="1" s="1"/>
  <c r="I2188" i="4"/>
  <c r="D1684" i="1" s="1"/>
  <c r="J1684" i="1" s="1"/>
  <c r="I2187" i="4"/>
  <c r="D1683" i="1" s="1"/>
  <c r="J1683" i="1" s="1"/>
  <c r="I2186" i="4"/>
  <c r="D1682" i="1" s="1"/>
  <c r="J1682" i="1" s="1"/>
  <c r="I2185" i="4"/>
  <c r="D1681" i="1" s="1"/>
  <c r="J1681" i="1" s="1"/>
  <c r="I2184" i="4"/>
  <c r="D1680" i="1" s="1"/>
  <c r="J1680" i="1" s="1"/>
  <c r="I2183" i="4"/>
  <c r="D1679" i="1" s="1"/>
  <c r="J1679" i="1" s="1"/>
  <c r="I2182" i="4"/>
  <c r="D1678" i="1" s="1"/>
  <c r="J1678" i="1" s="1"/>
  <c r="I2181" i="4"/>
  <c r="D1677" i="1" s="1"/>
  <c r="J1677" i="1" s="1"/>
  <c r="I2180" i="4"/>
  <c r="D1676" i="1" s="1"/>
  <c r="J1676" i="1" s="1"/>
  <c r="I2179" i="4"/>
  <c r="I2178" i="4"/>
  <c r="D1674" i="1" s="1"/>
  <c r="J1674" i="1" s="1"/>
  <c r="I2177" i="4"/>
  <c r="D1673" i="1" s="1"/>
  <c r="J1673" i="1" s="1"/>
  <c r="I2176" i="4"/>
  <c r="D1672" i="1" s="1"/>
  <c r="J1672" i="1" s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I1661" i="1"/>
  <c r="H1661" i="1"/>
  <c r="G1661" i="1"/>
  <c r="F1661" i="1"/>
  <c r="A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I1641" i="1"/>
  <c r="H1641" i="1"/>
  <c r="G1641" i="1"/>
  <c r="A1641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B2153" i="4"/>
  <c r="B2152" i="4"/>
  <c r="B2151" i="4"/>
  <c r="B2150" i="4"/>
  <c r="B2149" i="4"/>
  <c r="B2148" i="4"/>
  <c r="B2147" i="4"/>
  <c r="B2146" i="4"/>
  <c r="B2145" i="4"/>
  <c r="B2144" i="4"/>
  <c r="B2143" i="4"/>
  <c r="B2142" i="4"/>
  <c r="B2141" i="4"/>
  <c r="B2140" i="4"/>
  <c r="B2139" i="4"/>
  <c r="B2138" i="4"/>
  <c r="B2126" i="4"/>
  <c r="B2125" i="4"/>
  <c r="B2124" i="4"/>
  <c r="B2123" i="4"/>
  <c r="B2122" i="4"/>
  <c r="B2121" i="4"/>
  <c r="B2120" i="4"/>
  <c r="B2119" i="4"/>
  <c r="B2118" i="4"/>
  <c r="B2117" i="4"/>
  <c r="B2116" i="4"/>
  <c r="B2115" i="4"/>
  <c r="B2114" i="4"/>
  <c r="B2113" i="4"/>
  <c r="B2112" i="4"/>
  <c r="B2111" i="4"/>
  <c r="B2110" i="4"/>
  <c r="B2109" i="4"/>
  <c r="B2108" i="4"/>
  <c r="B2107" i="4"/>
  <c r="B2106" i="4"/>
  <c r="B2105" i="4"/>
  <c r="B2104" i="4"/>
  <c r="B2103" i="4"/>
  <c r="B2102" i="4"/>
  <c r="B2101" i="4"/>
  <c r="B2100" i="4"/>
  <c r="I2167" i="4"/>
  <c r="H2165" i="4"/>
  <c r="H2169" i="4" s="1"/>
  <c r="G2165" i="4"/>
  <c r="G2169" i="4" s="1"/>
  <c r="F2165" i="4"/>
  <c r="F2169" i="4" s="1"/>
  <c r="E2165" i="4"/>
  <c r="E2169" i="4" s="1"/>
  <c r="D2165" i="4"/>
  <c r="D2169" i="4" s="1"/>
  <c r="C2165" i="4"/>
  <c r="C2169" i="4" s="1"/>
  <c r="I2164" i="4"/>
  <c r="D1671" i="1" s="1"/>
  <c r="J1671" i="1" s="1"/>
  <c r="I2163" i="4"/>
  <c r="D1670" i="1" s="1"/>
  <c r="J1670" i="1" s="1"/>
  <c r="I2162" i="4"/>
  <c r="I2161" i="4"/>
  <c r="D1668" i="1" s="1"/>
  <c r="J1668" i="1" s="1"/>
  <c r="I2160" i="4"/>
  <c r="D1667" i="1" s="1"/>
  <c r="J1667" i="1" s="1"/>
  <c r="I2159" i="4"/>
  <c r="D1666" i="1" s="1"/>
  <c r="J1666" i="1" s="1"/>
  <c r="I2158" i="4"/>
  <c r="D1665" i="1" s="1"/>
  <c r="J1665" i="1" s="1"/>
  <c r="I2157" i="4"/>
  <c r="D1664" i="1" s="1"/>
  <c r="J1664" i="1" s="1"/>
  <c r="I2156" i="4"/>
  <c r="D1663" i="1" s="1"/>
  <c r="J1663" i="1" s="1"/>
  <c r="I2155" i="4"/>
  <c r="D1662" i="1" s="1"/>
  <c r="J1662" i="1" s="1"/>
  <c r="I2154" i="4"/>
  <c r="D1661" i="1" s="1"/>
  <c r="J1661" i="1" s="1"/>
  <c r="I2153" i="4"/>
  <c r="D1660" i="1" s="1"/>
  <c r="J1660" i="1" s="1"/>
  <c r="I2152" i="4"/>
  <c r="D1659" i="1" s="1"/>
  <c r="J1659" i="1" s="1"/>
  <c r="I2151" i="4"/>
  <c r="D1658" i="1" s="1"/>
  <c r="J1658" i="1" s="1"/>
  <c r="I2150" i="4"/>
  <c r="D1657" i="1" s="1"/>
  <c r="J1657" i="1" s="1"/>
  <c r="I2149" i="4"/>
  <c r="D1656" i="1" s="1"/>
  <c r="J1656" i="1" s="1"/>
  <c r="I2148" i="4"/>
  <c r="D1655" i="1" s="1"/>
  <c r="J1655" i="1" s="1"/>
  <c r="I2147" i="4"/>
  <c r="D1654" i="1" s="1"/>
  <c r="J1654" i="1" s="1"/>
  <c r="I2146" i="4"/>
  <c r="D1653" i="1" s="1"/>
  <c r="J1653" i="1" s="1"/>
  <c r="I2145" i="4"/>
  <c r="D1652" i="1" s="1"/>
  <c r="J1652" i="1" s="1"/>
  <c r="I2144" i="4"/>
  <c r="D1651" i="1" s="1"/>
  <c r="J1651" i="1" s="1"/>
  <c r="I2143" i="4"/>
  <c r="D1650" i="1" s="1"/>
  <c r="J1650" i="1" s="1"/>
  <c r="I2142" i="4"/>
  <c r="D1649" i="1" s="1"/>
  <c r="J1649" i="1" s="1"/>
  <c r="I2141" i="4"/>
  <c r="D1648" i="1" s="1"/>
  <c r="J1648" i="1" s="1"/>
  <c r="I2140" i="4"/>
  <c r="D1647" i="1" s="1"/>
  <c r="J1647" i="1" s="1"/>
  <c r="I2139" i="4"/>
  <c r="D1646" i="1" s="1"/>
  <c r="J1646" i="1" s="1"/>
  <c r="I2138" i="4"/>
  <c r="D1645" i="1" s="1"/>
  <c r="J1645" i="1" s="1"/>
  <c r="I2129" i="4"/>
  <c r="H2127" i="4"/>
  <c r="H2131" i="4" s="1"/>
  <c r="G2127" i="4"/>
  <c r="G2131" i="4" s="1"/>
  <c r="F2127" i="4"/>
  <c r="F2131" i="4" s="1"/>
  <c r="E2127" i="4"/>
  <c r="E2131" i="4" s="1"/>
  <c r="D2127" i="4"/>
  <c r="D2131" i="4" s="1"/>
  <c r="C2127" i="4"/>
  <c r="C2131" i="4" s="1"/>
  <c r="I2126" i="4"/>
  <c r="D1644" i="1" s="1"/>
  <c r="J1644" i="1" s="1"/>
  <c r="I2125" i="4"/>
  <c r="D1643" i="1" s="1"/>
  <c r="J1643" i="1" s="1"/>
  <c r="I2124" i="4"/>
  <c r="D1642" i="1" s="1"/>
  <c r="J1642" i="1" s="1"/>
  <c r="I2123" i="4"/>
  <c r="D1641" i="1" s="1"/>
  <c r="I2122" i="4"/>
  <c r="D1633" i="1" s="1"/>
  <c r="J1633" i="1" s="1"/>
  <c r="I2121" i="4"/>
  <c r="I2120" i="4"/>
  <c r="I2119" i="4"/>
  <c r="D1630" i="1" s="1"/>
  <c r="J1630" i="1" s="1"/>
  <c r="I2118" i="4"/>
  <c r="D1629" i="1" s="1"/>
  <c r="J1629" i="1" s="1"/>
  <c r="I2117" i="4"/>
  <c r="D1628" i="1" s="1"/>
  <c r="J1628" i="1" s="1"/>
  <c r="I2116" i="4"/>
  <c r="D1627" i="1" s="1"/>
  <c r="J1627" i="1" s="1"/>
  <c r="I2115" i="4"/>
  <c r="D1626" i="1" s="1"/>
  <c r="J1626" i="1" s="1"/>
  <c r="I2114" i="4"/>
  <c r="D1625" i="1" s="1"/>
  <c r="J1625" i="1" s="1"/>
  <c r="I2113" i="4"/>
  <c r="D1624" i="1" s="1"/>
  <c r="J1624" i="1" s="1"/>
  <c r="I2112" i="4"/>
  <c r="D1623" i="1" s="1"/>
  <c r="J1623" i="1" s="1"/>
  <c r="I2111" i="4"/>
  <c r="D1622" i="1" s="1"/>
  <c r="J1622" i="1" s="1"/>
  <c r="I2110" i="4"/>
  <c r="D1621" i="1" s="1"/>
  <c r="J1621" i="1" s="1"/>
  <c r="I2109" i="4"/>
  <c r="D1620" i="1" s="1"/>
  <c r="J1620" i="1" s="1"/>
  <c r="I2108" i="4"/>
  <c r="D1619" i="1" s="1"/>
  <c r="J1619" i="1" s="1"/>
  <c r="I2107" i="4"/>
  <c r="D1618" i="1" s="1"/>
  <c r="J1618" i="1" s="1"/>
  <c r="I2106" i="4"/>
  <c r="I2105" i="4"/>
  <c r="D1616" i="1" s="1"/>
  <c r="J1616" i="1" s="1"/>
  <c r="I2104" i="4"/>
  <c r="D1615" i="1" s="1"/>
  <c r="J1615" i="1" s="1"/>
  <c r="I2103" i="4"/>
  <c r="D1614" i="1" s="1"/>
  <c r="J1614" i="1" s="1"/>
  <c r="I2102" i="4"/>
  <c r="D1613" i="1" s="1"/>
  <c r="J1613" i="1" s="1"/>
  <c r="I2101" i="4"/>
  <c r="D1612" i="1" s="1"/>
  <c r="J1612" i="1" s="1"/>
  <c r="I2100" i="4"/>
  <c r="D1611" i="1" s="1"/>
  <c r="J1611" i="1" s="1"/>
  <c r="B2088" i="4"/>
  <c r="B2087" i="4"/>
  <c r="B2086" i="4"/>
  <c r="B2085" i="4"/>
  <c r="B2084" i="4"/>
  <c r="B2083" i="4"/>
  <c r="B2082" i="4"/>
  <c r="B2081" i="4"/>
  <c r="B2080" i="4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I1589" i="1"/>
  <c r="H1589" i="1"/>
  <c r="G1589" i="1"/>
  <c r="F1589" i="1"/>
  <c r="B1589" i="1"/>
  <c r="A1589" i="1"/>
  <c r="A1581" i="1"/>
  <c r="I1581" i="1"/>
  <c r="I1580" i="1"/>
  <c r="I1579" i="1"/>
  <c r="I1578" i="1"/>
  <c r="I1577" i="1"/>
  <c r="I1576" i="1"/>
  <c r="I1575" i="1"/>
  <c r="I1574" i="1"/>
  <c r="I1573" i="1"/>
  <c r="H1581" i="1"/>
  <c r="H1580" i="1"/>
  <c r="H1579" i="1"/>
  <c r="H1578" i="1"/>
  <c r="H1577" i="1"/>
  <c r="H1576" i="1"/>
  <c r="H1575" i="1"/>
  <c r="H1574" i="1"/>
  <c r="H1573" i="1"/>
  <c r="G1581" i="1"/>
  <c r="G1580" i="1"/>
  <c r="G1579" i="1"/>
  <c r="G1578" i="1"/>
  <c r="G1577" i="1"/>
  <c r="G1576" i="1"/>
  <c r="G1575" i="1"/>
  <c r="G1574" i="1"/>
  <c r="G1573" i="1"/>
  <c r="F1581" i="1"/>
  <c r="F1580" i="1"/>
  <c r="F1579" i="1"/>
  <c r="F1578" i="1"/>
  <c r="F1577" i="1"/>
  <c r="F1576" i="1"/>
  <c r="F1575" i="1"/>
  <c r="F1574" i="1"/>
  <c r="F1573" i="1"/>
  <c r="B1581" i="1"/>
  <c r="B1580" i="1"/>
  <c r="B1579" i="1"/>
  <c r="B1578" i="1"/>
  <c r="B1577" i="1"/>
  <c r="B1576" i="1"/>
  <c r="B1575" i="1"/>
  <c r="B1574" i="1"/>
  <c r="B1573" i="1"/>
  <c r="B1571" i="1"/>
  <c r="A1580" i="1"/>
  <c r="A1579" i="1"/>
  <c r="A1578" i="1"/>
  <c r="A1577" i="1"/>
  <c r="A1576" i="1"/>
  <c r="A1575" i="1"/>
  <c r="A1574" i="1"/>
  <c r="A1573" i="1"/>
  <c r="B2079" i="4"/>
  <c r="B2078" i="4"/>
  <c r="B2077" i="4"/>
  <c r="B2076" i="4"/>
  <c r="B2075" i="4"/>
  <c r="B2074" i="4"/>
  <c r="B2073" i="4"/>
  <c r="B2072" i="4"/>
  <c r="B2071" i="4"/>
  <c r="B2070" i="4"/>
  <c r="B2069" i="4"/>
  <c r="B2068" i="4"/>
  <c r="B2067" i="4"/>
  <c r="B2066" i="4"/>
  <c r="B2065" i="4"/>
  <c r="B2064" i="4"/>
  <c r="B2063" i="4"/>
  <c r="B2062" i="4"/>
  <c r="B2050" i="4"/>
  <c r="B2049" i="4"/>
  <c r="B2048" i="4"/>
  <c r="B2047" i="4"/>
  <c r="I2091" i="4"/>
  <c r="H2089" i="4"/>
  <c r="H2093" i="4" s="1"/>
  <c r="G2089" i="4"/>
  <c r="G2093" i="4" s="1"/>
  <c r="F2089" i="4"/>
  <c r="F2093" i="4" s="1"/>
  <c r="E2089" i="4"/>
  <c r="E2093" i="4" s="1"/>
  <c r="D2089" i="4"/>
  <c r="D2093" i="4" s="1"/>
  <c r="C2089" i="4"/>
  <c r="C2093" i="4" s="1"/>
  <c r="I2088" i="4"/>
  <c r="D1610" i="1" s="1"/>
  <c r="J1610" i="1" s="1"/>
  <c r="I2087" i="4"/>
  <c r="D1609" i="1" s="1"/>
  <c r="J1609" i="1" s="1"/>
  <c r="I2086" i="4"/>
  <c r="D1608" i="1" s="1"/>
  <c r="J1608" i="1" s="1"/>
  <c r="I2085" i="4"/>
  <c r="D1607" i="1" s="1"/>
  <c r="J1607" i="1" s="1"/>
  <c r="I2084" i="4"/>
  <c r="D1606" i="1" s="1"/>
  <c r="J1606" i="1" s="1"/>
  <c r="I2083" i="4"/>
  <c r="D1605" i="1" s="1"/>
  <c r="J1605" i="1" s="1"/>
  <c r="I2082" i="4"/>
  <c r="D1604" i="1" s="1"/>
  <c r="J1604" i="1" s="1"/>
  <c r="I2081" i="4"/>
  <c r="D1603" i="1" s="1"/>
  <c r="J1603" i="1" s="1"/>
  <c r="I2080" i="4"/>
  <c r="D1602" i="1" s="1"/>
  <c r="J1602" i="1" s="1"/>
  <c r="I2079" i="4"/>
  <c r="I2078" i="4"/>
  <c r="I2077" i="4"/>
  <c r="D1599" i="1" s="1"/>
  <c r="J1599" i="1" s="1"/>
  <c r="I2076" i="4"/>
  <c r="D1598" i="1" s="1"/>
  <c r="J1598" i="1" s="1"/>
  <c r="I2075" i="4"/>
  <c r="D1597" i="1" s="1"/>
  <c r="J1597" i="1" s="1"/>
  <c r="I2074" i="4"/>
  <c r="D1596" i="1" s="1"/>
  <c r="J1596" i="1" s="1"/>
  <c r="I2073" i="4"/>
  <c r="D1595" i="1" s="1"/>
  <c r="J1595" i="1" s="1"/>
  <c r="I2072" i="4"/>
  <c r="D1594" i="1" s="1"/>
  <c r="J1594" i="1" s="1"/>
  <c r="I2071" i="4"/>
  <c r="D1593" i="1" s="1"/>
  <c r="J1593" i="1" s="1"/>
  <c r="I2070" i="4"/>
  <c r="D1592" i="1" s="1"/>
  <c r="J1592" i="1" s="1"/>
  <c r="I2069" i="4"/>
  <c r="D1591" i="1" s="1"/>
  <c r="J1591" i="1" s="1"/>
  <c r="I2068" i="4"/>
  <c r="D1590" i="1" s="1"/>
  <c r="J1590" i="1" s="1"/>
  <c r="I2067" i="4"/>
  <c r="D1589" i="1" s="1"/>
  <c r="I2066" i="4"/>
  <c r="I2065" i="4"/>
  <c r="I2064" i="4"/>
  <c r="D1579" i="1" s="1"/>
  <c r="J1579" i="1" s="1"/>
  <c r="I2063" i="4"/>
  <c r="D1578" i="1" s="1"/>
  <c r="J1578" i="1" s="1"/>
  <c r="I2062" i="4"/>
  <c r="I1572" i="1"/>
  <c r="I1571" i="1"/>
  <c r="I1570" i="1"/>
  <c r="I1569" i="1"/>
  <c r="I1568" i="1"/>
  <c r="I1567" i="1"/>
  <c r="H1572" i="1"/>
  <c r="H1571" i="1"/>
  <c r="H1570" i="1"/>
  <c r="H1569" i="1"/>
  <c r="H1568" i="1"/>
  <c r="H1567" i="1"/>
  <c r="G1572" i="1"/>
  <c r="G1571" i="1"/>
  <c r="G1570" i="1"/>
  <c r="G1569" i="1"/>
  <c r="G1568" i="1"/>
  <c r="G1567" i="1"/>
  <c r="F1572" i="1"/>
  <c r="F1571" i="1"/>
  <c r="F1570" i="1"/>
  <c r="F1569" i="1"/>
  <c r="F1568" i="1"/>
  <c r="F1567" i="1"/>
  <c r="B1572" i="1"/>
  <c r="B1570" i="1"/>
  <c r="B1569" i="1"/>
  <c r="B1568" i="1"/>
  <c r="B1567" i="1"/>
  <c r="A1572" i="1"/>
  <c r="A1571" i="1"/>
  <c r="A1570" i="1"/>
  <c r="A1569" i="1"/>
  <c r="A1568" i="1"/>
  <c r="A1567" i="1"/>
  <c r="B2046" i="4"/>
  <c r="B2045" i="4"/>
  <c r="B2044" i="4"/>
  <c r="B2043" i="4"/>
  <c r="B2042" i="4"/>
  <c r="B2041" i="4"/>
  <c r="I1566" i="1"/>
  <c r="I1565" i="1"/>
  <c r="I1564" i="1"/>
  <c r="I1563" i="1"/>
  <c r="H1566" i="1"/>
  <c r="H1565" i="1"/>
  <c r="H1564" i="1"/>
  <c r="H1563" i="1"/>
  <c r="G1566" i="1"/>
  <c r="G1565" i="1"/>
  <c r="G1564" i="1"/>
  <c r="G1563" i="1"/>
  <c r="G1562" i="1"/>
  <c r="F1566" i="1"/>
  <c r="F1565" i="1"/>
  <c r="F1564" i="1"/>
  <c r="F1563" i="1"/>
  <c r="B1566" i="1"/>
  <c r="B1565" i="1"/>
  <c r="B1564" i="1"/>
  <c r="B1563" i="1"/>
  <c r="A1566" i="1"/>
  <c r="A1565" i="1"/>
  <c r="A1564" i="1"/>
  <c r="A1563" i="1"/>
  <c r="B2040" i="4"/>
  <c r="B2039" i="4"/>
  <c r="B2038" i="4"/>
  <c r="B2037" i="4"/>
  <c r="I1562" i="1"/>
  <c r="H1562" i="1"/>
  <c r="I1561" i="1"/>
  <c r="H1561" i="1"/>
  <c r="I1560" i="1"/>
  <c r="H1560" i="1"/>
  <c r="I1559" i="1"/>
  <c r="H1559" i="1"/>
  <c r="I1558" i="1"/>
  <c r="H1558" i="1"/>
  <c r="G1561" i="1"/>
  <c r="G1560" i="1"/>
  <c r="G1559" i="1"/>
  <c r="G1558" i="1"/>
  <c r="G1557" i="1"/>
  <c r="F1562" i="1"/>
  <c r="F1561" i="1"/>
  <c r="F1560" i="1"/>
  <c r="F1559" i="1"/>
  <c r="F1558" i="1"/>
  <c r="B1562" i="1"/>
  <c r="B1561" i="1"/>
  <c r="B1560" i="1"/>
  <c r="B1559" i="1"/>
  <c r="B1558" i="1"/>
  <c r="A1562" i="1"/>
  <c r="A1561" i="1"/>
  <c r="A1560" i="1"/>
  <c r="A1559" i="1"/>
  <c r="A1558" i="1"/>
  <c r="B1557" i="1"/>
  <c r="I1557" i="1"/>
  <c r="H1557" i="1"/>
  <c r="F1557" i="1"/>
  <c r="A1557" i="1"/>
  <c r="B2036" i="4"/>
  <c r="B2035" i="4"/>
  <c r="B2034" i="4"/>
  <c r="B2033" i="4"/>
  <c r="B2032" i="4"/>
  <c r="B2031" i="4"/>
  <c r="F1548" i="1"/>
  <c r="I1556" i="1"/>
  <c r="I1555" i="1"/>
  <c r="I1554" i="1"/>
  <c r="I1553" i="1"/>
  <c r="I1552" i="1"/>
  <c r="I1551" i="1"/>
  <c r="I1550" i="1"/>
  <c r="I1549" i="1"/>
  <c r="I1548" i="1"/>
  <c r="H1556" i="1"/>
  <c r="H1555" i="1"/>
  <c r="H1554" i="1"/>
  <c r="H1553" i="1"/>
  <c r="H1552" i="1"/>
  <c r="H1551" i="1"/>
  <c r="H1550" i="1"/>
  <c r="H1549" i="1"/>
  <c r="H1548" i="1"/>
  <c r="G1556" i="1"/>
  <c r="G1555" i="1"/>
  <c r="G1554" i="1"/>
  <c r="G1553" i="1"/>
  <c r="G1552" i="1"/>
  <c r="G1551" i="1"/>
  <c r="G1550" i="1"/>
  <c r="G1549" i="1"/>
  <c r="G1548" i="1"/>
  <c r="F1556" i="1"/>
  <c r="F1555" i="1"/>
  <c r="F1554" i="1"/>
  <c r="F1553" i="1"/>
  <c r="F1552" i="1"/>
  <c r="F1551" i="1"/>
  <c r="F1550" i="1"/>
  <c r="F1549" i="1"/>
  <c r="B1556" i="1"/>
  <c r="B1555" i="1"/>
  <c r="B1554" i="1"/>
  <c r="B1553" i="1"/>
  <c r="B1552" i="1"/>
  <c r="B1551" i="1"/>
  <c r="B1550" i="1"/>
  <c r="B1549" i="1"/>
  <c r="B1548" i="1"/>
  <c r="A1556" i="1"/>
  <c r="A1555" i="1"/>
  <c r="A1554" i="1"/>
  <c r="A1553" i="1"/>
  <c r="A1552" i="1"/>
  <c r="A1551" i="1"/>
  <c r="A1550" i="1"/>
  <c r="A1549" i="1"/>
  <c r="A1548" i="1"/>
  <c r="I1547" i="1"/>
  <c r="I1546" i="1"/>
  <c r="I1545" i="1"/>
  <c r="I1544" i="1"/>
  <c r="I1543" i="1"/>
  <c r="H1547" i="1"/>
  <c r="H1546" i="1"/>
  <c r="H1545" i="1"/>
  <c r="H1544" i="1"/>
  <c r="H1543" i="1"/>
  <c r="G1547" i="1"/>
  <c r="G1546" i="1"/>
  <c r="G1545" i="1"/>
  <c r="G1544" i="1"/>
  <c r="G1543" i="1"/>
  <c r="F1547" i="1"/>
  <c r="F1546" i="1"/>
  <c r="F1545" i="1"/>
  <c r="F1544" i="1"/>
  <c r="F1543" i="1"/>
  <c r="B1547" i="1"/>
  <c r="B1546" i="1"/>
  <c r="B1545" i="1"/>
  <c r="B1544" i="1"/>
  <c r="B1543" i="1"/>
  <c r="A1547" i="1"/>
  <c r="A1546" i="1"/>
  <c r="A1545" i="1"/>
  <c r="A1544" i="1"/>
  <c r="A1543" i="1"/>
  <c r="I1542" i="1"/>
  <c r="I1541" i="1"/>
  <c r="I1540" i="1"/>
  <c r="I1539" i="1"/>
  <c r="I1538" i="1"/>
  <c r="I1537" i="1"/>
  <c r="H1542" i="1"/>
  <c r="H1541" i="1"/>
  <c r="H1540" i="1"/>
  <c r="H1539" i="1"/>
  <c r="H1538" i="1"/>
  <c r="H1537" i="1"/>
  <c r="G1542" i="1"/>
  <c r="G1541" i="1"/>
  <c r="G1540" i="1"/>
  <c r="G1539" i="1"/>
  <c r="G1538" i="1"/>
  <c r="G1537" i="1"/>
  <c r="F1542" i="1"/>
  <c r="F1541" i="1"/>
  <c r="F1540" i="1"/>
  <c r="F1539" i="1"/>
  <c r="F1538" i="1"/>
  <c r="F1537" i="1"/>
  <c r="B1542" i="1"/>
  <c r="B1541" i="1"/>
  <c r="B1540" i="1"/>
  <c r="B1539" i="1"/>
  <c r="B1538" i="1"/>
  <c r="B1537" i="1"/>
  <c r="A1542" i="1"/>
  <c r="A1541" i="1"/>
  <c r="A1540" i="1"/>
  <c r="A1539" i="1"/>
  <c r="A1538" i="1"/>
  <c r="A1537" i="1"/>
  <c r="I1529" i="1"/>
  <c r="I1528" i="1"/>
  <c r="I1527" i="1"/>
  <c r="I1526" i="1"/>
  <c r="H1529" i="1"/>
  <c r="H1528" i="1"/>
  <c r="H1527" i="1"/>
  <c r="H1526" i="1"/>
  <c r="G1529" i="1"/>
  <c r="G1528" i="1"/>
  <c r="G1527" i="1"/>
  <c r="G1526" i="1"/>
  <c r="F1529" i="1"/>
  <c r="F1528" i="1"/>
  <c r="F1527" i="1"/>
  <c r="F1526" i="1"/>
  <c r="B1529" i="1"/>
  <c r="B1528" i="1"/>
  <c r="B1527" i="1"/>
  <c r="B1526" i="1"/>
  <c r="A1529" i="1"/>
  <c r="A1528" i="1"/>
  <c r="A1527" i="1"/>
  <c r="A1526" i="1"/>
  <c r="B2030" i="4"/>
  <c r="B2029" i="4"/>
  <c r="B2028" i="4"/>
  <c r="B2027" i="4"/>
  <c r="B2026" i="4"/>
  <c r="B2025" i="4"/>
  <c r="B2024" i="4"/>
  <c r="I2053" i="4"/>
  <c r="H2051" i="4"/>
  <c r="H2055" i="4" s="1"/>
  <c r="G2051" i="4"/>
  <c r="G2055" i="4" s="1"/>
  <c r="F2051" i="4"/>
  <c r="F2055" i="4" s="1"/>
  <c r="E2051" i="4"/>
  <c r="E2055" i="4" s="1"/>
  <c r="D2051" i="4"/>
  <c r="D2055" i="4" s="1"/>
  <c r="C2051" i="4"/>
  <c r="C2055" i="4" s="1"/>
  <c r="I2050" i="4"/>
  <c r="D1576" i="1" s="1"/>
  <c r="J1576" i="1" s="1"/>
  <c r="I2049" i="4"/>
  <c r="D1575" i="1" s="1"/>
  <c r="J1575" i="1" s="1"/>
  <c r="I2048" i="4"/>
  <c r="D1574" i="1" s="1"/>
  <c r="J1574" i="1" s="1"/>
  <c r="I2047" i="4"/>
  <c r="I2046" i="4"/>
  <c r="D1572" i="1" s="1"/>
  <c r="J1572" i="1" s="1"/>
  <c r="I2045" i="4"/>
  <c r="D1571" i="1" s="1"/>
  <c r="J1571" i="1" s="1"/>
  <c r="I2044" i="4"/>
  <c r="D1570" i="1" s="1"/>
  <c r="J1570" i="1" s="1"/>
  <c r="I2043" i="4"/>
  <c r="D1569" i="1" s="1"/>
  <c r="J1569" i="1" s="1"/>
  <c r="I2042" i="4"/>
  <c r="D1568" i="1" s="1"/>
  <c r="J1568" i="1" s="1"/>
  <c r="I2041" i="4"/>
  <c r="D1567" i="1" s="1"/>
  <c r="J1567" i="1" s="1"/>
  <c r="I2040" i="4"/>
  <c r="D1566" i="1" s="1"/>
  <c r="J1566" i="1" s="1"/>
  <c r="I2039" i="4"/>
  <c r="D1565" i="1" s="1"/>
  <c r="J1565" i="1" s="1"/>
  <c r="I2038" i="4"/>
  <c r="D1564" i="1" s="1"/>
  <c r="J1564" i="1" s="1"/>
  <c r="I2037" i="4"/>
  <c r="D1563" i="1" s="1"/>
  <c r="J1563" i="1" s="1"/>
  <c r="I2036" i="4"/>
  <c r="D1562" i="1" s="1"/>
  <c r="J1562" i="1" s="1"/>
  <c r="I2035" i="4"/>
  <c r="D1561" i="1" s="1"/>
  <c r="J1561" i="1" s="1"/>
  <c r="I2034" i="4"/>
  <c r="D1560" i="1" s="1"/>
  <c r="J1560" i="1" s="1"/>
  <c r="I2033" i="4"/>
  <c r="D1559" i="1" s="1"/>
  <c r="J1559" i="1" s="1"/>
  <c r="I2032" i="4"/>
  <c r="D1558" i="1" s="1"/>
  <c r="J1558" i="1" s="1"/>
  <c r="I2031" i="4"/>
  <c r="D1557" i="1" s="1"/>
  <c r="J1557" i="1" s="1"/>
  <c r="I2030" i="4"/>
  <c r="D1556" i="1" s="1"/>
  <c r="J1556" i="1" s="1"/>
  <c r="I2029" i="4"/>
  <c r="D1555" i="1" s="1"/>
  <c r="J1555" i="1" s="1"/>
  <c r="I2028" i="4"/>
  <c r="D1554" i="1" s="1"/>
  <c r="J1554" i="1" s="1"/>
  <c r="I2027" i="4"/>
  <c r="D1553" i="1" s="1"/>
  <c r="J1553" i="1" s="1"/>
  <c r="I2026" i="4"/>
  <c r="D1552" i="1" s="1"/>
  <c r="J1552" i="1" s="1"/>
  <c r="I2025" i="4"/>
  <c r="D1551" i="1" s="1"/>
  <c r="J1551" i="1" s="1"/>
  <c r="I2024" i="4"/>
  <c r="D1550" i="1" s="1"/>
  <c r="J1550" i="1" s="1"/>
  <c r="B2012" i="4"/>
  <c r="B2011" i="4"/>
  <c r="B2010" i="4"/>
  <c r="B2009" i="4"/>
  <c r="B2008" i="4"/>
  <c r="B2007" i="4"/>
  <c r="B2006" i="4"/>
  <c r="B2005" i="4"/>
  <c r="B2004" i="4"/>
  <c r="B2003" i="4"/>
  <c r="B2002" i="4"/>
  <c r="B2001" i="4"/>
  <c r="B2000" i="4"/>
  <c r="B1999" i="4"/>
  <c r="B1998" i="4"/>
  <c r="B1997" i="4"/>
  <c r="B1996" i="4"/>
  <c r="B1995" i="4"/>
  <c r="B1994" i="4"/>
  <c r="B1993" i="4"/>
  <c r="B1992" i="4"/>
  <c r="B1991" i="4"/>
  <c r="B1990" i="4"/>
  <c r="B1989" i="4"/>
  <c r="B1988" i="4"/>
  <c r="B1987" i="4"/>
  <c r="B1986" i="4"/>
  <c r="I2015" i="4"/>
  <c r="H2013" i="4"/>
  <c r="H2017" i="4" s="1"/>
  <c r="G2013" i="4"/>
  <c r="G2017" i="4" s="1"/>
  <c r="F2013" i="4"/>
  <c r="F2017" i="4" s="1"/>
  <c r="E2013" i="4"/>
  <c r="E2017" i="4" s="1"/>
  <c r="D2013" i="4"/>
  <c r="D2017" i="4" s="1"/>
  <c r="C2013" i="4"/>
  <c r="C2017" i="4" s="1"/>
  <c r="I2012" i="4"/>
  <c r="I2011" i="4"/>
  <c r="D1548" i="1" s="1"/>
  <c r="J1548" i="1" s="1"/>
  <c r="I2010" i="4"/>
  <c r="D1547" i="1" s="1"/>
  <c r="J1547" i="1" s="1"/>
  <c r="I2009" i="4"/>
  <c r="D1546" i="1" s="1"/>
  <c r="J1546" i="1" s="1"/>
  <c r="I2008" i="4"/>
  <c r="D1545" i="1" s="1"/>
  <c r="J1545" i="1" s="1"/>
  <c r="I2007" i="4"/>
  <c r="D1544" i="1" s="1"/>
  <c r="J1544" i="1" s="1"/>
  <c r="I2006" i="4"/>
  <c r="D1543" i="1" s="1"/>
  <c r="J1543" i="1" s="1"/>
  <c r="I2005" i="4"/>
  <c r="D1542" i="1" s="1"/>
  <c r="J1542" i="1" s="1"/>
  <c r="I2004" i="4"/>
  <c r="D1541" i="1" s="1"/>
  <c r="J1541" i="1" s="1"/>
  <c r="I2003" i="4"/>
  <c r="D1540" i="1" s="1"/>
  <c r="J1540" i="1" s="1"/>
  <c r="I2002" i="4"/>
  <c r="D1539" i="1" s="1"/>
  <c r="J1539" i="1" s="1"/>
  <c r="I2001" i="4"/>
  <c r="D1538" i="1" s="1"/>
  <c r="J1538" i="1" s="1"/>
  <c r="I2000" i="4"/>
  <c r="D1537" i="1" s="1"/>
  <c r="J1537" i="1" s="1"/>
  <c r="I1999" i="4"/>
  <c r="D1529" i="1" s="1"/>
  <c r="J1529" i="1" s="1"/>
  <c r="I1998" i="4"/>
  <c r="D1528" i="1" s="1"/>
  <c r="J1528" i="1" s="1"/>
  <c r="I1997" i="4"/>
  <c r="D1527" i="1" s="1"/>
  <c r="J1527" i="1" s="1"/>
  <c r="I1996" i="4"/>
  <c r="D1526" i="1" s="1"/>
  <c r="J1526" i="1" s="1"/>
  <c r="I1995" i="4"/>
  <c r="D1525" i="1" s="1"/>
  <c r="J1525" i="1" s="1"/>
  <c r="I1994" i="4"/>
  <c r="D1524" i="1" s="1"/>
  <c r="J1524" i="1" s="1"/>
  <c r="I1993" i="4"/>
  <c r="D1523" i="1" s="1"/>
  <c r="J1523" i="1" s="1"/>
  <c r="I1992" i="4"/>
  <c r="D1522" i="1" s="1"/>
  <c r="J1522" i="1" s="1"/>
  <c r="I1991" i="4"/>
  <c r="D1521" i="1" s="1"/>
  <c r="J1521" i="1" s="1"/>
  <c r="I1990" i="4"/>
  <c r="D1520" i="1" s="1"/>
  <c r="J1520" i="1" s="1"/>
  <c r="I1989" i="4"/>
  <c r="I1988" i="4"/>
  <c r="D1518" i="1" s="1"/>
  <c r="J1518" i="1" s="1"/>
  <c r="I1987" i="4"/>
  <c r="D1517" i="1" s="1"/>
  <c r="J1517" i="1" s="1"/>
  <c r="I1986" i="4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B1974" i="4"/>
  <c r="B1973" i="4"/>
  <c r="B1972" i="4"/>
  <c r="B1971" i="4"/>
  <c r="B1970" i="4"/>
  <c r="I1510" i="1"/>
  <c r="H1510" i="1"/>
  <c r="G1510" i="1"/>
  <c r="F1510" i="1"/>
  <c r="B1510" i="1"/>
  <c r="A1510" i="1"/>
  <c r="B1969" i="4"/>
  <c r="I1509" i="1"/>
  <c r="H1509" i="1"/>
  <c r="G1509" i="1"/>
  <c r="F1509" i="1"/>
  <c r="B1509" i="1"/>
  <c r="A1509" i="1"/>
  <c r="B1968" i="4"/>
  <c r="I1508" i="1"/>
  <c r="H1508" i="1"/>
  <c r="G1508" i="1"/>
  <c r="F1508" i="1"/>
  <c r="B1508" i="1"/>
  <c r="A1508" i="1"/>
  <c r="B1967" i="4"/>
  <c r="I1507" i="1"/>
  <c r="I1506" i="1"/>
  <c r="H1507" i="1"/>
  <c r="H1506" i="1"/>
  <c r="G1507" i="1"/>
  <c r="G1506" i="1"/>
  <c r="F1507" i="1"/>
  <c r="F1506" i="1"/>
  <c r="B1507" i="1"/>
  <c r="B1506" i="1"/>
  <c r="A1507" i="1"/>
  <c r="A1506" i="1"/>
  <c r="B1966" i="4"/>
  <c r="B1965" i="4"/>
  <c r="I1505" i="1"/>
  <c r="H1505" i="1"/>
  <c r="G1505" i="1"/>
  <c r="F1505" i="1"/>
  <c r="B1505" i="1"/>
  <c r="A1505" i="1"/>
  <c r="B1964" i="4"/>
  <c r="I1504" i="1"/>
  <c r="H1504" i="1"/>
  <c r="G1504" i="1"/>
  <c r="F1504" i="1"/>
  <c r="B1504" i="1"/>
  <c r="A1504" i="1"/>
  <c r="B1963" i="4"/>
  <c r="I1503" i="1"/>
  <c r="H1503" i="1"/>
  <c r="G1503" i="1"/>
  <c r="F1503" i="1"/>
  <c r="B1503" i="1"/>
  <c r="A1503" i="1"/>
  <c r="B1962" i="4"/>
  <c r="I1502" i="1"/>
  <c r="I1501" i="1"/>
  <c r="I1500" i="1"/>
  <c r="I1499" i="1"/>
  <c r="I1498" i="1"/>
  <c r="H1502" i="1"/>
  <c r="H1501" i="1"/>
  <c r="H1500" i="1"/>
  <c r="H1499" i="1"/>
  <c r="H1498" i="1"/>
  <c r="G1502" i="1"/>
  <c r="G1501" i="1"/>
  <c r="G1500" i="1"/>
  <c r="G1499" i="1"/>
  <c r="G1498" i="1"/>
  <c r="F1502" i="1"/>
  <c r="F1501" i="1"/>
  <c r="F1500" i="1"/>
  <c r="F1499" i="1"/>
  <c r="F1498" i="1"/>
  <c r="B1502" i="1"/>
  <c r="B1501" i="1"/>
  <c r="B1500" i="1"/>
  <c r="B1499" i="1"/>
  <c r="B1498" i="1"/>
  <c r="A1502" i="1"/>
  <c r="A1501" i="1"/>
  <c r="A1500" i="1"/>
  <c r="A1499" i="1"/>
  <c r="A1498" i="1"/>
  <c r="B1961" i="4"/>
  <c r="B1960" i="4"/>
  <c r="B1959" i="4"/>
  <c r="B1958" i="4"/>
  <c r="B1957" i="4"/>
  <c r="I1497" i="1"/>
  <c r="I1496" i="1"/>
  <c r="I1495" i="1"/>
  <c r="H1497" i="1"/>
  <c r="H1496" i="1"/>
  <c r="G1495" i="1"/>
  <c r="G1497" i="1"/>
  <c r="G1496" i="1"/>
  <c r="F1497" i="1"/>
  <c r="F1496" i="1"/>
  <c r="B1497" i="1"/>
  <c r="B1496" i="1"/>
  <c r="A1497" i="1"/>
  <c r="A1496" i="1"/>
  <c r="H1495" i="1"/>
  <c r="F1495" i="1"/>
  <c r="B1495" i="1"/>
  <c r="A1495" i="1"/>
  <c r="B1956" i="4"/>
  <c r="B1955" i="4"/>
  <c r="B1954" i="4"/>
  <c r="I1494" i="1"/>
  <c r="I1493" i="1"/>
  <c r="I1492" i="1"/>
  <c r="I1491" i="1"/>
  <c r="I1490" i="1"/>
  <c r="I1489" i="1"/>
  <c r="I1488" i="1"/>
  <c r="I1487" i="1"/>
  <c r="I1486" i="1"/>
  <c r="H1494" i="1"/>
  <c r="H1493" i="1"/>
  <c r="H1492" i="1"/>
  <c r="H1491" i="1"/>
  <c r="H1490" i="1"/>
  <c r="H1489" i="1"/>
  <c r="H1488" i="1"/>
  <c r="H1487" i="1"/>
  <c r="H1486" i="1"/>
  <c r="G1494" i="1"/>
  <c r="G1493" i="1"/>
  <c r="G1492" i="1"/>
  <c r="G1491" i="1"/>
  <c r="G1490" i="1"/>
  <c r="G1489" i="1"/>
  <c r="G1488" i="1"/>
  <c r="G1487" i="1"/>
  <c r="G1486" i="1"/>
  <c r="F1494" i="1"/>
  <c r="F1493" i="1"/>
  <c r="F1492" i="1"/>
  <c r="F1491" i="1"/>
  <c r="F1490" i="1"/>
  <c r="F1489" i="1"/>
  <c r="F1488" i="1"/>
  <c r="F1487" i="1"/>
  <c r="F1486" i="1"/>
  <c r="B1494" i="1"/>
  <c r="B1493" i="1"/>
  <c r="B1492" i="1"/>
  <c r="B1491" i="1"/>
  <c r="B1490" i="1"/>
  <c r="B1489" i="1"/>
  <c r="B1488" i="1"/>
  <c r="B1487" i="1"/>
  <c r="B1486" i="1"/>
  <c r="A1494" i="1"/>
  <c r="A1493" i="1"/>
  <c r="A1492" i="1"/>
  <c r="A1491" i="1"/>
  <c r="A1490" i="1"/>
  <c r="A1489" i="1"/>
  <c r="A1488" i="1"/>
  <c r="A1487" i="1"/>
  <c r="A1486" i="1"/>
  <c r="B1953" i="4"/>
  <c r="B1952" i="4"/>
  <c r="B1951" i="4"/>
  <c r="B1950" i="4"/>
  <c r="B1949" i="4"/>
  <c r="B1948" i="4"/>
  <c r="B1936" i="4"/>
  <c r="B1935" i="4"/>
  <c r="B1934" i="4"/>
  <c r="B1880" i="4"/>
  <c r="B1485" i="1"/>
  <c r="I1485" i="1"/>
  <c r="H1485" i="1"/>
  <c r="G1485" i="1"/>
  <c r="F1485" i="1"/>
  <c r="A1485" i="1"/>
  <c r="B1933" i="4"/>
  <c r="I1977" i="4"/>
  <c r="H1975" i="4"/>
  <c r="H1979" i="4" s="1"/>
  <c r="G1975" i="4"/>
  <c r="G1979" i="4" s="1"/>
  <c r="F1975" i="4"/>
  <c r="F1979" i="4" s="1"/>
  <c r="E1975" i="4"/>
  <c r="E1979" i="4" s="1"/>
  <c r="D1975" i="4"/>
  <c r="D1979" i="4" s="1"/>
  <c r="C1975" i="4"/>
  <c r="C1979" i="4" s="1"/>
  <c r="I1974" i="4"/>
  <c r="D1515" i="1" s="1"/>
  <c r="J1515" i="1" s="1"/>
  <c r="I1973" i="4"/>
  <c r="D1514" i="1" s="1"/>
  <c r="J1514" i="1" s="1"/>
  <c r="I1972" i="4"/>
  <c r="D1513" i="1" s="1"/>
  <c r="J1513" i="1" s="1"/>
  <c r="I1971" i="4"/>
  <c r="D1512" i="1" s="1"/>
  <c r="J1512" i="1" s="1"/>
  <c r="I1970" i="4"/>
  <c r="D1511" i="1" s="1"/>
  <c r="J1511" i="1" s="1"/>
  <c r="I1969" i="4"/>
  <c r="D1510" i="1" s="1"/>
  <c r="J1510" i="1" s="1"/>
  <c r="I1968" i="4"/>
  <c r="D1509" i="1" s="1"/>
  <c r="J1509" i="1" s="1"/>
  <c r="I1967" i="4"/>
  <c r="D1508" i="1" s="1"/>
  <c r="J1508" i="1" s="1"/>
  <c r="I1966" i="4"/>
  <c r="D1507" i="1" s="1"/>
  <c r="J1507" i="1" s="1"/>
  <c r="I1965" i="4"/>
  <c r="D1506" i="1" s="1"/>
  <c r="J1506" i="1" s="1"/>
  <c r="I1964" i="4"/>
  <c r="D1505" i="1" s="1"/>
  <c r="J1505" i="1" s="1"/>
  <c r="I1963" i="4"/>
  <c r="D1504" i="1" s="1"/>
  <c r="J1504" i="1" s="1"/>
  <c r="I1962" i="4"/>
  <c r="D1503" i="1" s="1"/>
  <c r="J1503" i="1" s="1"/>
  <c r="I1961" i="4"/>
  <c r="D1502" i="1" s="1"/>
  <c r="J1502" i="1" s="1"/>
  <c r="I1960" i="4"/>
  <c r="D1501" i="1" s="1"/>
  <c r="J1501" i="1" s="1"/>
  <c r="I1959" i="4"/>
  <c r="D1500" i="1" s="1"/>
  <c r="J1500" i="1" s="1"/>
  <c r="I1958" i="4"/>
  <c r="D1499" i="1" s="1"/>
  <c r="J1499" i="1" s="1"/>
  <c r="I1957" i="4"/>
  <c r="D1498" i="1" s="1"/>
  <c r="J1498" i="1" s="1"/>
  <c r="I1956" i="4"/>
  <c r="D1497" i="1" s="1"/>
  <c r="J1497" i="1" s="1"/>
  <c r="I1955" i="4"/>
  <c r="D1496" i="1" s="1"/>
  <c r="J1496" i="1" s="1"/>
  <c r="I1954" i="4"/>
  <c r="D1495" i="1" s="1"/>
  <c r="J1495" i="1" s="1"/>
  <c r="I1953" i="4"/>
  <c r="D1494" i="1" s="1"/>
  <c r="J1494" i="1" s="1"/>
  <c r="I1952" i="4"/>
  <c r="D1493" i="1" s="1"/>
  <c r="J1493" i="1" s="1"/>
  <c r="I1951" i="4"/>
  <c r="D1492" i="1" s="1"/>
  <c r="J1492" i="1" s="1"/>
  <c r="I1950" i="4"/>
  <c r="D1491" i="1" s="1"/>
  <c r="J1491" i="1" s="1"/>
  <c r="I1949" i="4"/>
  <c r="D1490" i="1" s="1"/>
  <c r="J1490" i="1" s="1"/>
  <c r="I1948" i="4"/>
  <c r="I1477" i="1"/>
  <c r="H1477" i="1"/>
  <c r="G1477" i="1"/>
  <c r="F1477" i="1"/>
  <c r="B1477" i="1"/>
  <c r="A1477" i="1"/>
  <c r="B1932" i="4"/>
  <c r="I1476" i="1"/>
  <c r="I1475" i="1"/>
  <c r="I1474" i="1"/>
  <c r="I1473" i="1"/>
  <c r="I1472" i="1"/>
  <c r="I1471" i="1"/>
  <c r="I1470" i="1"/>
  <c r="I1469" i="1"/>
  <c r="I1468" i="1"/>
  <c r="H1476" i="1"/>
  <c r="H1475" i="1"/>
  <c r="H1474" i="1"/>
  <c r="H1473" i="1"/>
  <c r="H1472" i="1"/>
  <c r="H1471" i="1"/>
  <c r="H1470" i="1"/>
  <c r="H1469" i="1"/>
  <c r="H1468" i="1"/>
  <c r="G1476" i="1"/>
  <c r="G1475" i="1"/>
  <c r="G1474" i="1"/>
  <c r="G1473" i="1"/>
  <c r="G1472" i="1"/>
  <c r="G1471" i="1"/>
  <c r="G1470" i="1"/>
  <c r="G1469" i="1"/>
  <c r="G1468" i="1"/>
  <c r="F1476" i="1"/>
  <c r="F1475" i="1"/>
  <c r="F1474" i="1"/>
  <c r="F1473" i="1"/>
  <c r="F1472" i="1"/>
  <c r="F1471" i="1"/>
  <c r="F1470" i="1"/>
  <c r="F1469" i="1"/>
  <c r="F1468" i="1"/>
  <c r="B1476" i="1"/>
  <c r="B1475" i="1"/>
  <c r="B1474" i="1"/>
  <c r="B1473" i="1"/>
  <c r="B1472" i="1"/>
  <c r="B1471" i="1"/>
  <c r="B1470" i="1"/>
  <c r="B1469" i="1"/>
  <c r="B1468" i="1"/>
  <c r="A1476" i="1"/>
  <c r="A1475" i="1"/>
  <c r="A1474" i="1"/>
  <c r="A1473" i="1"/>
  <c r="A1472" i="1"/>
  <c r="A1471" i="1"/>
  <c r="A1470" i="1"/>
  <c r="A1469" i="1"/>
  <c r="A1468" i="1"/>
  <c r="B1931" i="4"/>
  <c r="B1930" i="4"/>
  <c r="B1929" i="4"/>
  <c r="B1928" i="4"/>
  <c r="B1927" i="4"/>
  <c r="B1926" i="4"/>
  <c r="B1925" i="4"/>
  <c r="B1924" i="4"/>
  <c r="B1923" i="4"/>
  <c r="I1467" i="1"/>
  <c r="I1466" i="1"/>
  <c r="I1465" i="1"/>
  <c r="I1464" i="1"/>
  <c r="I1463" i="1"/>
  <c r="I1462" i="1"/>
  <c r="H1467" i="1"/>
  <c r="H1466" i="1"/>
  <c r="H1465" i="1"/>
  <c r="H1464" i="1"/>
  <c r="H1463" i="1"/>
  <c r="H1462" i="1"/>
  <c r="G1467" i="1"/>
  <c r="G1466" i="1"/>
  <c r="G1465" i="1"/>
  <c r="G1464" i="1"/>
  <c r="G1463" i="1"/>
  <c r="G1462" i="1"/>
  <c r="F1467" i="1"/>
  <c r="F1466" i="1"/>
  <c r="F1465" i="1"/>
  <c r="F1464" i="1"/>
  <c r="F1463" i="1"/>
  <c r="F1462" i="1"/>
  <c r="B1467" i="1"/>
  <c r="B1466" i="1"/>
  <c r="B1465" i="1"/>
  <c r="B1464" i="1"/>
  <c r="B1463" i="1"/>
  <c r="B1462" i="1"/>
  <c r="A1467" i="1"/>
  <c r="A1466" i="1"/>
  <c r="A1465" i="1"/>
  <c r="A1464" i="1"/>
  <c r="A1463" i="1"/>
  <c r="A1462" i="1"/>
  <c r="B1922" i="4"/>
  <c r="B1921" i="4"/>
  <c r="B1920" i="4"/>
  <c r="B1919" i="4"/>
  <c r="B1918" i="4"/>
  <c r="B1917" i="4"/>
  <c r="I1369" i="1"/>
  <c r="H1369" i="1"/>
  <c r="G1369" i="1"/>
  <c r="F1369" i="1"/>
  <c r="B1369" i="1"/>
  <c r="A1369" i="1"/>
  <c r="I1461" i="1"/>
  <c r="I1460" i="1"/>
  <c r="I1459" i="1"/>
  <c r="I1458" i="1"/>
  <c r="I1457" i="1"/>
  <c r="I1456" i="1"/>
  <c r="H1461" i="1"/>
  <c r="H1460" i="1"/>
  <c r="H1459" i="1"/>
  <c r="H1458" i="1"/>
  <c r="H1457" i="1"/>
  <c r="H1456" i="1"/>
  <c r="G1461" i="1"/>
  <c r="G1460" i="1"/>
  <c r="G1459" i="1"/>
  <c r="G1458" i="1"/>
  <c r="G1457" i="1"/>
  <c r="G1456" i="1"/>
  <c r="F1456" i="1"/>
  <c r="F1461" i="1"/>
  <c r="F1460" i="1"/>
  <c r="F1459" i="1"/>
  <c r="F1458" i="1"/>
  <c r="F1457" i="1"/>
  <c r="B1461" i="1"/>
  <c r="B1460" i="1"/>
  <c r="B1459" i="1"/>
  <c r="B1458" i="1"/>
  <c r="B1457" i="1"/>
  <c r="B1456" i="1"/>
  <c r="A1461" i="1"/>
  <c r="A1460" i="1"/>
  <c r="A1459" i="1"/>
  <c r="A1458" i="1"/>
  <c r="A1457" i="1"/>
  <c r="A1456" i="1"/>
  <c r="B1916" i="4"/>
  <c r="B1915" i="4"/>
  <c r="B1914" i="4"/>
  <c r="B1913" i="4"/>
  <c r="B1912" i="4"/>
  <c r="B1911" i="4"/>
  <c r="I1455" i="1"/>
  <c r="H1455" i="1"/>
  <c r="G1455" i="1"/>
  <c r="F1455" i="1"/>
  <c r="B1455" i="1"/>
  <c r="A1455" i="1"/>
  <c r="I1454" i="1"/>
  <c r="H1454" i="1"/>
  <c r="G1454" i="1"/>
  <c r="F1454" i="1"/>
  <c r="B1454" i="1"/>
  <c r="A1454" i="1"/>
  <c r="B1910" i="4"/>
  <c r="B1898" i="4"/>
  <c r="I1939" i="4"/>
  <c r="H1937" i="4"/>
  <c r="H1941" i="4" s="1"/>
  <c r="G1937" i="4"/>
  <c r="G1941" i="4" s="1"/>
  <c r="F1937" i="4"/>
  <c r="F1941" i="4" s="1"/>
  <c r="E1937" i="4"/>
  <c r="E1941" i="4" s="1"/>
  <c r="D1937" i="4"/>
  <c r="D1941" i="4" s="1"/>
  <c r="C1937" i="4"/>
  <c r="C1941" i="4" s="1"/>
  <c r="I1936" i="4"/>
  <c r="D1488" i="1" s="1"/>
  <c r="J1488" i="1" s="1"/>
  <c r="I1935" i="4"/>
  <c r="D1487" i="1" s="1"/>
  <c r="J1487" i="1" s="1"/>
  <c r="I1934" i="4"/>
  <c r="D1486" i="1" s="1"/>
  <c r="J1486" i="1" s="1"/>
  <c r="I1933" i="4"/>
  <c r="D1485" i="1" s="1"/>
  <c r="J1485" i="1" s="1"/>
  <c r="I1932" i="4"/>
  <c r="D1477" i="1" s="1"/>
  <c r="J1477" i="1" s="1"/>
  <c r="I1931" i="4"/>
  <c r="D1476" i="1" s="1"/>
  <c r="J1476" i="1" s="1"/>
  <c r="I1930" i="4"/>
  <c r="O394" i="1" s="1"/>
  <c r="U394" i="1" s="1"/>
  <c r="I1929" i="4"/>
  <c r="O393" i="1" s="1"/>
  <c r="U393" i="1" s="1"/>
  <c r="I1928" i="4"/>
  <c r="D1473" i="1" s="1"/>
  <c r="J1473" i="1" s="1"/>
  <c r="I1927" i="4"/>
  <c r="D1472" i="1" s="1"/>
  <c r="J1472" i="1" s="1"/>
  <c r="I1926" i="4"/>
  <c r="D1471" i="1" s="1"/>
  <c r="J1471" i="1" s="1"/>
  <c r="I1925" i="4"/>
  <c r="D1470" i="1" s="1"/>
  <c r="J1470" i="1" s="1"/>
  <c r="I1924" i="4"/>
  <c r="D1469" i="1" s="1"/>
  <c r="J1469" i="1" s="1"/>
  <c r="I1923" i="4"/>
  <c r="D1468" i="1" s="1"/>
  <c r="J1468" i="1" s="1"/>
  <c r="I1922" i="4"/>
  <c r="D1467" i="1" s="1"/>
  <c r="J1467" i="1" s="1"/>
  <c r="I1921" i="4"/>
  <c r="D1466" i="1" s="1"/>
  <c r="J1466" i="1" s="1"/>
  <c r="I1920" i="4"/>
  <c r="O293" i="1" s="1"/>
  <c r="U293" i="1" s="1"/>
  <c r="I1919" i="4"/>
  <c r="O292" i="1" s="1"/>
  <c r="U292" i="1" s="1"/>
  <c r="I1918" i="4"/>
  <c r="D1463" i="1" s="1"/>
  <c r="J1463" i="1" s="1"/>
  <c r="I1917" i="4"/>
  <c r="D1462" i="1" s="1"/>
  <c r="J1462" i="1" s="1"/>
  <c r="I1916" i="4"/>
  <c r="D1461" i="1" s="1"/>
  <c r="J1461" i="1" s="1"/>
  <c r="I1915" i="4"/>
  <c r="D1460" i="1" s="1"/>
  <c r="J1460" i="1" s="1"/>
  <c r="I1914" i="4"/>
  <c r="D1459" i="1" s="1"/>
  <c r="J1459" i="1" s="1"/>
  <c r="I1913" i="4"/>
  <c r="D1458" i="1" s="1"/>
  <c r="J1458" i="1" s="1"/>
  <c r="I1912" i="4"/>
  <c r="D1457" i="1" s="1"/>
  <c r="J1457" i="1" s="1"/>
  <c r="I1911" i="4"/>
  <c r="D1456" i="1" s="1"/>
  <c r="J1456" i="1" s="1"/>
  <c r="I1910" i="4"/>
  <c r="I1453" i="1"/>
  <c r="H1453" i="1"/>
  <c r="G1453" i="1"/>
  <c r="F1453" i="1"/>
  <c r="B1453" i="1"/>
  <c r="A1453" i="1"/>
  <c r="B1897" i="4"/>
  <c r="I1452" i="1"/>
  <c r="I1451" i="1"/>
  <c r="H1452" i="1"/>
  <c r="H1451" i="1"/>
  <c r="G1452" i="1"/>
  <c r="G1451" i="1"/>
  <c r="F1452" i="1"/>
  <c r="F1451" i="1"/>
  <c r="B1452" i="1"/>
  <c r="B1451" i="1"/>
  <c r="A1452" i="1"/>
  <c r="A1451" i="1"/>
  <c r="B1896" i="4"/>
  <c r="B1895" i="4"/>
  <c r="I1450" i="1"/>
  <c r="I1449" i="1"/>
  <c r="H1450" i="1"/>
  <c r="H1449" i="1"/>
  <c r="G1450" i="1"/>
  <c r="G1449" i="1"/>
  <c r="F1450" i="1"/>
  <c r="F1449" i="1"/>
  <c r="B1450" i="1"/>
  <c r="B1449" i="1"/>
  <c r="A1450" i="1"/>
  <c r="A1449" i="1"/>
  <c r="B1894" i="4"/>
  <c r="B1893" i="4"/>
  <c r="I1448" i="1"/>
  <c r="I1447" i="1"/>
  <c r="I1446" i="1"/>
  <c r="I1445" i="1"/>
  <c r="I1444" i="1"/>
  <c r="I1443" i="1"/>
  <c r="I1442" i="1"/>
  <c r="I1441" i="1"/>
  <c r="I1440" i="1"/>
  <c r="I1439" i="1"/>
  <c r="H1448" i="1"/>
  <c r="H1447" i="1"/>
  <c r="H1446" i="1"/>
  <c r="H1445" i="1"/>
  <c r="H1444" i="1"/>
  <c r="H1443" i="1"/>
  <c r="H1442" i="1"/>
  <c r="H1441" i="1"/>
  <c r="H1440" i="1"/>
  <c r="H1439" i="1"/>
  <c r="G1448" i="1"/>
  <c r="G1447" i="1"/>
  <c r="G1446" i="1"/>
  <c r="G1445" i="1"/>
  <c r="G1444" i="1"/>
  <c r="G1443" i="1"/>
  <c r="G1442" i="1"/>
  <c r="G1441" i="1"/>
  <c r="G1440" i="1"/>
  <c r="G1439" i="1"/>
  <c r="F1448" i="1"/>
  <c r="F1447" i="1"/>
  <c r="F1446" i="1"/>
  <c r="F1445" i="1"/>
  <c r="F1444" i="1"/>
  <c r="F1443" i="1"/>
  <c r="F1442" i="1"/>
  <c r="F1441" i="1"/>
  <c r="F1440" i="1"/>
  <c r="F1439" i="1"/>
  <c r="B1448" i="1"/>
  <c r="B1447" i="1"/>
  <c r="B1446" i="1"/>
  <c r="B1445" i="1"/>
  <c r="B1444" i="1"/>
  <c r="B1443" i="1"/>
  <c r="B1442" i="1"/>
  <c r="B1441" i="1"/>
  <c r="B1440" i="1"/>
  <c r="B1439" i="1"/>
  <c r="A1448" i="1"/>
  <c r="A1447" i="1"/>
  <c r="A1446" i="1"/>
  <c r="A1445" i="1"/>
  <c r="A1444" i="1"/>
  <c r="A1443" i="1"/>
  <c r="A1442" i="1"/>
  <c r="A1441" i="1"/>
  <c r="A1440" i="1"/>
  <c r="A1439" i="1"/>
  <c r="B1892" i="4"/>
  <c r="B1891" i="4"/>
  <c r="B1890" i="4"/>
  <c r="B1889" i="4"/>
  <c r="B1888" i="4"/>
  <c r="B1887" i="4"/>
  <c r="B1886" i="4"/>
  <c r="B1885" i="4"/>
  <c r="B1884" i="4"/>
  <c r="B1883" i="4"/>
  <c r="I1873" i="4"/>
  <c r="D1422" i="1" s="1"/>
  <c r="J1422" i="1" s="1"/>
  <c r="B1882" i="4"/>
  <c r="B1881" i="4"/>
  <c r="B1879" i="4"/>
  <c r="B1878" i="4"/>
  <c r="B1877" i="4"/>
  <c r="B1876" i="4"/>
  <c r="B1875" i="4"/>
  <c r="B1874" i="4"/>
  <c r="I1438" i="1"/>
  <c r="I1437" i="1"/>
  <c r="I1436" i="1"/>
  <c r="I1435" i="1"/>
  <c r="I1434" i="1"/>
  <c r="I1433" i="1"/>
  <c r="H1438" i="1"/>
  <c r="H1437" i="1"/>
  <c r="H1436" i="1"/>
  <c r="H1435" i="1"/>
  <c r="H1434" i="1"/>
  <c r="H1433" i="1"/>
  <c r="G1438" i="1"/>
  <c r="G1437" i="1"/>
  <c r="G1436" i="1"/>
  <c r="G1435" i="1"/>
  <c r="G1434" i="1"/>
  <c r="G1433" i="1"/>
  <c r="F1438" i="1"/>
  <c r="F1437" i="1"/>
  <c r="F1436" i="1"/>
  <c r="F1435" i="1"/>
  <c r="F1434" i="1"/>
  <c r="F1433" i="1"/>
  <c r="B1438" i="1"/>
  <c r="B1437" i="1"/>
  <c r="B1436" i="1"/>
  <c r="B1435" i="1"/>
  <c r="B1434" i="1"/>
  <c r="A1438" i="1"/>
  <c r="A1437" i="1"/>
  <c r="A1436" i="1"/>
  <c r="A1435" i="1"/>
  <c r="A1434" i="1"/>
  <c r="B1433" i="1"/>
  <c r="A1433" i="1"/>
  <c r="B1425" i="1"/>
  <c r="B1424" i="1"/>
  <c r="B1423" i="1"/>
  <c r="I1425" i="1"/>
  <c r="I1424" i="1"/>
  <c r="I1423" i="1"/>
  <c r="H1425" i="1"/>
  <c r="H1424" i="1"/>
  <c r="H1423" i="1"/>
  <c r="G1425" i="1"/>
  <c r="G1424" i="1"/>
  <c r="G1423" i="1"/>
  <c r="F1425" i="1"/>
  <c r="F1424" i="1"/>
  <c r="F1423" i="1"/>
  <c r="A1425" i="1"/>
  <c r="A1424" i="1"/>
  <c r="A1423" i="1"/>
  <c r="B29" i="1"/>
  <c r="I1422" i="1"/>
  <c r="H1422" i="1"/>
  <c r="G1422" i="1"/>
  <c r="F1422" i="1"/>
  <c r="B1422" i="1"/>
  <c r="B1421" i="1"/>
  <c r="A1422" i="1"/>
  <c r="I1421" i="1"/>
  <c r="H1421" i="1"/>
  <c r="G1421" i="1"/>
  <c r="F1421" i="1"/>
  <c r="A1421" i="1"/>
  <c r="B1873" i="4"/>
  <c r="B1872" i="4"/>
  <c r="I1901" i="4"/>
  <c r="H1899" i="4"/>
  <c r="H1903" i="4" s="1"/>
  <c r="G1899" i="4"/>
  <c r="G1903" i="4" s="1"/>
  <c r="F1899" i="4"/>
  <c r="F1903" i="4" s="1"/>
  <c r="E1899" i="4"/>
  <c r="E1903" i="4" s="1"/>
  <c r="D1899" i="4"/>
  <c r="D1903" i="4" s="1"/>
  <c r="C1899" i="4"/>
  <c r="C1903" i="4" s="1"/>
  <c r="I1898" i="4"/>
  <c r="D1454" i="1" s="1"/>
  <c r="J1454" i="1" s="1"/>
  <c r="I1897" i="4"/>
  <c r="D1453" i="1" s="1"/>
  <c r="J1453" i="1" s="1"/>
  <c r="I1896" i="4"/>
  <c r="D1452" i="1" s="1"/>
  <c r="J1452" i="1" s="1"/>
  <c r="I1895" i="4"/>
  <c r="D1451" i="1" s="1"/>
  <c r="J1451" i="1" s="1"/>
  <c r="I1894" i="4"/>
  <c r="D1450" i="1" s="1"/>
  <c r="J1450" i="1" s="1"/>
  <c r="I1893" i="4"/>
  <c r="D1449" i="1" s="1"/>
  <c r="J1449" i="1" s="1"/>
  <c r="I1892" i="4"/>
  <c r="D1448" i="1" s="1"/>
  <c r="J1448" i="1" s="1"/>
  <c r="I1891" i="4"/>
  <c r="D1447" i="1" s="1"/>
  <c r="J1447" i="1" s="1"/>
  <c r="I1890" i="4"/>
  <c r="D1446" i="1" s="1"/>
  <c r="J1446" i="1" s="1"/>
  <c r="I1889" i="4"/>
  <c r="D1445" i="1" s="1"/>
  <c r="J1445" i="1" s="1"/>
  <c r="I1888" i="4"/>
  <c r="D1444" i="1" s="1"/>
  <c r="J1444" i="1" s="1"/>
  <c r="I1887" i="4"/>
  <c r="D1443" i="1" s="1"/>
  <c r="J1443" i="1" s="1"/>
  <c r="I1886" i="4"/>
  <c r="D1442" i="1" s="1"/>
  <c r="J1442" i="1" s="1"/>
  <c r="I1885" i="4"/>
  <c r="D1441" i="1" s="1"/>
  <c r="J1441" i="1" s="1"/>
  <c r="I1884" i="4"/>
  <c r="D1440" i="1" s="1"/>
  <c r="J1440" i="1" s="1"/>
  <c r="I1883" i="4"/>
  <c r="D1439" i="1" s="1"/>
  <c r="J1439" i="1" s="1"/>
  <c r="I1882" i="4"/>
  <c r="D1438" i="1" s="1"/>
  <c r="J1438" i="1" s="1"/>
  <c r="I1881" i="4"/>
  <c r="D1437" i="1" s="1"/>
  <c r="J1437" i="1" s="1"/>
  <c r="I1880" i="4"/>
  <c r="D1436" i="1" s="1"/>
  <c r="J1436" i="1" s="1"/>
  <c r="I1879" i="4"/>
  <c r="D1435" i="1" s="1"/>
  <c r="J1435" i="1" s="1"/>
  <c r="I1878" i="4"/>
  <c r="D1434" i="1" s="1"/>
  <c r="J1434" i="1" s="1"/>
  <c r="I1877" i="4"/>
  <c r="D1433" i="1" s="1"/>
  <c r="J1433" i="1" s="1"/>
  <c r="I1876" i="4"/>
  <c r="D1425" i="1" s="1"/>
  <c r="J1425" i="1" s="1"/>
  <c r="I1875" i="4"/>
  <c r="D1424" i="1" s="1"/>
  <c r="J1424" i="1" s="1"/>
  <c r="I1874" i="4"/>
  <c r="D1423" i="1" s="1"/>
  <c r="J1423" i="1" s="1"/>
  <c r="I1872" i="4"/>
  <c r="D1421" i="1" s="1"/>
  <c r="J1421" i="1" s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I1407" i="1"/>
  <c r="I1406" i="1"/>
  <c r="I1405" i="1"/>
  <c r="I1404" i="1"/>
  <c r="I1403" i="1"/>
  <c r="H1407" i="1"/>
  <c r="H1406" i="1"/>
  <c r="H1405" i="1"/>
  <c r="H1404" i="1"/>
  <c r="H1403" i="1"/>
  <c r="G1407" i="1"/>
  <c r="G1406" i="1"/>
  <c r="G1405" i="1"/>
  <c r="G1404" i="1"/>
  <c r="G1403" i="1"/>
  <c r="F1407" i="1"/>
  <c r="F1406" i="1"/>
  <c r="F1405" i="1"/>
  <c r="F1404" i="1"/>
  <c r="F1403" i="1"/>
  <c r="B1407" i="1"/>
  <c r="B1406" i="1"/>
  <c r="B1405" i="1"/>
  <c r="B1404" i="1"/>
  <c r="B1403" i="1"/>
  <c r="A1407" i="1"/>
  <c r="A1406" i="1"/>
  <c r="A1405" i="1"/>
  <c r="A1404" i="1"/>
  <c r="A1403" i="1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I1863" i="4"/>
  <c r="H1861" i="4"/>
  <c r="H1865" i="4" s="1"/>
  <c r="G1861" i="4"/>
  <c r="G1865" i="4" s="1"/>
  <c r="F1861" i="4"/>
  <c r="F1865" i="4" s="1"/>
  <c r="E1861" i="4"/>
  <c r="E1865" i="4" s="1"/>
  <c r="D1861" i="4"/>
  <c r="D1865" i="4" s="1"/>
  <c r="C1861" i="4"/>
  <c r="C1865" i="4" s="1"/>
  <c r="I1860" i="4"/>
  <c r="D1420" i="1" s="1"/>
  <c r="J1420" i="1" s="1"/>
  <c r="I1859" i="4"/>
  <c r="D1419" i="1" s="1"/>
  <c r="J1419" i="1" s="1"/>
  <c r="I1858" i="4"/>
  <c r="D1418" i="1" s="1"/>
  <c r="J1418" i="1" s="1"/>
  <c r="I1857" i="4"/>
  <c r="D1417" i="1" s="1"/>
  <c r="J1417" i="1" s="1"/>
  <c r="I1856" i="4"/>
  <c r="D1416" i="1" s="1"/>
  <c r="I1855" i="4"/>
  <c r="D1415" i="1" s="1"/>
  <c r="J1415" i="1" s="1"/>
  <c r="I1854" i="4"/>
  <c r="D1414" i="1" s="1"/>
  <c r="J1414" i="1" s="1"/>
  <c r="I1853" i="4"/>
  <c r="D1413" i="1" s="1"/>
  <c r="J1413" i="1" s="1"/>
  <c r="I1852" i="4"/>
  <c r="D1412" i="1" s="1"/>
  <c r="J1412" i="1" s="1"/>
  <c r="I1851" i="4"/>
  <c r="D1411" i="1" s="1"/>
  <c r="J1411" i="1" s="1"/>
  <c r="I1850" i="4"/>
  <c r="D1410" i="1" s="1"/>
  <c r="J1410" i="1" s="1"/>
  <c r="I1849" i="4"/>
  <c r="D1409" i="1" s="1"/>
  <c r="J1409" i="1" s="1"/>
  <c r="I1848" i="4"/>
  <c r="D1408" i="1" s="1"/>
  <c r="J1408" i="1" s="1"/>
  <c r="I1847" i="4"/>
  <c r="D1407" i="1" s="1"/>
  <c r="J1407" i="1" s="1"/>
  <c r="I1846" i="4"/>
  <c r="D1406" i="1" s="1"/>
  <c r="J1406" i="1" s="1"/>
  <c r="I1845" i="4"/>
  <c r="D1405" i="1" s="1"/>
  <c r="J1405" i="1" s="1"/>
  <c r="I1844" i="4"/>
  <c r="O392" i="1" s="1"/>
  <c r="U392" i="1" s="1"/>
  <c r="I1843" i="4"/>
  <c r="D1403" i="1" s="1"/>
  <c r="J1403" i="1" s="1"/>
  <c r="I1842" i="4"/>
  <c r="D1402" i="1" s="1"/>
  <c r="J1402" i="1" s="1"/>
  <c r="I1841" i="4"/>
  <c r="D1401" i="1" s="1"/>
  <c r="J1401" i="1" s="1"/>
  <c r="I1840" i="4"/>
  <c r="D1400" i="1" s="1"/>
  <c r="J1400" i="1" s="1"/>
  <c r="I1839" i="4"/>
  <c r="D1399" i="1" s="1"/>
  <c r="J1399" i="1" s="1"/>
  <c r="I1838" i="4"/>
  <c r="D1398" i="1" s="1"/>
  <c r="J1398" i="1" s="1"/>
  <c r="I1837" i="4"/>
  <c r="D1397" i="1" s="1"/>
  <c r="J1397" i="1" s="1"/>
  <c r="I1836" i="4"/>
  <c r="D1396" i="1" s="1"/>
  <c r="J1396" i="1" s="1"/>
  <c r="I1835" i="4"/>
  <c r="D1395" i="1" s="1"/>
  <c r="J1395" i="1" s="1"/>
  <c r="I1834" i="4"/>
  <c r="D1394" i="1" s="1"/>
  <c r="J1394" i="1" s="1"/>
  <c r="I1393" i="1"/>
  <c r="I1392" i="1"/>
  <c r="I1391" i="1"/>
  <c r="I1390" i="1"/>
  <c r="I1402" i="1"/>
  <c r="I1401" i="1"/>
  <c r="I1400" i="1"/>
  <c r="I1399" i="1"/>
  <c r="I1398" i="1"/>
  <c r="I1397" i="1"/>
  <c r="I1396" i="1"/>
  <c r="I1395" i="1"/>
  <c r="I1394" i="1"/>
  <c r="H1402" i="1"/>
  <c r="H1401" i="1"/>
  <c r="H1400" i="1"/>
  <c r="H1399" i="1"/>
  <c r="H1398" i="1"/>
  <c r="H1397" i="1"/>
  <c r="H1396" i="1"/>
  <c r="H1395" i="1"/>
  <c r="H1394" i="1"/>
  <c r="G1402" i="1"/>
  <c r="G1401" i="1"/>
  <c r="G1400" i="1"/>
  <c r="G1399" i="1"/>
  <c r="G1398" i="1"/>
  <c r="G1397" i="1"/>
  <c r="G1396" i="1"/>
  <c r="G1395" i="1"/>
  <c r="G1394" i="1"/>
  <c r="F1402" i="1"/>
  <c r="F1401" i="1"/>
  <c r="F1400" i="1"/>
  <c r="F1399" i="1"/>
  <c r="F1398" i="1"/>
  <c r="F1397" i="1"/>
  <c r="F1396" i="1"/>
  <c r="F1395" i="1"/>
  <c r="F1394" i="1"/>
  <c r="B1402" i="1"/>
  <c r="B1401" i="1"/>
  <c r="B1400" i="1"/>
  <c r="B1399" i="1"/>
  <c r="B1398" i="1"/>
  <c r="B1397" i="1"/>
  <c r="B1396" i="1"/>
  <c r="B1395" i="1"/>
  <c r="B1394" i="1"/>
  <c r="A1402" i="1"/>
  <c r="A1401" i="1"/>
  <c r="A1400" i="1"/>
  <c r="A1399" i="1"/>
  <c r="A1398" i="1"/>
  <c r="A1397" i="1"/>
  <c r="A1396" i="1"/>
  <c r="A1395" i="1"/>
  <c r="A1394" i="1"/>
  <c r="H1393" i="1"/>
  <c r="H1392" i="1"/>
  <c r="H1391" i="1"/>
  <c r="H1390" i="1"/>
  <c r="G1393" i="1"/>
  <c r="G1392" i="1"/>
  <c r="G1391" i="1"/>
  <c r="G1390" i="1"/>
  <c r="F1393" i="1"/>
  <c r="F1392" i="1"/>
  <c r="F1391" i="1"/>
  <c r="F1390" i="1"/>
  <c r="B1393" i="1"/>
  <c r="B1392" i="1"/>
  <c r="B1391" i="1"/>
  <c r="B1390" i="1"/>
  <c r="A1393" i="1"/>
  <c r="A1392" i="1"/>
  <c r="A1391" i="1"/>
  <c r="A1390" i="1"/>
  <c r="B1821" i="4"/>
  <c r="B1820" i="4"/>
  <c r="B1819" i="4"/>
  <c r="B1818" i="4"/>
  <c r="I1389" i="1"/>
  <c r="H1389" i="1"/>
  <c r="G1389" i="1"/>
  <c r="F1389" i="1"/>
  <c r="B1389" i="1"/>
  <c r="A1389" i="1"/>
  <c r="B1817" i="4"/>
  <c r="I1388" i="1"/>
  <c r="H1388" i="1"/>
  <c r="G1388" i="1"/>
  <c r="F1388" i="1"/>
  <c r="B1388" i="1"/>
  <c r="A1388" i="1"/>
  <c r="I1387" i="1"/>
  <c r="I1386" i="1"/>
  <c r="I1385" i="1"/>
  <c r="I1384" i="1"/>
  <c r="I1383" i="1"/>
  <c r="I1382" i="1"/>
  <c r="I1381" i="1"/>
  <c r="H1387" i="1"/>
  <c r="H1386" i="1"/>
  <c r="H1385" i="1"/>
  <c r="H1384" i="1"/>
  <c r="H1383" i="1"/>
  <c r="H1382" i="1"/>
  <c r="H1381" i="1"/>
  <c r="G1387" i="1"/>
  <c r="G1386" i="1"/>
  <c r="G1385" i="1"/>
  <c r="G1384" i="1"/>
  <c r="G1383" i="1"/>
  <c r="G1382" i="1"/>
  <c r="G1381" i="1"/>
  <c r="F1387" i="1"/>
  <c r="F1386" i="1"/>
  <c r="F1385" i="1"/>
  <c r="F1384" i="1"/>
  <c r="F1383" i="1"/>
  <c r="F1382" i="1"/>
  <c r="F1381" i="1"/>
  <c r="B1387" i="1"/>
  <c r="B1386" i="1"/>
  <c r="B1385" i="1"/>
  <c r="B1384" i="1"/>
  <c r="B1383" i="1"/>
  <c r="B1382" i="1"/>
  <c r="B1381" i="1"/>
  <c r="A1387" i="1"/>
  <c r="A1386" i="1"/>
  <c r="A1385" i="1"/>
  <c r="A1384" i="1"/>
  <c r="A1383" i="1"/>
  <c r="A1382" i="1"/>
  <c r="A1381" i="1"/>
  <c r="B1816" i="4"/>
  <c r="B1815" i="4"/>
  <c r="B1814" i="4"/>
  <c r="B1813" i="4"/>
  <c r="B1812" i="4"/>
  <c r="B1811" i="4"/>
  <c r="B1810" i="4"/>
  <c r="B1809" i="4"/>
  <c r="I1373" i="1"/>
  <c r="I1372" i="1"/>
  <c r="I1371" i="1"/>
  <c r="H1373" i="1"/>
  <c r="H1372" i="1"/>
  <c r="H1371" i="1"/>
  <c r="G1373" i="1"/>
  <c r="G1372" i="1"/>
  <c r="G1371" i="1"/>
  <c r="F1373" i="1"/>
  <c r="F1372" i="1"/>
  <c r="F1371" i="1"/>
  <c r="B1373" i="1"/>
  <c r="B1372" i="1"/>
  <c r="B1371" i="1"/>
  <c r="A1373" i="1"/>
  <c r="A1372" i="1"/>
  <c r="A1371" i="1"/>
  <c r="B1808" i="4"/>
  <c r="B1807" i="4"/>
  <c r="B1806" i="4"/>
  <c r="I1370" i="1"/>
  <c r="I1368" i="1"/>
  <c r="I1367" i="1"/>
  <c r="I1366" i="1"/>
  <c r="I1365" i="1"/>
  <c r="I1364" i="1"/>
  <c r="I1363" i="1"/>
  <c r="I1362" i="1"/>
  <c r="I1361" i="1"/>
  <c r="I1360" i="1"/>
  <c r="H1370" i="1"/>
  <c r="H1368" i="1"/>
  <c r="H1367" i="1"/>
  <c r="H1366" i="1"/>
  <c r="H1365" i="1"/>
  <c r="H1364" i="1"/>
  <c r="H1363" i="1"/>
  <c r="H1362" i="1"/>
  <c r="H1361" i="1"/>
  <c r="H1360" i="1"/>
  <c r="G1370" i="1"/>
  <c r="G1368" i="1"/>
  <c r="G1367" i="1"/>
  <c r="G1366" i="1"/>
  <c r="G1365" i="1"/>
  <c r="G1364" i="1"/>
  <c r="G1363" i="1"/>
  <c r="G1362" i="1"/>
  <c r="G1361" i="1"/>
  <c r="G1360" i="1"/>
  <c r="F1370" i="1"/>
  <c r="F1368" i="1"/>
  <c r="F1367" i="1"/>
  <c r="F1366" i="1"/>
  <c r="F1365" i="1"/>
  <c r="F1364" i="1"/>
  <c r="F1363" i="1"/>
  <c r="F1362" i="1"/>
  <c r="F1361" i="1"/>
  <c r="F1360" i="1"/>
  <c r="B1370" i="1"/>
  <c r="B1368" i="1"/>
  <c r="B1367" i="1"/>
  <c r="B1366" i="1"/>
  <c r="B1365" i="1"/>
  <c r="B1364" i="1"/>
  <c r="B1363" i="1"/>
  <c r="B1362" i="1"/>
  <c r="B1361" i="1"/>
  <c r="B1360" i="1"/>
  <c r="A1370" i="1"/>
  <c r="A1368" i="1"/>
  <c r="A1367" i="1"/>
  <c r="A1366" i="1"/>
  <c r="A1365" i="1"/>
  <c r="A1364" i="1"/>
  <c r="A1363" i="1"/>
  <c r="A1362" i="1"/>
  <c r="A1361" i="1"/>
  <c r="A1360" i="1"/>
  <c r="B1805" i="4"/>
  <c r="B1795" i="4"/>
  <c r="B1804" i="4"/>
  <c r="B1803" i="4"/>
  <c r="B1802" i="4"/>
  <c r="B1801" i="4"/>
  <c r="B1800" i="4"/>
  <c r="B1799" i="4"/>
  <c r="B1798" i="4"/>
  <c r="B1797" i="4"/>
  <c r="B1796" i="4"/>
  <c r="I1824" i="4"/>
  <c r="H1822" i="4"/>
  <c r="H1826" i="4" s="1"/>
  <c r="G1822" i="4"/>
  <c r="G1826" i="4" s="1"/>
  <c r="F1822" i="4"/>
  <c r="F1826" i="4" s="1"/>
  <c r="E1822" i="4"/>
  <c r="E1826" i="4" s="1"/>
  <c r="D1822" i="4"/>
  <c r="D1826" i="4" s="1"/>
  <c r="C1822" i="4"/>
  <c r="C1826" i="4" s="1"/>
  <c r="I1821" i="4"/>
  <c r="O291" i="1" s="1"/>
  <c r="U291" i="1" s="1"/>
  <c r="I1820" i="4"/>
  <c r="D1392" i="1" s="1"/>
  <c r="J1392" i="1" s="1"/>
  <c r="I1819" i="4"/>
  <c r="D1391" i="1" s="1"/>
  <c r="J1391" i="1" s="1"/>
  <c r="I1818" i="4"/>
  <c r="D1390" i="1" s="1"/>
  <c r="J1390" i="1" s="1"/>
  <c r="I1817" i="4"/>
  <c r="D1389" i="1" s="1"/>
  <c r="J1389" i="1" s="1"/>
  <c r="I1816" i="4"/>
  <c r="D1388" i="1" s="1"/>
  <c r="J1388" i="1" s="1"/>
  <c r="I1815" i="4"/>
  <c r="D1387" i="1" s="1"/>
  <c r="J1387" i="1" s="1"/>
  <c r="I1814" i="4"/>
  <c r="D1386" i="1" s="1"/>
  <c r="J1386" i="1" s="1"/>
  <c r="I1813" i="4"/>
  <c r="D1385" i="1" s="1"/>
  <c r="J1385" i="1" s="1"/>
  <c r="I1812" i="4"/>
  <c r="D1384" i="1" s="1"/>
  <c r="J1384" i="1" s="1"/>
  <c r="I1811" i="4"/>
  <c r="D1383" i="1" s="1"/>
  <c r="J1383" i="1" s="1"/>
  <c r="I1810" i="4"/>
  <c r="D1382" i="1" s="1"/>
  <c r="J1382" i="1" s="1"/>
  <c r="I1809" i="4"/>
  <c r="D1381" i="1" s="1"/>
  <c r="I1808" i="4"/>
  <c r="D1373" i="1" s="1"/>
  <c r="J1373" i="1" s="1"/>
  <c r="I1807" i="4"/>
  <c r="D1372" i="1" s="1"/>
  <c r="J1372" i="1" s="1"/>
  <c r="I1806" i="4"/>
  <c r="D1371" i="1" s="1"/>
  <c r="J1371" i="1" s="1"/>
  <c r="I1805" i="4"/>
  <c r="D1370" i="1" s="1"/>
  <c r="J1370" i="1" s="1"/>
  <c r="I1804" i="4"/>
  <c r="D1369" i="1" s="1"/>
  <c r="J1369" i="1" s="1"/>
  <c r="I1803" i="4"/>
  <c r="D1368" i="1" s="1"/>
  <c r="J1368" i="1" s="1"/>
  <c r="I1802" i="4"/>
  <c r="D1367" i="1" s="1"/>
  <c r="J1367" i="1" s="1"/>
  <c r="I1801" i="4"/>
  <c r="D1366" i="1" s="1"/>
  <c r="J1366" i="1" s="1"/>
  <c r="I1800" i="4"/>
  <c r="D1365" i="1" s="1"/>
  <c r="J1365" i="1" s="1"/>
  <c r="I1799" i="4"/>
  <c r="D1364" i="1" s="1"/>
  <c r="J1364" i="1" s="1"/>
  <c r="I1798" i="4"/>
  <c r="D1363" i="1" s="1"/>
  <c r="J1363" i="1" s="1"/>
  <c r="I1797" i="4"/>
  <c r="D1362" i="1" s="1"/>
  <c r="J1362" i="1" s="1"/>
  <c r="I1796" i="4"/>
  <c r="D1361" i="1" s="1"/>
  <c r="J1361" i="1" s="1"/>
  <c r="I1795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I1359" i="1"/>
  <c r="I1358" i="1"/>
  <c r="I1357" i="1"/>
  <c r="I1356" i="1"/>
  <c r="I1355" i="1"/>
  <c r="I1354" i="1"/>
  <c r="I1353" i="1"/>
  <c r="I1352" i="1"/>
  <c r="I1351" i="1"/>
  <c r="H1359" i="1"/>
  <c r="H1358" i="1"/>
  <c r="H1357" i="1"/>
  <c r="H1356" i="1"/>
  <c r="H1355" i="1"/>
  <c r="H1354" i="1"/>
  <c r="H1353" i="1"/>
  <c r="H1352" i="1"/>
  <c r="H1351" i="1"/>
  <c r="G1359" i="1"/>
  <c r="G1358" i="1"/>
  <c r="G1357" i="1"/>
  <c r="G1356" i="1"/>
  <c r="G1355" i="1"/>
  <c r="G1354" i="1"/>
  <c r="G1353" i="1"/>
  <c r="G1352" i="1"/>
  <c r="G1351" i="1"/>
  <c r="F1359" i="1"/>
  <c r="F1358" i="1"/>
  <c r="F1357" i="1"/>
  <c r="F1356" i="1"/>
  <c r="F1355" i="1"/>
  <c r="F1354" i="1"/>
  <c r="F1353" i="1"/>
  <c r="F1352" i="1"/>
  <c r="F1351" i="1"/>
  <c r="B1359" i="1"/>
  <c r="B1358" i="1"/>
  <c r="B1357" i="1"/>
  <c r="B1356" i="1"/>
  <c r="B1355" i="1"/>
  <c r="B1354" i="1"/>
  <c r="B1353" i="1"/>
  <c r="B1352" i="1"/>
  <c r="B1351" i="1"/>
  <c r="B1350" i="1"/>
  <c r="A1359" i="1"/>
  <c r="A1358" i="1"/>
  <c r="A1357" i="1"/>
  <c r="A1356" i="1"/>
  <c r="A1355" i="1"/>
  <c r="A1354" i="1"/>
  <c r="A1353" i="1"/>
  <c r="A1352" i="1"/>
  <c r="A1351" i="1"/>
  <c r="I1350" i="1"/>
  <c r="I1349" i="1"/>
  <c r="I1348" i="1"/>
  <c r="I1347" i="1"/>
  <c r="I1346" i="1"/>
  <c r="I1345" i="1"/>
  <c r="I1344" i="1"/>
  <c r="I1343" i="1"/>
  <c r="I1342" i="1"/>
  <c r="I1341" i="1"/>
  <c r="I1340" i="1"/>
  <c r="H1350" i="1"/>
  <c r="H1349" i="1"/>
  <c r="H1348" i="1"/>
  <c r="H1347" i="1"/>
  <c r="H1346" i="1"/>
  <c r="H1345" i="1"/>
  <c r="H1344" i="1"/>
  <c r="H1343" i="1"/>
  <c r="H1342" i="1"/>
  <c r="H1341" i="1"/>
  <c r="H1340" i="1"/>
  <c r="G1350" i="1"/>
  <c r="G1349" i="1"/>
  <c r="G1348" i="1"/>
  <c r="G1347" i="1"/>
  <c r="G1346" i="1"/>
  <c r="G1345" i="1"/>
  <c r="G1344" i="1"/>
  <c r="G1343" i="1"/>
  <c r="G1342" i="1"/>
  <c r="G1341" i="1"/>
  <c r="G1340" i="1"/>
  <c r="F1350" i="1"/>
  <c r="F1349" i="1"/>
  <c r="F1348" i="1"/>
  <c r="F1347" i="1"/>
  <c r="F1346" i="1"/>
  <c r="F1345" i="1"/>
  <c r="F1344" i="1"/>
  <c r="F1343" i="1"/>
  <c r="F1342" i="1"/>
  <c r="F1341" i="1"/>
  <c r="F1340" i="1"/>
  <c r="B1349" i="1"/>
  <c r="B1348" i="1"/>
  <c r="B1347" i="1"/>
  <c r="B1346" i="1"/>
  <c r="B1345" i="1"/>
  <c r="B1344" i="1"/>
  <c r="B1343" i="1"/>
  <c r="B1342" i="1"/>
  <c r="B1341" i="1"/>
  <c r="B1340" i="1"/>
  <c r="B1339" i="1"/>
  <c r="A1350" i="1"/>
  <c r="A1349" i="1"/>
  <c r="A1348" i="1"/>
  <c r="A1347" i="1"/>
  <c r="A1346" i="1"/>
  <c r="A1345" i="1"/>
  <c r="A1344" i="1"/>
  <c r="A1343" i="1"/>
  <c r="A1342" i="1"/>
  <c r="A1341" i="1"/>
  <c r="A1340" i="1"/>
  <c r="I1339" i="1"/>
  <c r="I1338" i="1"/>
  <c r="I1337" i="1"/>
  <c r="I1336" i="1"/>
  <c r="H1339" i="1"/>
  <c r="H1338" i="1"/>
  <c r="H1337" i="1"/>
  <c r="H1336" i="1"/>
  <c r="G1339" i="1"/>
  <c r="G1338" i="1"/>
  <c r="G1337" i="1"/>
  <c r="G1336" i="1"/>
  <c r="F1339" i="1"/>
  <c r="F1338" i="1"/>
  <c r="F1337" i="1"/>
  <c r="F1336" i="1"/>
  <c r="B1338" i="1"/>
  <c r="B1337" i="1"/>
  <c r="B1336" i="1"/>
  <c r="A1339" i="1"/>
  <c r="A1338" i="1"/>
  <c r="A1337" i="1"/>
  <c r="A1336" i="1"/>
  <c r="B1759" i="4"/>
  <c r="B1758" i="4"/>
  <c r="B1757" i="4"/>
  <c r="B1745" i="4"/>
  <c r="B1744" i="4"/>
  <c r="B1743" i="4"/>
  <c r="B1742" i="4"/>
  <c r="B1741" i="4"/>
  <c r="B1740" i="4"/>
  <c r="B1739" i="4"/>
  <c r="B1738" i="4"/>
  <c r="B1737" i="4"/>
  <c r="I1335" i="1"/>
  <c r="I1334" i="1"/>
  <c r="I1333" i="1"/>
  <c r="I1332" i="1"/>
  <c r="H1335" i="1"/>
  <c r="H1334" i="1"/>
  <c r="H1333" i="1"/>
  <c r="G1335" i="1"/>
  <c r="G1334" i="1"/>
  <c r="G1333" i="1"/>
  <c r="F1335" i="1"/>
  <c r="F1334" i="1"/>
  <c r="F1333" i="1"/>
  <c r="B1335" i="1"/>
  <c r="B1334" i="1"/>
  <c r="B1333" i="1"/>
  <c r="A1335" i="1"/>
  <c r="A1334" i="1"/>
  <c r="A1333" i="1"/>
  <c r="I1331" i="1"/>
  <c r="I1330" i="1"/>
  <c r="H1332" i="1"/>
  <c r="H1331" i="1"/>
  <c r="H1330" i="1"/>
  <c r="G1332" i="1"/>
  <c r="G1331" i="1"/>
  <c r="G1330" i="1"/>
  <c r="F1332" i="1"/>
  <c r="F1331" i="1"/>
  <c r="F1330" i="1"/>
  <c r="F1329" i="1"/>
  <c r="B1332" i="1"/>
  <c r="B1331" i="1"/>
  <c r="B1330" i="1"/>
  <c r="A1332" i="1"/>
  <c r="A1331" i="1"/>
  <c r="A1330" i="1"/>
  <c r="I1329" i="1"/>
  <c r="H1329" i="1"/>
  <c r="G1329" i="1"/>
  <c r="B1329" i="1"/>
  <c r="A1329" i="1"/>
  <c r="I1321" i="1"/>
  <c r="I1320" i="1"/>
  <c r="I1319" i="1"/>
  <c r="I1318" i="1"/>
  <c r="I1317" i="1"/>
  <c r="H1321" i="1"/>
  <c r="H1320" i="1"/>
  <c r="H1319" i="1"/>
  <c r="H1318" i="1"/>
  <c r="H1317" i="1"/>
  <c r="G1321" i="1"/>
  <c r="G1320" i="1"/>
  <c r="G1319" i="1"/>
  <c r="G1318" i="1"/>
  <c r="G1317" i="1"/>
  <c r="F1321" i="1"/>
  <c r="F1320" i="1"/>
  <c r="F1319" i="1"/>
  <c r="F1318" i="1"/>
  <c r="F1317" i="1"/>
  <c r="B1321" i="1"/>
  <c r="B1320" i="1"/>
  <c r="B1319" i="1"/>
  <c r="B1318" i="1"/>
  <c r="B1317" i="1"/>
  <c r="A1321" i="1"/>
  <c r="A1320" i="1"/>
  <c r="A1319" i="1"/>
  <c r="A1318" i="1"/>
  <c r="A1317" i="1"/>
  <c r="I1786" i="4"/>
  <c r="H1784" i="4"/>
  <c r="H1788" i="4" s="1"/>
  <c r="G1784" i="4"/>
  <c r="G1788" i="4" s="1"/>
  <c r="F1784" i="4"/>
  <c r="F1788" i="4" s="1"/>
  <c r="E1784" i="4"/>
  <c r="E1788" i="4" s="1"/>
  <c r="D1784" i="4"/>
  <c r="D1788" i="4" s="1"/>
  <c r="C1784" i="4"/>
  <c r="C1788" i="4" s="1"/>
  <c r="I1783" i="4"/>
  <c r="D1359" i="1" s="1"/>
  <c r="J1359" i="1" s="1"/>
  <c r="I1782" i="4"/>
  <c r="D1358" i="1" s="1"/>
  <c r="J1358" i="1" s="1"/>
  <c r="I1781" i="4"/>
  <c r="D1357" i="1" s="1"/>
  <c r="J1357" i="1" s="1"/>
  <c r="I1780" i="4"/>
  <c r="D1356" i="1" s="1"/>
  <c r="J1356" i="1" s="1"/>
  <c r="I1779" i="4"/>
  <c r="D1355" i="1" s="1"/>
  <c r="J1355" i="1" s="1"/>
  <c r="I1778" i="4"/>
  <c r="D1354" i="1" s="1"/>
  <c r="J1354" i="1" s="1"/>
  <c r="I1777" i="4"/>
  <c r="I1776" i="4"/>
  <c r="D1352" i="1" s="1"/>
  <c r="J1352" i="1" s="1"/>
  <c r="I1775" i="4"/>
  <c r="D1351" i="1" s="1"/>
  <c r="J1351" i="1" s="1"/>
  <c r="I1774" i="4"/>
  <c r="D1350" i="1" s="1"/>
  <c r="J1350" i="1" s="1"/>
  <c r="I1773" i="4"/>
  <c r="D1349" i="1" s="1"/>
  <c r="J1349" i="1" s="1"/>
  <c r="I1772" i="4"/>
  <c r="D1348" i="1" s="1"/>
  <c r="J1348" i="1" s="1"/>
  <c r="I1771" i="4"/>
  <c r="D1347" i="1" s="1"/>
  <c r="J1347" i="1" s="1"/>
  <c r="I1770" i="4"/>
  <c r="D1346" i="1" s="1"/>
  <c r="J1346" i="1" s="1"/>
  <c r="I1769" i="4"/>
  <c r="D1345" i="1" s="1"/>
  <c r="J1345" i="1" s="1"/>
  <c r="I1768" i="4"/>
  <c r="D1344" i="1" s="1"/>
  <c r="J1344" i="1" s="1"/>
  <c r="I1767" i="4"/>
  <c r="D1343" i="1" s="1"/>
  <c r="J1343" i="1" s="1"/>
  <c r="I1766" i="4"/>
  <c r="D1342" i="1" s="1"/>
  <c r="J1342" i="1" s="1"/>
  <c r="I1765" i="4"/>
  <c r="D1341" i="1" s="1"/>
  <c r="J1341" i="1" s="1"/>
  <c r="I1764" i="4"/>
  <c r="D1340" i="1" s="1"/>
  <c r="J1340" i="1" s="1"/>
  <c r="I1763" i="4"/>
  <c r="D1339" i="1" s="1"/>
  <c r="J1339" i="1" s="1"/>
  <c r="I1762" i="4"/>
  <c r="I1761" i="4"/>
  <c r="D1337" i="1" s="1"/>
  <c r="J1337" i="1" s="1"/>
  <c r="I1760" i="4"/>
  <c r="D1336" i="1" s="1"/>
  <c r="J1336" i="1" s="1"/>
  <c r="I1759" i="4"/>
  <c r="D1335" i="1" s="1"/>
  <c r="J1335" i="1" s="1"/>
  <c r="I1758" i="4"/>
  <c r="D1334" i="1" s="1"/>
  <c r="J1334" i="1" s="1"/>
  <c r="I1757" i="4"/>
  <c r="D1333" i="1" s="1"/>
  <c r="J1333" i="1" s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A1302" i="1"/>
  <c r="B1295" i="1"/>
  <c r="I1302" i="1"/>
  <c r="I1301" i="1"/>
  <c r="I1300" i="1"/>
  <c r="I1299" i="1"/>
  <c r="H1302" i="1"/>
  <c r="H1301" i="1"/>
  <c r="H1300" i="1"/>
  <c r="H1299" i="1"/>
  <c r="G1302" i="1"/>
  <c r="G1301" i="1"/>
  <c r="G1300" i="1"/>
  <c r="G1299" i="1"/>
  <c r="F1302" i="1"/>
  <c r="F1301" i="1"/>
  <c r="F1300" i="1"/>
  <c r="F1299" i="1"/>
  <c r="B1301" i="1"/>
  <c r="B1300" i="1"/>
  <c r="B1299" i="1"/>
  <c r="A1301" i="1"/>
  <c r="A1300" i="1"/>
  <c r="A1299" i="1"/>
  <c r="B1722" i="4"/>
  <c r="B1721" i="4"/>
  <c r="B1720" i="4"/>
  <c r="B1719" i="4"/>
  <c r="I1748" i="4"/>
  <c r="H1746" i="4"/>
  <c r="H1750" i="4" s="1"/>
  <c r="G1746" i="4"/>
  <c r="G1750" i="4" s="1"/>
  <c r="F1746" i="4"/>
  <c r="F1750" i="4" s="1"/>
  <c r="E1746" i="4"/>
  <c r="E1750" i="4" s="1"/>
  <c r="D1746" i="4"/>
  <c r="D1750" i="4" s="1"/>
  <c r="C1746" i="4"/>
  <c r="C1750" i="4" s="1"/>
  <c r="I1745" i="4"/>
  <c r="I1744" i="4"/>
  <c r="D1331" i="1" s="1"/>
  <c r="J1331" i="1" s="1"/>
  <c r="I1743" i="4"/>
  <c r="D1330" i="1" s="1"/>
  <c r="J1330" i="1" s="1"/>
  <c r="I1742" i="4"/>
  <c r="D1329" i="1" s="1"/>
  <c r="J1329" i="1" s="1"/>
  <c r="I1741" i="4"/>
  <c r="D1321" i="1" s="1"/>
  <c r="I1740" i="4"/>
  <c r="D1320" i="1" s="1"/>
  <c r="I1739" i="4"/>
  <c r="D1319" i="1" s="1"/>
  <c r="I1738" i="4"/>
  <c r="D1318" i="1" s="1"/>
  <c r="I1737" i="4"/>
  <c r="D1317" i="1" s="1"/>
  <c r="I1736" i="4"/>
  <c r="D1316" i="1" s="1"/>
  <c r="I1735" i="4"/>
  <c r="D1315" i="1" s="1"/>
  <c r="I1734" i="4"/>
  <c r="I1733" i="4"/>
  <c r="I1732" i="4"/>
  <c r="D1312" i="1" s="1"/>
  <c r="I1731" i="4"/>
  <c r="I1730" i="4"/>
  <c r="D1310" i="1" s="1"/>
  <c r="I1729" i="4"/>
  <c r="D1309" i="1" s="1"/>
  <c r="I1728" i="4"/>
  <c r="D1308" i="1" s="1"/>
  <c r="I1727" i="4"/>
  <c r="D1307" i="1" s="1"/>
  <c r="I1726" i="4"/>
  <c r="I1725" i="4"/>
  <c r="D1305" i="1" s="1"/>
  <c r="I1724" i="4"/>
  <c r="D1304" i="1" s="1"/>
  <c r="I1723" i="4"/>
  <c r="D1303" i="1" s="1"/>
  <c r="I1722" i="4"/>
  <c r="D1302" i="1" s="1"/>
  <c r="I1721" i="4"/>
  <c r="D1301" i="1" s="1"/>
  <c r="I1720" i="4"/>
  <c r="D1300" i="1" s="1"/>
  <c r="I1719" i="4"/>
  <c r="I1298" i="1"/>
  <c r="I1297" i="1"/>
  <c r="I1296" i="1"/>
  <c r="I1295" i="1"/>
  <c r="H1298" i="1"/>
  <c r="H1297" i="1"/>
  <c r="H1296" i="1"/>
  <c r="H1295" i="1"/>
  <c r="G1298" i="1"/>
  <c r="G1297" i="1"/>
  <c r="G1296" i="1"/>
  <c r="G1295" i="1"/>
  <c r="F1298" i="1"/>
  <c r="F1297" i="1"/>
  <c r="F1296" i="1"/>
  <c r="F1295" i="1"/>
  <c r="B1298" i="1"/>
  <c r="B1297" i="1"/>
  <c r="B1296" i="1"/>
  <c r="A1298" i="1"/>
  <c r="A1297" i="1"/>
  <c r="A1296" i="1"/>
  <c r="A1295" i="1"/>
  <c r="B1707" i="4"/>
  <c r="B1706" i="4"/>
  <c r="B1705" i="4"/>
  <c r="B1704" i="4"/>
  <c r="I1294" i="1"/>
  <c r="I1293" i="1"/>
  <c r="I1292" i="1"/>
  <c r="H1294" i="1"/>
  <c r="H1293" i="1"/>
  <c r="H1292" i="1"/>
  <c r="G1294" i="1"/>
  <c r="G1293" i="1"/>
  <c r="G1292" i="1"/>
  <c r="F1294" i="1"/>
  <c r="F1293" i="1"/>
  <c r="F1292" i="1"/>
  <c r="B1294" i="1"/>
  <c r="B1293" i="1"/>
  <c r="B1292" i="1"/>
  <c r="A1294" i="1"/>
  <c r="A1293" i="1"/>
  <c r="A1292" i="1"/>
  <c r="B1703" i="4"/>
  <c r="B1702" i="4"/>
  <c r="B1701" i="4"/>
  <c r="I1291" i="1"/>
  <c r="H1291" i="1"/>
  <c r="G1291" i="1"/>
  <c r="F1291" i="1"/>
  <c r="B1291" i="1"/>
  <c r="A1291" i="1"/>
  <c r="B1700" i="4"/>
  <c r="I1290" i="1"/>
  <c r="H1290" i="1"/>
  <c r="G1290" i="1"/>
  <c r="F1290" i="1"/>
  <c r="B1290" i="1"/>
  <c r="A1290" i="1"/>
  <c r="B1699" i="4"/>
  <c r="I1289" i="1"/>
  <c r="H1289" i="1"/>
  <c r="G1289" i="1"/>
  <c r="F1289" i="1"/>
  <c r="B1289" i="1"/>
  <c r="A1289" i="1"/>
  <c r="B1698" i="4"/>
  <c r="I1288" i="1"/>
  <c r="H1288" i="1"/>
  <c r="G1288" i="1"/>
  <c r="F1288" i="1"/>
  <c r="B1288" i="1"/>
  <c r="A1288" i="1"/>
  <c r="B1697" i="4"/>
  <c r="I1287" i="1"/>
  <c r="H1287" i="1"/>
  <c r="G1287" i="1"/>
  <c r="F1287" i="1"/>
  <c r="B1287" i="1"/>
  <c r="A1287" i="1"/>
  <c r="B1696" i="4"/>
  <c r="I1286" i="1"/>
  <c r="H1286" i="1"/>
  <c r="G1286" i="1"/>
  <c r="F1286" i="1"/>
  <c r="B1286" i="1"/>
  <c r="A1286" i="1"/>
  <c r="B1695" i="4"/>
  <c r="I1285" i="1"/>
  <c r="I1284" i="1"/>
  <c r="I1283" i="1"/>
  <c r="H1285" i="1"/>
  <c r="H1284" i="1"/>
  <c r="H1283" i="1"/>
  <c r="G1285" i="1"/>
  <c r="G1284" i="1"/>
  <c r="G1283" i="1"/>
  <c r="F1285" i="1"/>
  <c r="F1284" i="1"/>
  <c r="F1283" i="1"/>
  <c r="B1285" i="1"/>
  <c r="B1284" i="1"/>
  <c r="B1283" i="1"/>
  <c r="A1285" i="1"/>
  <c r="A1284" i="1"/>
  <c r="A1283" i="1"/>
  <c r="B1694" i="4"/>
  <c r="B1693" i="4"/>
  <c r="B1692" i="4"/>
  <c r="I1282" i="1"/>
  <c r="I1281" i="1"/>
  <c r="H1282" i="1"/>
  <c r="H1281" i="1"/>
  <c r="G1282" i="1"/>
  <c r="G1281" i="1"/>
  <c r="F1282" i="1"/>
  <c r="F1281" i="1"/>
  <c r="B1282" i="1"/>
  <c r="B1281" i="1"/>
  <c r="A1282" i="1"/>
  <c r="A1281" i="1"/>
  <c r="B1691" i="4"/>
  <c r="B1690" i="4"/>
  <c r="I1280" i="1"/>
  <c r="H1280" i="1"/>
  <c r="G1280" i="1"/>
  <c r="F1280" i="1"/>
  <c r="B1280" i="1"/>
  <c r="A1280" i="1"/>
  <c r="B1689" i="4"/>
  <c r="L309" i="10" l="1"/>
  <c r="K309" i="10"/>
  <c r="D1842" i="1"/>
  <c r="D1894" i="1"/>
  <c r="D1600" i="1"/>
  <c r="J1600" i="1" s="1"/>
  <c r="O398" i="1"/>
  <c r="U398" i="1" s="1"/>
  <c r="D1632" i="1"/>
  <c r="J1632" i="1" s="1"/>
  <c r="O119" i="1"/>
  <c r="U119" i="1" s="1"/>
  <c r="D1332" i="1"/>
  <c r="J1332" i="1" s="1"/>
  <c r="O391" i="1"/>
  <c r="U391" i="1" s="1"/>
  <c r="D1631" i="1"/>
  <c r="J1631" i="1" s="1"/>
  <c r="O118" i="1"/>
  <c r="U118" i="1" s="1"/>
  <c r="U163" i="1" s="1"/>
  <c r="J1745" i="1"/>
  <c r="D1733" i="1"/>
  <c r="J1733" i="1" s="1"/>
  <c r="D1675" i="1"/>
  <c r="J1675" i="1" s="1"/>
  <c r="D1669" i="1"/>
  <c r="J1669" i="1" s="1"/>
  <c r="D1617" i="1"/>
  <c r="J1617" i="1" s="1"/>
  <c r="D1601" i="1"/>
  <c r="J1601" i="1" s="1"/>
  <c r="D1474" i="1"/>
  <c r="J1474" i="1" s="1"/>
  <c r="J1842" i="1"/>
  <c r="D1753" i="1"/>
  <c r="J1753" i="1" s="1"/>
  <c r="D1751" i="1"/>
  <c r="J1751" i="1" s="1"/>
  <c r="D1763" i="1"/>
  <c r="J1763" i="1" s="1"/>
  <c r="D1750" i="1"/>
  <c r="J1750" i="1" s="1"/>
  <c r="D1746" i="1"/>
  <c r="J1746" i="1" s="1"/>
  <c r="D1704" i="1"/>
  <c r="J1704" i="1" s="1"/>
  <c r="D1703" i="1"/>
  <c r="J1641" i="1"/>
  <c r="J1686" i="1" s="1"/>
  <c r="J1589" i="1"/>
  <c r="D1581" i="1"/>
  <c r="J1581" i="1" s="1"/>
  <c r="D1580" i="1"/>
  <c r="J1580" i="1" s="1"/>
  <c r="D1573" i="1"/>
  <c r="J1573" i="1" s="1"/>
  <c r="D1549" i="1"/>
  <c r="D1519" i="1"/>
  <c r="J1519" i="1" s="1"/>
  <c r="D1464" i="1"/>
  <c r="J1464" i="1" s="1"/>
  <c r="D1475" i="1"/>
  <c r="J1475" i="1" s="1"/>
  <c r="D1465" i="1"/>
  <c r="J1465" i="1" s="1"/>
  <c r="D1404" i="1"/>
  <c r="J1404" i="1" s="1"/>
  <c r="D1393" i="1"/>
  <c r="J1393" i="1" s="1"/>
  <c r="D1311" i="1"/>
  <c r="J1311" i="1" s="1"/>
  <c r="J1712" i="1"/>
  <c r="I2165" i="4"/>
  <c r="D1737" i="1"/>
  <c r="J1737" i="1" s="1"/>
  <c r="I2089" i="4"/>
  <c r="D1577" i="1"/>
  <c r="J1577" i="1" s="1"/>
  <c r="I2127" i="4"/>
  <c r="I2203" i="4"/>
  <c r="I2241" i="4"/>
  <c r="D1706" i="1"/>
  <c r="J1706" i="1" s="1"/>
  <c r="I2279" i="4"/>
  <c r="J1703" i="1"/>
  <c r="I2051" i="4"/>
  <c r="I2013" i="4"/>
  <c r="D1516" i="1"/>
  <c r="J1516" i="1" s="1"/>
  <c r="I1975" i="4"/>
  <c r="D1489" i="1"/>
  <c r="J1489" i="1" s="1"/>
  <c r="I1937" i="4"/>
  <c r="D1455" i="1"/>
  <c r="J1455" i="1" s="1"/>
  <c r="I1861" i="4"/>
  <c r="I1822" i="4"/>
  <c r="D1360" i="1"/>
  <c r="J1360" i="1" s="1"/>
  <c r="I1899" i="4"/>
  <c r="J1416" i="1"/>
  <c r="J1381" i="1"/>
  <c r="D1353" i="1"/>
  <c r="J1353" i="1" s="1"/>
  <c r="D1338" i="1"/>
  <c r="J1338" i="1" s="1"/>
  <c r="I1784" i="4"/>
  <c r="D1314" i="1"/>
  <c r="J1314" i="1" s="1"/>
  <c r="D1313" i="1"/>
  <c r="J1313" i="1" s="1"/>
  <c r="D1306" i="1"/>
  <c r="J1306" i="1" s="1"/>
  <c r="I1746" i="4"/>
  <c r="D1299" i="1"/>
  <c r="J1299" i="1" s="1"/>
  <c r="I1279" i="1"/>
  <c r="I1277" i="1"/>
  <c r="H1279" i="1"/>
  <c r="H1277" i="1"/>
  <c r="G1279" i="1"/>
  <c r="G1278" i="1"/>
  <c r="G1277" i="1"/>
  <c r="F1279" i="1"/>
  <c r="F1278" i="1"/>
  <c r="F1277" i="1"/>
  <c r="B1279" i="1"/>
  <c r="B1278" i="1"/>
  <c r="B1277" i="1"/>
  <c r="A1279" i="1"/>
  <c r="A1278" i="1"/>
  <c r="A1277" i="1"/>
  <c r="B1688" i="4"/>
  <c r="B1687" i="4"/>
  <c r="B1686" i="4"/>
  <c r="J1321" i="1"/>
  <c r="J1320" i="1"/>
  <c r="J1319" i="1"/>
  <c r="J1318" i="1"/>
  <c r="J1317" i="1"/>
  <c r="J1316" i="1"/>
  <c r="J1315" i="1"/>
  <c r="J1312" i="1"/>
  <c r="J1310" i="1"/>
  <c r="J1309" i="1"/>
  <c r="J1308" i="1"/>
  <c r="J1307" i="1"/>
  <c r="J1305" i="1"/>
  <c r="J1304" i="1"/>
  <c r="J1303" i="1"/>
  <c r="J1302" i="1"/>
  <c r="J1301" i="1"/>
  <c r="J1300" i="1"/>
  <c r="I1269" i="1"/>
  <c r="I1268" i="1"/>
  <c r="I1267" i="1"/>
  <c r="I1266" i="1"/>
  <c r="H1269" i="1"/>
  <c r="H1268" i="1"/>
  <c r="H1267" i="1"/>
  <c r="H1266" i="1"/>
  <c r="G1269" i="1"/>
  <c r="G1268" i="1"/>
  <c r="G1267" i="1"/>
  <c r="G1266" i="1"/>
  <c r="F1269" i="1"/>
  <c r="F1268" i="1"/>
  <c r="F1267" i="1"/>
  <c r="F1266" i="1"/>
  <c r="B1269" i="1"/>
  <c r="B1268" i="1"/>
  <c r="B1267" i="1"/>
  <c r="B1266" i="1"/>
  <c r="A1269" i="1"/>
  <c r="A1268" i="1"/>
  <c r="A1267" i="1"/>
  <c r="A1266" i="1"/>
  <c r="B1685" i="4"/>
  <c r="B1684" i="4"/>
  <c r="B1683" i="4"/>
  <c r="B1682" i="4"/>
  <c r="I1265" i="1"/>
  <c r="I1264" i="1"/>
  <c r="I1263" i="1"/>
  <c r="I1262" i="1"/>
  <c r="I1261" i="1"/>
  <c r="I1260" i="1"/>
  <c r="I1259" i="1"/>
  <c r="H1265" i="1"/>
  <c r="H1264" i="1"/>
  <c r="H1263" i="1"/>
  <c r="H1262" i="1"/>
  <c r="H1261" i="1"/>
  <c r="H1260" i="1"/>
  <c r="H1259" i="1"/>
  <c r="G1265" i="1"/>
  <c r="G1264" i="1"/>
  <c r="G1263" i="1"/>
  <c r="G1262" i="1"/>
  <c r="G1261" i="1"/>
  <c r="G1260" i="1"/>
  <c r="G1259" i="1"/>
  <c r="F1265" i="1"/>
  <c r="F1264" i="1"/>
  <c r="F1263" i="1"/>
  <c r="F1262" i="1"/>
  <c r="F1261" i="1"/>
  <c r="F1260" i="1"/>
  <c r="F1259" i="1"/>
  <c r="B1265" i="1"/>
  <c r="B1264" i="1"/>
  <c r="B1263" i="1"/>
  <c r="B1262" i="1"/>
  <c r="B1261" i="1"/>
  <c r="B1260" i="1"/>
  <c r="B1259" i="1"/>
  <c r="A1265" i="1"/>
  <c r="A1264" i="1"/>
  <c r="A1263" i="1"/>
  <c r="A1262" i="1"/>
  <c r="A1261" i="1"/>
  <c r="A1260" i="1"/>
  <c r="A1259" i="1"/>
  <c r="B1681" i="4"/>
  <c r="I1710" i="4"/>
  <c r="H1708" i="4"/>
  <c r="H1712" i="4" s="1"/>
  <c r="G1708" i="4"/>
  <c r="G1712" i="4" s="1"/>
  <c r="F1708" i="4"/>
  <c r="F1712" i="4" s="1"/>
  <c r="E1708" i="4"/>
  <c r="E1712" i="4" s="1"/>
  <c r="D1708" i="4"/>
  <c r="D1712" i="4" s="1"/>
  <c r="C1708" i="4"/>
  <c r="C1712" i="4" s="1"/>
  <c r="I1707" i="4"/>
  <c r="D1298" i="1" s="1"/>
  <c r="J1298" i="1" s="1"/>
  <c r="I1706" i="4"/>
  <c r="I1705" i="4"/>
  <c r="I1704" i="4"/>
  <c r="I1703" i="4"/>
  <c r="D1294" i="1" s="1"/>
  <c r="J1294" i="1" s="1"/>
  <c r="I1702" i="4"/>
  <c r="I1701" i="4"/>
  <c r="D1292" i="1" s="1"/>
  <c r="J1292" i="1" s="1"/>
  <c r="I1700" i="4"/>
  <c r="I1699" i="4"/>
  <c r="I1698" i="4"/>
  <c r="I1697" i="4"/>
  <c r="I1696" i="4"/>
  <c r="I1695" i="4"/>
  <c r="D1286" i="1" s="1"/>
  <c r="J1286" i="1" s="1"/>
  <c r="I1694" i="4"/>
  <c r="I1693" i="4"/>
  <c r="I1692" i="4"/>
  <c r="I1691" i="4"/>
  <c r="I1690" i="4"/>
  <c r="I1689" i="4"/>
  <c r="I1688" i="4"/>
  <c r="D1279" i="1" s="1"/>
  <c r="J1279" i="1" s="1"/>
  <c r="I1687" i="4"/>
  <c r="I1686" i="4"/>
  <c r="D1277" i="1" s="1"/>
  <c r="J1277" i="1" s="1"/>
  <c r="I1685" i="4"/>
  <c r="D1269" i="1" s="1"/>
  <c r="J1269" i="1" s="1"/>
  <c r="I1684" i="4"/>
  <c r="I1683" i="4"/>
  <c r="D1267" i="1" s="1"/>
  <c r="J1267" i="1" s="1"/>
  <c r="I1682" i="4"/>
  <c r="I1681" i="4"/>
  <c r="B1669" i="4"/>
  <c r="B1668" i="4"/>
  <c r="B1667" i="4"/>
  <c r="B1666" i="4"/>
  <c r="B1665" i="4"/>
  <c r="B1664" i="4"/>
  <c r="I1258" i="1"/>
  <c r="I1257" i="1"/>
  <c r="I1256" i="1"/>
  <c r="H1258" i="1"/>
  <c r="H1257" i="1"/>
  <c r="H1256" i="1"/>
  <c r="G1258" i="1"/>
  <c r="G1257" i="1"/>
  <c r="G1256" i="1"/>
  <c r="F1258" i="1"/>
  <c r="F1257" i="1"/>
  <c r="F1256" i="1"/>
  <c r="B1258" i="1"/>
  <c r="B1257" i="1"/>
  <c r="B1256" i="1"/>
  <c r="A1258" i="1"/>
  <c r="A1257" i="1"/>
  <c r="A1256" i="1"/>
  <c r="B1663" i="4"/>
  <c r="B1662" i="4"/>
  <c r="B1661" i="4"/>
  <c r="I1255" i="1"/>
  <c r="I1254" i="1"/>
  <c r="I1253" i="1"/>
  <c r="H1255" i="1"/>
  <c r="H1254" i="1"/>
  <c r="H1253" i="1"/>
  <c r="G1255" i="1"/>
  <c r="G1254" i="1"/>
  <c r="G1253" i="1"/>
  <c r="F1255" i="1"/>
  <c r="F1254" i="1"/>
  <c r="F1253" i="1"/>
  <c r="B1255" i="1"/>
  <c r="B1254" i="1"/>
  <c r="B1253" i="1"/>
  <c r="A1255" i="1"/>
  <c r="A1254" i="1"/>
  <c r="A1253" i="1"/>
  <c r="B1660" i="4"/>
  <c r="B1659" i="4"/>
  <c r="B1658" i="4"/>
  <c r="I1252" i="1"/>
  <c r="I1251" i="1"/>
  <c r="I1250" i="1"/>
  <c r="I1249" i="1"/>
  <c r="I1248" i="1"/>
  <c r="I1247" i="1"/>
  <c r="I1246" i="1"/>
  <c r="I1245" i="1"/>
  <c r="H1252" i="1"/>
  <c r="H1251" i="1"/>
  <c r="H1250" i="1"/>
  <c r="H1249" i="1"/>
  <c r="H1248" i="1"/>
  <c r="H1247" i="1"/>
  <c r="H1246" i="1"/>
  <c r="H1245" i="1"/>
  <c r="G1252" i="1"/>
  <c r="G1251" i="1"/>
  <c r="G1250" i="1"/>
  <c r="G1249" i="1"/>
  <c r="G1248" i="1"/>
  <c r="G1247" i="1"/>
  <c r="G1246" i="1"/>
  <c r="G1245" i="1"/>
  <c r="F1252" i="1"/>
  <c r="F1251" i="1"/>
  <c r="F1250" i="1"/>
  <c r="F1249" i="1"/>
  <c r="F1248" i="1"/>
  <c r="F1247" i="1"/>
  <c r="F1246" i="1"/>
  <c r="F1245" i="1"/>
  <c r="B1252" i="1"/>
  <c r="B1251" i="1"/>
  <c r="B1250" i="1"/>
  <c r="B1249" i="1"/>
  <c r="B1248" i="1"/>
  <c r="B1247" i="1"/>
  <c r="B1246" i="1"/>
  <c r="B1245" i="1"/>
  <c r="A1252" i="1"/>
  <c r="A1251" i="1"/>
  <c r="A1250" i="1"/>
  <c r="A1249" i="1"/>
  <c r="A1248" i="1"/>
  <c r="A1247" i="1"/>
  <c r="A1246" i="1"/>
  <c r="A1245" i="1"/>
  <c r="A1244" i="1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I1672" i="4"/>
  <c r="H1670" i="4"/>
  <c r="H1674" i="4" s="1"/>
  <c r="G1670" i="4"/>
  <c r="G1674" i="4" s="1"/>
  <c r="F1670" i="4"/>
  <c r="F1674" i="4" s="1"/>
  <c r="E1670" i="4"/>
  <c r="E1674" i="4" s="1"/>
  <c r="D1670" i="4"/>
  <c r="D1674" i="4" s="1"/>
  <c r="C1670" i="4"/>
  <c r="C1674" i="4" s="1"/>
  <c r="I1669" i="4"/>
  <c r="I1668" i="4"/>
  <c r="D1263" i="1" s="1"/>
  <c r="J1263" i="1" s="1"/>
  <c r="I1667" i="4"/>
  <c r="O288" i="1" s="1"/>
  <c r="U288" i="1" s="1"/>
  <c r="I1666" i="4"/>
  <c r="D1261" i="1" s="1"/>
  <c r="J1261" i="1" s="1"/>
  <c r="I1665" i="4"/>
  <c r="D1260" i="1" s="1"/>
  <c r="J1260" i="1" s="1"/>
  <c r="I1664" i="4"/>
  <c r="D1259" i="1" s="1"/>
  <c r="J1259" i="1" s="1"/>
  <c r="I1663" i="4"/>
  <c r="I1662" i="4"/>
  <c r="I1661" i="4"/>
  <c r="I1660" i="4"/>
  <c r="D1255" i="1" s="1"/>
  <c r="J1255" i="1" s="1"/>
  <c r="I1659" i="4"/>
  <c r="I1658" i="4"/>
  <c r="D1253" i="1" s="1"/>
  <c r="J1253" i="1" s="1"/>
  <c r="I1657" i="4"/>
  <c r="D1252" i="1" s="1"/>
  <c r="J1252" i="1" s="1"/>
  <c r="I1656" i="4"/>
  <c r="D1251" i="1" s="1"/>
  <c r="J1251" i="1" s="1"/>
  <c r="I1655" i="4"/>
  <c r="D1250" i="1" s="1"/>
  <c r="J1250" i="1" s="1"/>
  <c r="I1654" i="4"/>
  <c r="D1249" i="1" s="1"/>
  <c r="J1249" i="1" s="1"/>
  <c r="I1653" i="4"/>
  <c r="I1652" i="4"/>
  <c r="D1247" i="1" s="1"/>
  <c r="J1247" i="1" s="1"/>
  <c r="I1651" i="4"/>
  <c r="D1246" i="1" s="1"/>
  <c r="J1246" i="1" s="1"/>
  <c r="I1650" i="4"/>
  <c r="D1245" i="1" s="1"/>
  <c r="J1245" i="1" s="1"/>
  <c r="I1649" i="4"/>
  <c r="I1648" i="4"/>
  <c r="D1243" i="1" s="1"/>
  <c r="J1243" i="1" s="1"/>
  <c r="I1647" i="4"/>
  <c r="D1242" i="1" s="1"/>
  <c r="J1242" i="1" s="1"/>
  <c r="I1646" i="4"/>
  <c r="D1241" i="1" s="1"/>
  <c r="J1241" i="1" s="1"/>
  <c r="I1645" i="4"/>
  <c r="D1240" i="1" s="1"/>
  <c r="J1240" i="1" s="1"/>
  <c r="I1644" i="4"/>
  <c r="I1643" i="4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I1225" i="1"/>
  <c r="G1225" i="1"/>
  <c r="F1225" i="1"/>
  <c r="B1225" i="1"/>
  <c r="A1225" i="1"/>
  <c r="I1217" i="1"/>
  <c r="H1217" i="1"/>
  <c r="G1217" i="1"/>
  <c r="F1217" i="1"/>
  <c r="B1217" i="1"/>
  <c r="A1217" i="1"/>
  <c r="I1547" i="4"/>
  <c r="I1216" i="1"/>
  <c r="I1215" i="1"/>
  <c r="I1214" i="1"/>
  <c r="I1213" i="1"/>
  <c r="I1212" i="1"/>
  <c r="I1211" i="1"/>
  <c r="I1210" i="1"/>
  <c r="I1209" i="1"/>
  <c r="I1208" i="1"/>
  <c r="H1216" i="1"/>
  <c r="H1215" i="1"/>
  <c r="H1214" i="1"/>
  <c r="H1213" i="1"/>
  <c r="H1212" i="1"/>
  <c r="H1211" i="1"/>
  <c r="H1210" i="1"/>
  <c r="H1209" i="1"/>
  <c r="H1208" i="1"/>
  <c r="G1216" i="1"/>
  <c r="G1215" i="1"/>
  <c r="G1214" i="1"/>
  <c r="G1213" i="1"/>
  <c r="G1212" i="1"/>
  <c r="G1211" i="1"/>
  <c r="G1210" i="1"/>
  <c r="G1209" i="1"/>
  <c r="G1208" i="1"/>
  <c r="F1216" i="1"/>
  <c r="F1215" i="1"/>
  <c r="F1214" i="1"/>
  <c r="F1213" i="1"/>
  <c r="F1212" i="1"/>
  <c r="F1211" i="1"/>
  <c r="F1210" i="1"/>
  <c r="F1209" i="1"/>
  <c r="F1208" i="1"/>
  <c r="B1216" i="1"/>
  <c r="B1215" i="1"/>
  <c r="B1214" i="1"/>
  <c r="B1213" i="1"/>
  <c r="B1212" i="1"/>
  <c r="B1211" i="1"/>
  <c r="B1210" i="1"/>
  <c r="B1209" i="1"/>
  <c r="B1208" i="1"/>
  <c r="A1216" i="1"/>
  <c r="A1215" i="1"/>
  <c r="A1214" i="1"/>
  <c r="A1213" i="1"/>
  <c r="A1212" i="1"/>
  <c r="A1211" i="1"/>
  <c r="A1210" i="1"/>
  <c r="A1209" i="1"/>
  <c r="A1208" i="1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I1634" i="4"/>
  <c r="H1632" i="4"/>
  <c r="H1636" i="4" s="1"/>
  <c r="G1632" i="4"/>
  <c r="G1636" i="4" s="1"/>
  <c r="F1632" i="4"/>
  <c r="F1636" i="4" s="1"/>
  <c r="E1632" i="4"/>
  <c r="E1636" i="4" s="1"/>
  <c r="D1632" i="4"/>
  <c r="D1636" i="4" s="1"/>
  <c r="C1632" i="4"/>
  <c r="C1636" i="4" s="1"/>
  <c r="I1631" i="4"/>
  <c r="D1237" i="1" s="1"/>
  <c r="J1237" i="1" s="1"/>
  <c r="I1630" i="4"/>
  <c r="D1236" i="1" s="1"/>
  <c r="J1236" i="1" s="1"/>
  <c r="I1629" i="4"/>
  <c r="I1628" i="4"/>
  <c r="D1234" i="1" s="1"/>
  <c r="J1234" i="1" s="1"/>
  <c r="I1627" i="4"/>
  <c r="D1233" i="1" s="1"/>
  <c r="J1233" i="1" s="1"/>
  <c r="I1626" i="4"/>
  <c r="D1232" i="1" s="1"/>
  <c r="J1232" i="1" s="1"/>
  <c r="I1625" i="4"/>
  <c r="I1624" i="4"/>
  <c r="D1230" i="1" s="1"/>
  <c r="J1230" i="1" s="1"/>
  <c r="I1623" i="4"/>
  <c r="D1229" i="1" s="1"/>
  <c r="J1229" i="1" s="1"/>
  <c r="I1622" i="4"/>
  <c r="D1228" i="1" s="1"/>
  <c r="J1228" i="1" s="1"/>
  <c r="I1621" i="4"/>
  <c r="D1227" i="1" s="1"/>
  <c r="J1227" i="1" s="1"/>
  <c r="I1620" i="4"/>
  <c r="D1226" i="1" s="1"/>
  <c r="J1226" i="1" s="1"/>
  <c r="I1619" i="4"/>
  <c r="D1225" i="1" s="1"/>
  <c r="J1225" i="1" s="1"/>
  <c r="I1618" i="4"/>
  <c r="I1617" i="4"/>
  <c r="D1216" i="1" s="1"/>
  <c r="J1216" i="1" s="1"/>
  <c r="I1616" i="4"/>
  <c r="D1215" i="1" s="1"/>
  <c r="J1215" i="1" s="1"/>
  <c r="I1615" i="4"/>
  <c r="I1614" i="4"/>
  <c r="D1213" i="1" s="1"/>
  <c r="J1213" i="1" s="1"/>
  <c r="I1613" i="4"/>
  <c r="D1212" i="1" s="1"/>
  <c r="J1212" i="1" s="1"/>
  <c r="I1612" i="4"/>
  <c r="D1211" i="1" s="1"/>
  <c r="J1211" i="1" s="1"/>
  <c r="I1611" i="4"/>
  <c r="D1210" i="1" s="1"/>
  <c r="J1210" i="1" s="1"/>
  <c r="I1610" i="4"/>
  <c r="D1209" i="1" s="1"/>
  <c r="J1209" i="1" s="1"/>
  <c r="I1609" i="4"/>
  <c r="I1608" i="4"/>
  <c r="D1207" i="1" s="1"/>
  <c r="J1207" i="1" s="1"/>
  <c r="I1607" i="4"/>
  <c r="D1206" i="1" s="1"/>
  <c r="J1206" i="1" s="1"/>
  <c r="I1606" i="4"/>
  <c r="D1205" i="1" s="1"/>
  <c r="J1205" i="1" s="1"/>
  <c r="I1605" i="4"/>
  <c r="D1204" i="1" s="1"/>
  <c r="J1204" i="1" s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55" i="4"/>
  <c r="B1554" i="4"/>
  <c r="I1596" i="4"/>
  <c r="H1594" i="4"/>
  <c r="H1598" i="4" s="1"/>
  <c r="G1594" i="4"/>
  <c r="G1598" i="4" s="1"/>
  <c r="F1594" i="4"/>
  <c r="F1598" i="4" s="1"/>
  <c r="E1594" i="4"/>
  <c r="E1598" i="4" s="1"/>
  <c r="D1594" i="4"/>
  <c r="D1598" i="4" s="1"/>
  <c r="C1594" i="4"/>
  <c r="C1598" i="4" s="1"/>
  <c r="I1593" i="4"/>
  <c r="D1203" i="1" s="1"/>
  <c r="J1203" i="1" s="1"/>
  <c r="I1592" i="4"/>
  <c r="D1202" i="1" s="1"/>
  <c r="J1202" i="1" s="1"/>
  <c r="I1591" i="4"/>
  <c r="D1201" i="1" s="1"/>
  <c r="J1201" i="1" s="1"/>
  <c r="I1590" i="4"/>
  <c r="D1200" i="1" s="1"/>
  <c r="J1200" i="1" s="1"/>
  <c r="I1589" i="4"/>
  <c r="D1199" i="1" s="1"/>
  <c r="J1199" i="1" s="1"/>
  <c r="I1588" i="4"/>
  <c r="I1587" i="4"/>
  <c r="I1586" i="4"/>
  <c r="O287" i="1" s="1"/>
  <c r="U287" i="1" s="1"/>
  <c r="I1585" i="4"/>
  <c r="D1195" i="1" s="1"/>
  <c r="J1195" i="1" s="1"/>
  <c r="I1584" i="4"/>
  <c r="I1583" i="4"/>
  <c r="I1582" i="4"/>
  <c r="I1581" i="4"/>
  <c r="D1191" i="1" s="1"/>
  <c r="J1191" i="1" s="1"/>
  <c r="I1580" i="4"/>
  <c r="D1190" i="1" s="1"/>
  <c r="J1190" i="1" s="1"/>
  <c r="I1579" i="4"/>
  <c r="O390" i="1" s="1"/>
  <c r="U390" i="1" s="1"/>
  <c r="I1578" i="4"/>
  <c r="D1188" i="1" s="1"/>
  <c r="J1188" i="1" s="1"/>
  <c r="I1577" i="4"/>
  <c r="D1187" i="1" s="1"/>
  <c r="J1187" i="1" s="1"/>
  <c r="I1576" i="4"/>
  <c r="I1575" i="4"/>
  <c r="I1574" i="4"/>
  <c r="D1184" i="1" s="1"/>
  <c r="J1184" i="1" s="1"/>
  <c r="I1573" i="4"/>
  <c r="D1183" i="1" s="1"/>
  <c r="J1183" i="1" s="1"/>
  <c r="I1572" i="4"/>
  <c r="D1182" i="1" s="1"/>
  <c r="J1182" i="1" s="1"/>
  <c r="I1571" i="4"/>
  <c r="I1570" i="4"/>
  <c r="I1569" i="4"/>
  <c r="D1179" i="1" s="1"/>
  <c r="J1179" i="1" s="1"/>
  <c r="I1568" i="4"/>
  <c r="D1178" i="1" s="1"/>
  <c r="J1178" i="1" s="1"/>
  <c r="I1567" i="4"/>
  <c r="C1323" i="4"/>
  <c r="C1327" i="4" s="1"/>
  <c r="D1323" i="4"/>
  <c r="D1327" i="4" s="1"/>
  <c r="E1323" i="4"/>
  <c r="E1327" i="4" s="1"/>
  <c r="B928" i="4"/>
  <c r="I1174" i="1"/>
  <c r="I1173" i="1"/>
  <c r="H1174" i="1"/>
  <c r="H1173" i="1"/>
  <c r="G1174" i="1"/>
  <c r="G1173" i="1"/>
  <c r="F1174" i="1"/>
  <c r="F1173" i="1"/>
  <c r="B1173" i="1"/>
  <c r="A1174" i="1"/>
  <c r="A1173" i="1"/>
  <c r="B1553" i="4"/>
  <c r="B1552" i="4"/>
  <c r="B1551" i="4"/>
  <c r="B1550" i="4"/>
  <c r="B1549" i="4"/>
  <c r="B1548" i="4"/>
  <c r="B1547" i="4"/>
  <c r="B1546" i="4"/>
  <c r="B1545" i="4"/>
  <c r="B1544" i="4"/>
  <c r="I1165" i="1"/>
  <c r="I1164" i="1"/>
  <c r="I1163" i="1"/>
  <c r="I1162" i="1"/>
  <c r="I1161" i="1"/>
  <c r="I1160" i="1"/>
  <c r="I1159" i="1"/>
  <c r="I1158" i="1"/>
  <c r="H1165" i="1"/>
  <c r="H1164" i="1"/>
  <c r="H1163" i="1"/>
  <c r="H1162" i="1"/>
  <c r="H1161" i="1"/>
  <c r="H1160" i="1"/>
  <c r="H1159" i="1"/>
  <c r="H1158" i="1"/>
  <c r="G1165" i="1"/>
  <c r="G1164" i="1"/>
  <c r="G1163" i="1"/>
  <c r="G1162" i="1"/>
  <c r="G1161" i="1"/>
  <c r="G1160" i="1"/>
  <c r="G1159" i="1"/>
  <c r="G1158" i="1"/>
  <c r="F1165" i="1"/>
  <c r="F1164" i="1"/>
  <c r="F1163" i="1"/>
  <c r="F1162" i="1"/>
  <c r="F1161" i="1"/>
  <c r="F1160" i="1"/>
  <c r="F1159" i="1"/>
  <c r="F1158" i="1"/>
  <c r="B1165" i="1"/>
  <c r="B1164" i="1"/>
  <c r="B1163" i="1"/>
  <c r="B1162" i="1"/>
  <c r="B1161" i="1"/>
  <c r="B1160" i="1"/>
  <c r="B1159" i="1"/>
  <c r="B1158" i="1"/>
  <c r="B1157" i="1"/>
  <c r="A1165" i="1"/>
  <c r="A1164" i="1"/>
  <c r="A1163" i="1"/>
  <c r="A1162" i="1"/>
  <c r="A1161" i="1"/>
  <c r="A1160" i="1"/>
  <c r="A1159" i="1"/>
  <c r="A1158" i="1"/>
  <c r="B1150" i="1"/>
  <c r="I1157" i="1"/>
  <c r="H1157" i="1"/>
  <c r="G1157" i="1"/>
  <c r="F1157" i="1"/>
  <c r="A1157" i="1"/>
  <c r="I1156" i="1"/>
  <c r="H1156" i="1"/>
  <c r="G1156" i="1"/>
  <c r="F1156" i="1"/>
  <c r="B1156" i="1"/>
  <c r="A1156" i="1"/>
  <c r="B1543" i="4"/>
  <c r="B1542" i="4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B1155" i="1"/>
  <c r="B1154" i="1"/>
  <c r="B1153" i="1"/>
  <c r="B1152" i="1"/>
  <c r="B1151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I1558" i="4"/>
  <c r="H1556" i="4"/>
  <c r="H1560" i="4" s="1"/>
  <c r="G1556" i="4"/>
  <c r="G1560" i="4" s="1"/>
  <c r="F1556" i="4"/>
  <c r="F1560" i="4" s="1"/>
  <c r="E1556" i="4"/>
  <c r="E1560" i="4" s="1"/>
  <c r="D1556" i="4"/>
  <c r="D1560" i="4" s="1"/>
  <c r="C1556" i="4"/>
  <c r="C1560" i="4" s="1"/>
  <c r="I1555" i="4"/>
  <c r="D1176" i="1" s="1"/>
  <c r="J1176" i="1" s="1"/>
  <c r="I1554" i="4"/>
  <c r="D1175" i="1" s="1"/>
  <c r="J1175" i="1" s="1"/>
  <c r="I1553" i="4"/>
  <c r="I1552" i="4"/>
  <c r="I1551" i="4"/>
  <c r="D1165" i="1" s="1"/>
  <c r="J1165" i="1" s="1"/>
  <c r="I1550" i="4"/>
  <c r="I1549" i="4"/>
  <c r="I1548" i="4"/>
  <c r="I1546" i="4"/>
  <c r="D1160" i="1" s="1"/>
  <c r="J1160" i="1" s="1"/>
  <c r="I1545" i="4"/>
  <c r="I1544" i="4"/>
  <c r="D1158" i="1" s="1"/>
  <c r="J1158" i="1" s="1"/>
  <c r="I1543" i="4"/>
  <c r="D1157" i="1" s="1"/>
  <c r="J1157" i="1" s="1"/>
  <c r="I1542" i="4"/>
  <c r="D1156" i="1" s="1"/>
  <c r="J1156" i="1" s="1"/>
  <c r="I1541" i="4"/>
  <c r="D1155" i="1" s="1"/>
  <c r="J1155" i="1" s="1"/>
  <c r="I1540" i="4"/>
  <c r="I1539" i="4"/>
  <c r="D1153" i="1" s="1"/>
  <c r="J1153" i="1" s="1"/>
  <c r="I1538" i="4"/>
  <c r="I1537" i="4"/>
  <c r="D1151" i="1" s="1"/>
  <c r="J1151" i="1" s="1"/>
  <c r="I1536" i="4"/>
  <c r="D1150" i="1" s="1"/>
  <c r="J1150" i="1" s="1"/>
  <c r="I1535" i="4"/>
  <c r="I1534" i="4"/>
  <c r="D1148" i="1" s="1"/>
  <c r="J1148" i="1" s="1"/>
  <c r="I1533" i="4"/>
  <c r="I1532" i="4"/>
  <c r="I1531" i="4"/>
  <c r="I1530" i="4"/>
  <c r="I1529" i="4"/>
  <c r="D1143" i="1" s="1"/>
  <c r="J1143" i="1" s="1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I1124" i="1"/>
  <c r="I1123" i="1"/>
  <c r="I1122" i="1"/>
  <c r="H1124" i="1"/>
  <c r="H1123" i="1"/>
  <c r="H1122" i="1"/>
  <c r="G1124" i="1"/>
  <c r="G1123" i="1"/>
  <c r="G1122" i="1"/>
  <c r="F1124" i="1"/>
  <c r="F1123" i="1"/>
  <c r="F1122" i="1"/>
  <c r="B1124" i="1"/>
  <c r="B1123" i="1"/>
  <c r="B1122" i="1"/>
  <c r="A1124" i="1"/>
  <c r="A1123" i="1"/>
  <c r="A1122" i="1"/>
  <c r="I1121" i="1"/>
  <c r="H1121" i="1"/>
  <c r="G1121" i="1"/>
  <c r="F1121" i="1"/>
  <c r="B1121" i="1"/>
  <c r="A1121" i="1"/>
  <c r="B1499" i="4"/>
  <c r="B1498" i="4"/>
  <c r="B1497" i="4"/>
  <c r="B1496" i="4"/>
  <c r="B1495" i="4"/>
  <c r="B1494" i="4"/>
  <c r="B1493" i="4"/>
  <c r="B1492" i="4"/>
  <c r="B1491" i="4"/>
  <c r="I1520" i="4"/>
  <c r="H1518" i="4"/>
  <c r="H1522" i="4" s="1"/>
  <c r="G1518" i="4"/>
  <c r="G1522" i="4" s="1"/>
  <c r="F1518" i="4"/>
  <c r="F1522" i="4" s="1"/>
  <c r="E1518" i="4"/>
  <c r="E1522" i="4" s="1"/>
  <c r="D1518" i="4"/>
  <c r="D1522" i="4" s="1"/>
  <c r="C1518" i="4"/>
  <c r="C1522" i="4" s="1"/>
  <c r="I1517" i="4"/>
  <c r="I1516" i="4"/>
  <c r="I1515" i="4"/>
  <c r="I1514" i="4"/>
  <c r="O49" i="1" s="1"/>
  <c r="U49" i="1" s="1"/>
  <c r="I1513" i="4"/>
  <c r="D1138" i="1" s="1"/>
  <c r="J1138" i="1" s="1"/>
  <c r="I1512" i="4"/>
  <c r="I1511" i="4"/>
  <c r="I1510" i="4"/>
  <c r="I1509" i="4"/>
  <c r="I1508" i="4"/>
  <c r="I1507" i="4"/>
  <c r="D1132" i="1" s="1"/>
  <c r="J1132" i="1" s="1"/>
  <c r="I1506" i="4"/>
  <c r="I1505" i="4"/>
  <c r="I1504" i="4"/>
  <c r="I1503" i="4"/>
  <c r="D1128" i="1" s="1"/>
  <c r="J1128" i="1" s="1"/>
  <c r="I1502" i="4"/>
  <c r="I1501" i="4"/>
  <c r="I1500" i="4"/>
  <c r="I1499" i="4"/>
  <c r="I1498" i="4"/>
  <c r="D1123" i="1" s="1"/>
  <c r="J1123" i="1" s="1"/>
  <c r="I1497" i="4"/>
  <c r="O286" i="1" s="1"/>
  <c r="U286" i="1" s="1"/>
  <c r="I1496" i="4"/>
  <c r="D1121" i="1" s="1"/>
  <c r="J1121" i="1" s="1"/>
  <c r="I1495" i="4"/>
  <c r="D1113" i="1" s="1"/>
  <c r="J1113" i="1" s="1"/>
  <c r="I1494" i="4"/>
  <c r="I1493" i="4"/>
  <c r="I1492" i="4"/>
  <c r="I1491" i="4"/>
  <c r="I1113" i="1"/>
  <c r="I1112" i="1"/>
  <c r="I1111" i="1"/>
  <c r="I1110" i="1"/>
  <c r="I1109" i="1"/>
  <c r="I1108" i="1"/>
  <c r="H1113" i="1"/>
  <c r="H1112" i="1"/>
  <c r="H1111" i="1"/>
  <c r="H1110" i="1"/>
  <c r="H1109" i="1"/>
  <c r="G1113" i="1"/>
  <c r="G1112" i="1"/>
  <c r="G1111" i="1"/>
  <c r="G1110" i="1"/>
  <c r="G1109" i="1"/>
  <c r="F1113" i="1"/>
  <c r="F1112" i="1"/>
  <c r="F1111" i="1"/>
  <c r="F1110" i="1"/>
  <c r="F1109" i="1"/>
  <c r="B1113" i="1"/>
  <c r="B1112" i="1"/>
  <c r="B1111" i="1"/>
  <c r="B1110" i="1"/>
  <c r="B1109" i="1"/>
  <c r="A1113" i="1"/>
  <c r="A1112" i="1"/>
  <c r="A1111" i="1"/>
  <c r="A1110" i="1"/>
  <c r="A1109" i="1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I1481" i="4"/>
  <c r="H1479" i="4"/>
  <c r="H1483" i="4" s="1"/>
  <c r="G1479" i="4"/>
  <c r="G1483" i="4" s="1"/>
  <c r="F1479" i="4"/>
  <c r="F1483" i="4" s="1"/>
  <c r="E1479" i="4"/>
  <c r="E1483" i="4" s="1"/>
  <c r="D1479" i="4"/>
  <c r="D1483" i="4" s="1"/>
  <c r="C1479" i="4"/>
  <c r="C1483" i="4" s="1"/>
  <c r="I1478" i="4"/>
  <c r="I1477" i="4"/>
  <c r="I1476" i="4"/>
  <c r="I1475" i="4"/>
  <c r="I1474" i="4"/>
  <c r="I1473" i="4"/>
  <c r="I1472" i="4"/>
  <c r="I1471" i="4"/>
  <c r="I1470" i="4"/>
  <c r="I1469" i="4"/>
  <c r="D1099" i="1" s="1"/>
  <c r="J1099" i="1" s="1"/>
  <c r="I1468" i="4"/>
  <c r="D1098" i="1" s="1"/>
  <c r="J1098" i="1" s="1"/>
  <c r="I1467" i="4"/>
  <c r="I1466" i="4"/>
  <c r="I1465" i="4"/>
  <c r="O48" i="1" s="1"/>
  <c r="U48" i="1" s="1"/>
  <c r="I1464" i="4"/>
  <c r="I1463" i="4"/>
  <c r="I1462" i="4"/>
  <c r="D1092" i="1" s="1"/>
  <c r="J1092" i="1" s="1"/>
  <c r="I1461" i="4"/>
  <c r="O389" i="1" s="1"/>
  <c r="U389" i="1" s="1"/>
  <c r="I1460" i="4"/>
  <c r="I1459" i="4"/>
  <c r="I1458" i="4"/>
  <c r="I1457" i="4"/>
  <c r="I1456" i="4"/>
  <c r="I1455" i="4"/>
  <c r="D1085" i="1" s="1"/>
  <c r="J1085" i="1" s="1"/>
  <c r="I1454" i="4"/>
  <c r="I1453" i="4"/>
  <c r="I1452" i="4"/>
  <c r="B1439" i="4"/>
  <c r="B1438" i="4"/>
  <c r="B1437" i="4"/>
  <c r="B1436" i="4"/>
  <c r="B1435" i="4"/>
  <c r="B1434" i="4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I1075" i="1"/>
  <c r="I1074" i="1"/>
  <c r="I1073" i="1"/>
  <c r="I1072" i="1"/>
  <c r="H1075" i="1"/>
  <c r="H1074" i="1"/>
  <c r="H1073" i="1"/>
  <c r="H1072" i="1"/>
  <c r="G1075" i="1"/>
  <c r="G1074" i="1"/>
  <c r="G1073" i="1"/>
  <c r="G1072" i="1"/>
  <c r="F1075" i="1"/>
  <c r="F1074" i="1"/>
  <c r="F1073" i="1"/>
  <c r="F1072" i="1"/>
  <c r="B1075" i="1"/>
  <c r="B1074" i="1"/>
  <c r="B1073" i="1"/>
  <c r="B1072" i="1"/>
  <c r="A1075" i="1"/>
  <c r="A1074" i="1"/>
  <c r="A1073" i="1"/>
  <c r="A1072" i="1"/>
  <c r="B1433" i="4"/>
  <c r="B1432" i="4"/>
  <c r="B1431" i="4"/>
  <c r="B1430" i="4"/>
  <c r="I1071" i="1"/>
  <c r="I1070" i="1"/>
  <c r="I1069" i="1"/>
  <c r="H1071" i="1"/>
  <c r="H1070" i="1"/>
  <c r="H1069" i="1"/>
  <c r="G1071" i="1"/>
  <c r="G1070" i="1"/>
  <c r="G1069" i="1"/>
  <c r="F1071" i="1"/>
  <c r="F1070" i="1"/>
  <c r="F1069" i="1"/>
  <c r="B1071" i="1"/>
  <c r="B1070" i="1"/>
  <c r="B1069" i="1"/>
  <c r="A1071" i="1"/>
  <c r="A1070" i="1"/>
  <c r="A1069" i="1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I1442" i="4"/>
  <c r="H1440" i="4"/>
  <c r="H1444" i="4" s="1"/>
  <c r="G1440" i="4"/>
  <c r="G1444" i="4" s="1"/>
  <c r="F1440" i="4"/>
  <c r="F1444" i="4" s="1"/>
  <c r="E1440" i="4"/>
  <c r="E1444" i="4" s="1"/>
  <c r="D1440" i="4"/>
  <c r="D1444" i="4" s="1"/>
  <c r="C1440" i="4"/>
  <c r="C1444" i="4" s="1"/>
  <c r="I1439" i="4"/>
  <c r="D1081" i="1" s="1"/>
  <c r="J1081" i="1" s="1"/>
  <c r="I1438" i="4"/>
  <c r="D1080" i="1" s="1"/>
  <c r="J1080" i="1" s="1"/>
  <c r="I1437" i="4"/>
  <c r="D1079" i="1" s="1"/>
  <c r="J1079" i="1" s="1"/>
  <c r="I1436" i="4"/>
  <c r="I1435" i="4"/>
  <c r="I1434" i="4"/>
  <c r="I1433" i="4"/>
  <c r="I1432" i="4"/>
  <c r="I1431" i="4"/>
  <c r="I1430" i="4"/>
  <c r="D1072" i="1" s="1"/>
  <c r="J1072" i="1" s="1"/>
  <c r="I1429" i="4"/>
  <c r="D1071" i="1" s="1"/>
  <c r="J1071" i="1" s="1"/>
  <c r="I1428" i="4"/>
  <c r="I1427" i="4"/>
  <c r="I1426" i="4"/>
  <c r="D1061" i="1" s="1"/>
  <c r="J1061" i="1" s="1"/>
  <c r="I1425" i="4"/>
  <c r="D1060" i="1" s="1"/>
  <c r="J1060" i="1" s="1"/>
  <c r="I1424" i="4"/>
  <c r="D1059" i="1" s="1"/>
  <c r="J1059" i="1" s="1"/>
  <c r="I1423" i="4"/>
  <c r="D1058" i="1" s="1"/>
  <c r="J1058" i="1" s="1"/>
  <c r="I1422" i="4"/>
  <c r="D1057" i="1" s="1"/>
  <c r="J1057" i="1" s="1"/>
  <c r="I1421" i="4"/>
  <c r="D1056" i="1" s="1"/>
  <c r="J1056" i="1" s="1"/>
  <c r="I1420" i="4"/>
  <c r="I1419" i="4"/>
  <c r="D1054" i="1" s="1"/>
  <c r="J1054" i="1" s="1"/>
  <c r="I1418" i="4"/>
  <c r="D1053" i="1" s="1"/>
  <c r="J1053" i="1" s="1"/>
  <c r="I1417" i="4"/>
  <c r="D1052" i="1" s="1"/>
  <c r="J1052" i="1" s="1"/>
  <c r="I1416" i="4"/>
  <c r="I1415" i="4"/>
  <c r="D1050" i="1" s="1"/>
  <c r="J1050" i="1" s="1"/>
  <c r="I1414" i="4"/>
  <c r="D1049" i="1" s="1"/>
  <c r="J1049" i="1" s="1"/>
  <c r="I1413" i="4"/>
  <c r="B1400" i="4"/>
  <c r="B1399" i="4"/>
  <c r="I1061" i="1"/>
  <c r="I1060" i="1"/>
  <c r="I1059" i="1"/>
  <c r="I1058" i="1"/>
  <c r="I1057" i="1"/>
  <c r="I1055" i="1"/>
  <c r="I1054" i="1"/>
  <c r="I1053" i="1"/>
  <c r="I1052" i="1"/>
  <c r="I1051" i="1"/>
  <c r="I1050" i="1"/>
  <c r="I1049" i="1"/>
  <c r="I1048" i="1"/>
  <c r="I1047" i="1"/>
  <c r="I1046" i="1"/>
  <c r="H1061" i="1"/>
  <c r="H1060" i="1"/>
  <c r="H1059" i="1"/>
  <c r="H1058" i="1"/>
  <c r="H1057" i="1"/>
  <c r="H1055" i="1"/>
  <c r="H1054" i="1"/>
  <c r="H1053" i="1"/>
  <c r="H1052" i="1"/>
  <c r="H1051" i="1"/>
  <c r="H1050" i="1"/>
  <c r="H1049" i="1"/>
  <c r="H1048" i="1"/>
  <c r="H1047" i="1"/>
  <c r="H1046" i="1"/>
  <c r="G1061" i="1"/>
  <c r="G1060" i="1"/>
  <c r="G1059" i="1"/>
  <c r="G1058" i="1"/>
  <c r="G1057" i="1"/>
  <c r="G1055" i="1"/>
  <c r="G1054" i="1"/>
  <c r="G1053" i="1"/>
  <c r="G1052" i="1"/>
  <c r="G1051" i="1"/>
  <c r="G1050" i="1"/>
  <c r="G1049" i="1"/>
  <c r="G1048" i="1"/>
  <c r="G1047" i="1"/>
  <c r="G1046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A1060" i="1"/>
  <c r="A1061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I1045" i="1"/>
  <c r="I1044" i="1"/>
  <c r="I1043" i="1"/>
  <c r="I1042" i="1"/>
  <c r="I1041" i="1"/>
  <c r="H1045" i="1"/>
  <c r="H1044" i="1"/>
  <c r="H1043" i="1"/>
  <c r="H1042" i="1"/>
  <c r="H1041" i="1"/>
  <c r="G1045" i="1"/>
  <c r="G1044" i="1"/>
  <c r="G1043" i="1"/>
  <c r="G1042" i="1"/>
  <c r="G1041" i="1"/>
  <c r="F1045" i="1"/>
  <c r="F1044" i="1"/>
  <c r="F1043" i="1"/>
  <c r="F1042" i="1"/>
  <c r="F1041" i="1"/>
  <c r="A1045" i="1"/>
  <c r="A1044" i="1"/>
  <c r="A1043" i="1"/>
  <c r="A1042" i="1"/>
  <c r="A1041" i="1"/>
  <c r="B1045" i="1"/>
  <c r="B1044" i="1"/>
  <c r="B1043" i="1"/>
  <c r="B1042" i="1"/>
  <c r="B1041" i="1"/>
  <c r="B1398" i="4"/>
  <c r="B1397" i="4"/>
  <c r="B1396" i="4"/>
  <c r="B1395" i="4"/>
  <c r="B1394" i="4"/>
  <c r="I1040" i="1"/>
  <c r="I1039" i="1"/>
  <c r="I1038" i="1"/>
  <c r="I1037" i="1"/>
  <c r="I1036" i="1"/>
  <c r="H1040" i="1"/>
  <c r="H1039" i="1"/>
  <c r="H1038" i="1"/>
  <c r="H1037" i="1"/>
  <c r="H1036" i="1"/>
  <c r="G1040" i="1"/>
  <c r="G1039" i="1"/>
  <c r="G1038" i="1"/>
  <c r="G1037" i="1"/>
  <c r="G1036" i="1"/>
  <c r="F1040" i="1"/>
  <c r="F1039" i="1"/>
  <c r="F1038" i="1"/>
  <c r="F1037" i="1"/>
  <c r="F1036" i="1"/>
  <c r="B1040" i="1"/>
  <c r="B1039" i="1"/>
  <c r="B1038" i="1"/>
  <c r="B1037" i="1"/>
  <c r="B1036" i="1"/>
  <c r="A1040" i="1"/>
  <c r="A1039" i="1"/>
  <c r="A1038" i="1"/>
  <c r="A1037" i="1"/>
  <c r="A1036" i="1"/>
  <c r="B1393" i="4"/>
  <c r="B1392" i="4"/>
  <c r="B1391" i="4"/>
  <c r="B1390" i="4"/>
  <c r="B1389" i="4"/>
  <c r="I1035" i="1"/>
  <c r="H1035" i="1"/>
  <c r="G1035" i="1"/>
  <c r="F1035" i="1"/>
  <c r="B1035" i="1"/>
  <c r="A1035" i="1"/>
  <c r="B1388" i="4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I1021" i="1"/>
  <c r="H1021" i="1"/>
  <c r="G1021" i="1"/>
  <c r="F1021" i="1"/>
  <c r="B1021" i="1"/>
  <c r="A1021" i="1"/>
  <c r="I1020" i="1"/>
  <c r="H1020" i="1"/>
  <c r="G1020" i="1"/>
  <c r="F1020" i="1"/>
  <c r="B1020" i="1"/>
  <c r="A1020" i="1"/>
  <c r="I1019" i="1"/>
  <c r="H1019" i="1"/>
  <c r="G1019" i="1"/>
  <c r="F1019" i="1"/>
  <c r="B1019" i="1"/>
  <c r="A1019" i="1"/>
  <c r="I1018" i="1"/>
  <c r="H1018" i="1"/>
  <c r="G1018" i="1"/>
  <c r="F1018" i="1"/>
  <c r="B1018" i="1"/>
  <c r="A1018" i="1"/>
  <c r="I1017" i="1"/>
  <c r="H1017" i="1"/>
  <c r="G1017" i="1"/>
  <c r="F1017" i="1"/>
  <c r="B1017" i="1"/>
  <c r="A1017" i="1"/>
  <c r="I954" i="1"/>
  <c r="H954" i="1"/>
  <c r="G954" i="1"/>
  <c r="F954" i="1"/>
  <c r="B954" i="1"/>
  <c r="A954" i="1"/>
  <c r="I953" i="1"/>
  <c r="H953" i="1"/>
  <c r="G953" i="1"/>
  <c r="F953" i="1"/>
  <c r="B953" i="1"/>
  <c r="A953" i="1"/>
  <c r="I952" i="1"/>
  <c r="H952" i="1"/>
  <c r="G952" i="1"/>
  <c r="F952" i="1"/>
  <c r="B952" i="1"/>
  <c r="A952" i="1"/>
  <c r="I951" i="1"/>
  <c r="H951" i="1"/>
  <c r="G951" i="1"/>
  <c r="F951" i="1"/>
  <c r="B951" i="1"/>
  <c r="A951" i="1"/>
  <c r="I950" i="1"/>
  <c r="H950" i="1"/>
  <c r="G950" i="1"/>
  <c r="F950" i="1"/>
  <c r="B950" i="1"/>
  <c r="A950" i="1"/>
  <c r="I949" i="1"/>
  <c r="H949" i="1"/>
  <c r="G949" i="1"/>
  <c r="F949" i="1"/>
  <c r="B949" i="1"/>
  <c r="A949" i="1"/>
  <c r="B1374" i="4"/>
  <c r="I1403" i="4"/>
  <c r="H1401" i="4"/>
  <c r="H1405" i="4" s="1"/>
  <c r="G1401" i="4"/>
  <c r="G1405" i="4" s="1"/>
  <c r="F1401" i="4"/>
  <c r="F1405" i="4" s="1"/>
  <c r="E1401" i="4"/>
  <c r="E1405" i="4" s="1"/>
  <c r="D1401" i="4"/>
  <c r="D1405" i="4" s="1"/>
  <c r="C1401" i="4"/>
  <c r="C1405" i="4" s="1"/>
  <c r="I1400" i="4"/>
  <c r="D1047" i="1" s="1"/>
  <c r="J1047" i="1" s="1"/>
  <c r="I1399" i="4"/>
  <c r="D1046" i="1" s="1"/>
  <c r="J1046" i="1" s="1"/>
  <c r="I1398" i="4"/>
  <c r="D1045" i="1" s="1"/>
  <c r="J1045" i="1" s="1"/>
  <c r="I1397" i="4"/>
  <c r="D1044" i="1" s="1"/>
  <c r="J1044" i="1" s="1"/>
  <c r="I1396" i="4"/>
  <c r="D1043" i="1" s="1"/>
  <c r="J1043" i="1" s="1"/>
  <c r="I1395" i="4"/>
  <c r="I1394" i="4"/>
  <c r="D1041" i="1" s="1"/>
  <c r="J1041" i="1" s="1"/>
  <c r="I1393" i="4"/>
  <c r="D1040" i="1" s="1"/>
  <c r="J1040" i="1" s="1"/>
  <c r="I1392" i="4"/>
  <c r="D1039" i="1" s="1"/>
  <c r="J1039" i="1" s="1"/>
  <c r="I1391" i="4"/>
  <c r="D1038" i="1" s="1"/>
  <c r="J1038" i="1" s="1"/>
  <c r="I1390" i="4"/>
  <c r="D1037" i="1" s="1"/>
  <c r="J1037" i="1" s="1"/>
  <c r="I1389" i="4"/>
  <c r="O388" i="1" s="1"/>
  <c r="U388" i="1" s="1"/>
  <c r="I1388" i="4"/>
  <c r="I1387" i="4"/>
  <c r="D1034" i="1" s="1"/>
  <c r="J1034" i="1" s="1"/>
  <c r="I1386" i="4"/>
  <c r="D1033" i="1" s="1"/>
  <c r="J1033" i="1" s="1"/>
  <c r="I1385" i="4"/>
  <c r="I1384" i="4"/>
  <c r="D1031" i="1" s="1"/>
  <c r="J1031" i="1" s="1"/>
  <c r="I1383" i="4"/>
  <c r="D1030" i="1" s="1"/>
  <c r="J1030" i="1" s="1"/>
  <c r="I1382" i="4"/>
  <c r="I1381" i="4"/>
  <c r="D1028" i="1" s="1"/>
  <c r="J1028" i="1" s="1"/>
  <c r="I1380" i="4"/>
  <c r="D1027" i="1" s="1"/>
  <c r="J1027" i="1" s="1"/>
  <c r="I1379" i="4"/>
  <c r="D1026" i="1" s="1"/>
  <c r="J1026" i="1" s="1"/>
  <c r="I1378" i="4"/>
  <c r="D1025" i="1" s="1"/>
  <c r="J1025" i="1" s="1"/>
  <c r="I1377" i="4"/>
  <c r="D1024" i="1" s="1"/>
  <c r="J1024" i="1" s="1"/>
  <c r="I1376" i="4"/>
  <c r="D1023" i="1" s="1"/>
  <c r="J1023" i="1" s="1"/>
  <c r="I1375" i="4"/>
  <c r="I1374" i="4"/>
  <c r="B1322" i="4"/>
  <c r="B1321" i="4"/>
  <c r="B1320" i="4"/>
  <c r="B1319" i="4"/>
  <c r="B1318" i="4"/>
  <c r="B1317" i="4"/>
  <c r="B1316" i="4"/>
  <c r="B1315" i="4"/>
  <c r="B1314" i="4"/>
  <c r="B1313" i="4"/>
  <c r="I948" i="1"/>
  <c r="H948" i="1"/>
  <c r="G948" i="1"/>
  <c r="F948" i="1"/>
  <c r="B948" i="1"/>
  <c r="A948" i="1"/>
  <c r="B1312" i="4"/>
  <c r="I947" i="1"/>
  <c r="I946" i="1"/>
  <c r="I945" i="1"/>
  <c r="I944" i="1"/>
  <c r="I943" i="1"/>
  <c r="I942" i="1"/>
  <c r="I941" i="1"/>
  <c r="H947" i="1"/>
  <c r="H946" i="1"/>
  <c r="H945" i="1"/>
  <c r="H944" i="1"/>
  <c r="H943" i="1"/>
  <c r="H942" i="1"/>
  <c r="H941" i="1"/>
  <c r="G947" i="1"/>
  <c r="G946" i="1"/>
  <c r="G945" i="1"/>
  <c r="G944" i="1"/>
  <c r="G943" i="1"/>
  <c r="G942" i="1"/>
  <c r="G941" i="1"/>
  <c r="F947" i="1"/>
  <c r="F946" i="1"/>
  <c r="F945" i="1"/>
  <c r="F944" i="1"/>
  <c r="F943" i="1"/>
  <c r="F942" i="1"/>
  <c r="F941" i="1"/>
  <c r="B947" i="1"/>
  <c r="B946" i="1"/>
  <c r="B945" i="1"/>
  <c r="B944" i="1"/>
  <c r="B943" i="1"/>
  <c r="B942" i="1"/>
  <c r="B941" i="1"/>
  <c r="A947" i="1"/>
  <c r="A946" i="1"/>
  <c r="A945" i="1"/>
  <c r="A944" i="1"/>
  <c r="A943" i="1"/>
  <c r="A942" i="1"/>
  <c r="A941" i="1"/>
  <c r="B1311" i="4"/>
  <c r="B1310" i="4"/>
  <c r="B1309" i="4"/>
  <c r="B1308" i="4"/>
  <c r="B1307" i="4"/>
  <c r="B1306" i="4"/>
  <c r="B1305" i="4"/>
  <c r="I940" i="1"/>
  <c r="I939" i="1"/>
  <c r="I938" i="1"/>
  <c r="H940" i="1"/>
  <c r="H939" i="1"/>
  <c r="H938" i="1"/>
  <c r="G940" i="1"/>
  <c r="G939" i="1"/>
  <c r="G938" i="1"/>
  <c r="F940" i="1"/>
  <c r="F939" i="1"/>
  <c r="F938" i="1"/>
  <c r="B940" i="1"/>
  <c r="B939" i="1"/>
  <c r="B938" i="1"/>
  <c r="A940" i="1"/>
  <c r="A939" i="1"/>
  <c r="A938" i="1"/>
  <c r="B1304" i="4"/>
  <c r="B1303" i="4"/>
  <c r="B1302" i="4"/>
  <c r="B318" i="4"/>
  <c r="I937" i="1"/>
  <c r="I936" i="1"/>
  <c r="I935" i="1"/>
  <c r="I934" i="1"/>
  <c r="I933" i="1"/>
  <c r="I932" i="1"/>
  <c r="H937" i="1"/>
  <c r="H936" i="1"/>
  <c r="H935" i="1"/>
  <c r="H934" i="1"/>
  <c r="H933" i="1"/>
  <c r="H932" i="1"/>
  <c r="G937" i="1"/>
  <c r="G936" i="1"/>
  <c r="G935" i="1"/>
  <c r="G934" i="1"/>
  <c r="G933" i="1"/>
  <c r="G932" i="1"/>
  <c r="F937" i="1"/>
  <c r="F936" i="1"/>
  <c r="F935" i="1"/>
  <c r="F934" i="1"/>
  <c r="F933" i="1"/>
  <c r="F932" i="1"/>
  <c r="B937" i="1"/>
  <c r="B936" i="1"/>
  <c r="B935" i="1"/>
  <c r="B934" i="1"/>
  <c r="B933" i="1"/>
  <c r="B932" i="1"/>
  <c r="A937" i="1"/>
  <c r="A936" i="1"/>
  <c r="A935" i="1"/>
  <c r="A934" i="1"/>
  <c r="A933" i="1"/>
  <c r="A932" i="1"/>
  <c r="B1301" i="4"/>
  <c r="B1300" i="4"/>
  <c r="B1299" i="4"/>
  <c r="B1298" i="4"/>
  <c r="B1297" i="4"/>
  <c r="B1296" i="4"/>
  <c r="I1008" i="1"/>
  <c r="H1008" i="1"/>
  <c r="G1008" i="1"/>
  <c r="F1008" i="1"/>
  <c r="B1008" i="1"/>
  <c r="A1008" i="1"/>
  <c r="B1361" i="4"/>
  <c r="B1359" i="4"/>
  <c r="B1349" i="4"/>
  <c r="I1007" i="1"/>
  <c r="I1006" i="1"/>
  <c r="H1007" i="1"/>
  <c r="H1006" i="1"/>
  <c r="G1007" i="1"/>
  <c r="G1006" i="1"/>
  <c r="F1007" i="1"/>
  <c r="F1006" i="1"/>
  <c r="B1007" i="1"/>
  <c r="B1006" i="1"/>
  <c r="A1007" i="1"/>
  <c r="A1006" i="1"/>
  <c r="B1360" i="4"/>
  <c r="B1358" i="4"/>
  <c r="B1357" i="4"/>
  <c r="B1356" i="4"/>
  <c r="B1355" i="4"/>
  <c r="B1354" i="4"/>
  <c r="B1353" i="4"/>
  <c r="B1352" i="4"/>
  <c r="B1351" i="4"/>
  <c r="B1350" i="4"/>
  <c r="B1348" i="4"/>
  <c r="I1005" i="1"/>
  <c r="H1005" i="1"/>
  <c r="G1005" i="1"/>
  <c r="F1005" i="1"/>
  <c r="B1005" i="1"/>
  <c r="A1005" i="1"/>
  <c r="I1004" i="1"/>
  <c r="I1003" i="1"/>
  <c r="I1002" i="1"/>
  <c r="I1001" i="1"/>
  <c r="I1000" i="1"/>
  <c r="I999" i="1"/>
  <c r="I998" i="1"/>
  <c r="I997" i="1"/>
  <c r="H1004" i="1"/>
  <c r="H1003" i="1"/>
  <c r="H1002" i="1"/>
  <c r="H1001" i="1"/>
  <c r="H1000" i="1"/>
  <c r="H999" i="1"/>
  <c r="H998" i="1"/>
  <c r="H997" i="1"/>
  <c r="G1004" i="1"/>
  <c r="G1003" i="1"/>
  <c r="G1002" i="1"/>
  <c r="G1001" i="1"/>
  <c r="G1000" i="1"/>
  <c r="G999" i="1"/>
  <c r="G998" i="1"/>
  <c r="G997" i="1"/>
  <c r="F1004" i="1"/>
  <c r="F1003" i="1"/>
  <c r="F1002" i="1"/>
  <c r="F1001" i="1"/>
  <c r="F1000" i="1"/>
  <c r="F999" i="1"/>
  <c r="F998" i="1"/>
  <c r="F997" i="1"/>
  <c r="B1004" i="1"/>
  <c r="B1003" i="1"/>
  <c r="B1002" i="1"/>
  <c r="B1001" i="1"/>
  <c r="B1000" i="1"/>
  <c r="B999" i="1"/>
  <c r="B998" i="1"/>
  <c r="B997" i="1"/>
  <c r="A1004" i="1"/>
  <c r="A1003" i="1"/>
  <c r="A1002" i="1"/>
  <c r="A1001" i="1"/>
  <c r="A1000" i="1"/>
  <c r="A999" i="1"/>
  <c r="A998" i="1"/>
  <c r="A997" i="1"/>
  <c r="I996" i="1"/>
  <c r="H996" i="1"/>
  <c r="G996" i="1"/>
  <c r="F996" i="1"/>
  <c r="B996" i="1"/>
  <c r="A996" i="1"/>
  <c r="I995" i="1"/>
  <c r="H995" i="1"/>
  <c r="G995" i="1"/>
  <c r="F995" i="1"/>
  <c r="B995" i="1"/>
  <c r="A995" i="1"/>
  <c r="I994" i="1"/>
  <c r="I993" i="1"/>
  <c r="I992" i="1"/>
  <c r="I991" i="1"/>
  <c r="I990" i="1"/>
  <c r="I989" i="1"/>
  <c r="I988" i="1"/>
  <c r="I987" i="1"/>
  <c r="I986" i="1"/>
  <c r="H994" i="1"/>
  <c r="H993" i="1"/>
  <c r="H992" i="1"/>
  <c r="H991" i="1"/>
  <c r="H990" i="1"/>
  <c r="H989" i="1"/>
  <c r="H988" i="1"/>
  <c r="H987" i="1"/>
  <c r="H986" i="1"/>
  <c r="G994" i="1"/>
  <c r="G993" i="1"/>
  <c r="G992" i="1"/>
  <c r="G991" i="1"/>
  <c r="G990" i="1"/>
  <c r="G989" i="1"/>
  <c r="G988" i="1"/>
  <c r="G987" i="1"/>
  <c r="G986" i="1"/>
  <c r="F994" i="1"/>
  <c r="F993" i="1"/>
  <c r="F992" i="1"/>
  <c r="F991" i="1"/>
  <c r="F990" i="1"/>
  <c r="F989" i="1"/>
  <c r="F988" i="1"/>
  <c r="F987" i="1"/>
  <c r="F986" i="1"/>
  <c r="B994" i="1"/>
  <c r="B993" i="1"/>
  <c r="B992" i="1"/>
  <c r="B991" i="1"/>
  <c r="B990" i="1"/>
  <c r="B989" i="1"/>
  <c r="B988" i="1"/>
  <c r="B987" i="1"/>
  <c r="B986" i="1"/>
  <c r="B985" i="1"/>
  <c r="A994" i="1"/>
  <c r="A993" i="1"/>
  <c r="A992" i="1"/>
  <c r="A991" i="1"/>
  <c r="A990" i="1"/>
  <c r="A989" i="1"/>
  <c r="A988" i="1"/>
  <c r="A987" i="1"/>
  <c r="A986" i="1"/>
  <c r="B1347" i="4"/>
  <c r="B1346" i="4"/>
  <c r="B1345" i="4"/>
  <c r="B1344" i="4"/>
  <c r="B1343" i="4"/>
  <c r="B1342" i="4"/>
  <c r="B1341" i="4"/>
  <c r="B1340" i="4"/>
  <c r="B1339" i="4"/>
  <c r="I985" i="1"/>
  <c r="H985" i="1"/>
  <c r="G985" i="1"/>
  <c r="F985" i="1"/>
  <c r="A985" i="1"/>
  <c r="B1338" i="4"/>
  <c r="I984" i="1"/>
  <c r="I983" i="1"/>
  <c r="I982" i="1"/>
  <c r="I981" i="1"/>
  <c r="I980" i="1"/>
  <c r="H984" i="1"/>
  <c r="H983" i="1"/>
  <c r="H982" i="1"/>
  <c r="H981" i="1"/>
  <c r="H980" i="1"/>
  <c r="G984" i="1"/>
  <c r="G983" i="1"/>
  <c r="G982" i="1"/>
  <c r="G981" i="1"/>
  <c r="G980" i="1"/>
  <c r="F984" i="1"/>
  <c r="F983" i="1"/>
  <c r="F982" i="1"/>
  <c r="F981" i="1"/>
  <c r="F980" i="1"/>
  <c r="B984" i="1"/>
  <c r="B983" i="1"/>
  <c r="B982" i="1"/>
  <c r="B981" i="1"/>
  <c r="B980" i="1"/>
  <c r="A984" i="1"/>
  <c r="A983" i="1"/>
  <c r="A982" i="1"/>
  <c r="A981" i="1"/>
  <c r="A980" i="1"/>
  <c r="B1337" i="4"/>
  <c r="B1336" i="4"/>
  <c r="B1335" i="4"/>
  <c r="B1279" i="4"/>
  <c r="B1278" i="4"/>
  <c r="I1364" i="4"/>
  <c r="H1362" i="4"/>
  <c r="H1366" i="4" s="1"/>
  <c r="G1362" i="4"/>
  <c r="G1366" i="4" s="1"/>
  <c r="F1362" i="4"/>
  <c r="F1366" i="4" s="1"/>
  <c r="E1362" i="4"/>
  <c r="E1366" i="4" s="1"/>
  <c r="D1362" i="4"/>
  <c r="D1366" i="4" s="1"/>
  <c r="C1362" i="4"/>
  <c r="C1366" i="4" s="1"/>
  <c r="I1361" i="4"/>
  <c r="I1360" i="4"/>
  <c r="D1007" i="1" s="1"/>
  <c r="J1007" i="1" s="1"/>
  <c r="I1359" i="4"/>
  <c r="D1006" i="1" s="1"/>
  <c r="J1006" i="1" s="1"/>
  <c r="I1358" i="4"/>
  <c r="D1005" i="1" s="1"/>
  <c r="J1005" i="1" s="1"/>
  <c r="I1357" i="4"/>
  <c r="I1356" i="4"/>
  <c r="I1355" i="4"/>
  <c r="I1354" i="4"/>
  <c r="I1353" i="4"/>
  <c r="I1352" i="4"/>
  <c r="I1351" i="4"/>
  <c r="I1350" i="4"/>
  <c r="I1349" i="4"/>
  <c r="I1348" i="4"/>
  <c r="D995" i="1" s="1"/>
  <c r="J995" i="1" s="1"/>
  <c r="I1347" i="4"/>
  <c r="D994" i="1" s="1"/>
  <c r="J994" i="1" s="1"/>
  <c r="I1346" i="4"/>
  <c r="D993" i="1" s="1"/>
  <c r="J993" i="1" s="1"/>
  <c r="I1345" i="4"/>
  <c r="D992" i="1" s="1"/>
  <c r="J992" i="1" s="1"/>
  <c r="I1344" i="4"/>
  <c r="D991" i="1" s="1"/>
  <c r="J991" i="1" s="1"/>
  <c r="I1343" i="4"/>
  <c r="D990" i="1" s="1"/>
  <c r="J990" i="1" s="1"/>
  <c r="I1342" i="4"/>
  <c r="D989" i="1" s="1"/>
  <c r="J989" i="1" s="1"/>
  <c r="I1341" i="4"/>
  <c r="D988" i="1" s="1"/>
  <c r="J988" i="1" s="1"/>
  <c r="I1340" i="4"/>
  <c r="D987" i="1" s="1"/>
  <c r="J987" i="1" s="1"/>
  <c r="I1339" i="4"/>
  <c r="D986" i="1" s="1"/>
  <c r="J986" i="1" s="1"/>
  <c r="I1338" i="4"/>
  <c r="D985" i="1" s="1"/>
  <c r="J985" i="1" s="1"/>
  <c r="I1337" i="4"/>
  <c r="D984" i="1" s="1"/>
  <c r="J984" i="1" s="1"/>
  <c r="I1336" i="4"/>
  <c r="I1335" i="4"/>
  <c r="D982" i="1" s="1"/>
  <c r="J982" i="1" s="1"/>
  <c r="I1325" i="4"/>
  <c r="H1323" i="4"/>
  <c r="H1327" i="4" s="1"/>
  <c r="G1323" i="4"/>
  <c r="G1327" i="4" s="1"/>
  <c r="F1323" i="4"/>
  <c r="F1327" i="4" s="1"/>
  <c r="I1322" i="4"/>
  <c r="D1020" i="1" s="1"/>
  <c r="J1020" i="1" s="1"/>
  <c r="I1321" i="4"/>
  <c r="I1320" i="4"/>
  <c r="I1319" i="4"/>
  <c r="D1017" i="1" s="1"/>
  <c r="J1017" i="1" s="1"/>
  <c r="I1318" i="4"/>
  <c r="D954" i="1" s="1"/>
  <c r="J954" i="1" s="1"/>
  <c r="I1317" i="4"/>
  <c r="D953" i="1" s="1"/>
  <c r="J953" i="1" s="1"/>
  <c r="I1316" i="4"/>
  <c r="I1315" i="4"/>
  <c r="I1314" i="4"/>
  <c r="I1313" i="4"/>
  <c r="I1312" i="4"/>
  <c r="D948" i="1" s="1"/>
  <c r="J948" i="1" s="1"/>
  <c r="I1311" i="4"/>
  <c r="I1310" i="4"/>
  <c r="I1309" i="4"/>
  <c r="I1308" i="4"/>
  <c r="D944" i="1" s="1"/>
  <c r="J944" i="1" s="1"/>
  <c r="I1307" i="4"/>
  <c r="D943" i="1" s="1"/>
  <c r="J943" i="1" s="1"/>
  <c r="I1306" i="4"/>
  <c r="D942" i="1" s="1"/>
  <c r="J942" i="1" s="1"/>
  <c r="I1305" i="4"/>
  <c r="D941" i="1" s="1"/>
  <c r="J941" i="1" s="1"/>
  <c r="I1304" i="4"/>
  <c r="D940" i="1" s="1"/>
  <c r="J940" i="1" s="1"/>
  <c r="I1303" i="4"/>
  <c r="D939" i="1" s="1"/>
  <c r="J939" i="1" s="1"/>
  <c r="I1302" i="4"/>
  <c r="D938" i="1" s="1"/>
  <c r="J938" i="1" s="1"/>
  <c r="I1301" i="4"/>
  <c r="I1300" i="4"/>
  <c r="I1299" i="4"/>
  <c r="I1298" i="4"/>
  <c r="I1297" i="4"/>
  <c r="D933" i="1" s="1"/>
  <c r="J933" i="1" s="1"/>
  <c r="I1296" i="4"/>
  <c r="I979" i="1"/>
  <c r="I978" i="1"/>
  <c r="H979" i="1"/>
  <c r="H978" i="1"/>
  <c r="G979" i="1"/>
  <c r="G978" i="1"/>
  <c r="F979" i="1"/>
  <c r="F978" i="1"/>
  <c r="B979" i="1"/>
  <c r="B978" i="1"/>
  <c r="A979" i="1"/>
  <c r="A978" i="1"/>
  <c r="B1277" i="4"/>
  <c r="B1276" i="4"/>
  <c r="B1264" i="4"/>
  <c r="I977" i="1"/>
  <c r="I976" i="1"/>
  <c r="I975" i="1"/>
  <c r="H977" i="1"/>
  <c r="H976" i="1"/>
  <c r="H975" i="1"/>
  <c r="G977" i="1"/>
  <c r="G976" i="1"/>
  <c r="G975" i="1"/>
  <c r="F977" i="1"/>
  <c r="F976" i="1"/>
  <c r="F975" i="1"/>
  <c r="B977" i="1"/>
  <c r="B976" i="1"/>
  <c r="B975" i="1"/>
  <c r="A977" i="1"/>
  <c r="A976" i="1"/>
  <c r="A975" i="1"/>
  <c r="B1275" i="4"/>
  <c r="B1274" i="4"/>
  <c r="B1273" i="4"/>
  <c r="I974" i="1"/>
  <c r="I973" i="1"/>
  <c r="I972" i="1"/>
  <c r="I971" i="1"/>
  <c r="I970" i="1"/>
  <c r="I969" i="1"/>
  <c r="H974" i="1"/>
  <c r="H973" i="1"/>
  <c r="H972" i="1"/>
  <c r="H971" i="1"/>
  <c r="H970" i="1"/>
  <c r="H969" i="1"/>
  <c r="G974" i="1"/>
  <c r="G973" i="1"/>
  <c r="G972" i="1"/>
  <c r="G971" i="1"/>
  <c r="G970" i="1"/>
  <c r="G969" i="1"/>
  <c r="F974" i="1"/>
  <c r="F973" i="1"/>
  <c r="F972" i="1"/>
  <c r="F971" i="1"/>
  <c r="F970" i="1"/>
  <c r="F969" i="1"/>
  <c r="B974" i="1"/>
  <c r="B973" i="1"/>
  <c r="B972" i="1"/>
  <c r="B971" i="1"/>
  <c r="B970" i="1"/>
  <c r="B969" i="1"/>
  <c r="A974" i="1"/>
  <c r="A973" i="1"/>
  <c r="A972" i="1"/>
  <c r="A971" i="1"/>
  <c r="A970" i="1"/>
  <c r="A969" i="1"/>
  <c r="B1272" i="4"/>
  <c r="B1271" i="4"/>
  <c r="B1270" i="4"/>
  <c r="B1269" i="4"/>
  <c r="B1268" i="4"/>
  <c r="B1267" i="4"/>
  <c r="I968" i="1"/>
  <c r="I967" i="1"/>
  <c r="I966" i="1"/>
  <c r="I965" i="1"/>
  <c r="H968" i="1"/>
  <c r="H967" i="1"/>
  <c r="H966" i="1"/>
  <c r="H965" i="1"/>
  <c r="H964" i="1"/>
  <c r="G968" i="1"/>
  <c r="G967" i="1"/>
  <c r="G966" i="1"/>
  <c r="G965" i="1"/>
  <c r="F968" i="1"/>
  <c r="F967" i="1"/>
  <c r="F966" i="1"/>
  <c r="F965" i="1"/>
  <c r="B968" i="1"/>
  <c r="B967" i="1"/>
  <c r="B966" i="1"/>
  <c r="B965" i="1"/>
  <c r="A968" i="1"/>
  <c r="A967" i="1"/>
  <c r="A966" i="1"/>
  <c r="A965" i="1"/>
  <c r="I964" i="1"/>
  <c r="G964" i="1"/>
  <c r="F964" i="1"/>
  <c r="B964" i="1"/>
  <c r="A964" i="1"/>
  <c r="B1266" i="4"/>
  <c r="B1265" i="4"/>
  <c r="B1263" i="4"/>
  <c r="B1262" i="4"/>
  <c r="I931" i="1"/>
  <c r="I930" i="1"/>
  <c r="I929" i="1"/>
  <c r="I928" i="1"/>
  <c r="H931" i="1"/>
  <c r="H930" i="1"/>
  <c r="H929" i="1"/>
  <c r="H928" i="1"/>
  <c r="G931" i="1"/>
  <c r="G930" i="1"/>
  <c r="G929" i="1"/>
  <c r="G928" i="1"/>
  <c r="F931" i="1"/>
  <c r="F930" i="1"/>
  <c r="F929" i="1"/>
  <c r="F928" i="1"/>
  <c r="B931" i="1"/>
  <c r="B930" i="1"/>
  <c r="B929" i="1"/>
  <c r="B928" i="1"/>
  <c r="A931" i="1"/>
  <c r="A930" i="1"/>
  <c r="A929" i="1"/>
  <c r="A928" i="1"/>
  <c r="B1236" i="4"/>
  <c r="B1235" i="4"/>
  <c r="B1234" i="4"/>
  <c r="B1233" i="4"/>
  <c r="I927" i="1"/>
  <c r="I926" i="1"/>
  <c r="H927" i="1"/>
  <c r="H926" i="1"/>
  <c r="G927" i="1"/>
  <c r="G926" i="1"/>
  <c r="F927" i="1"/>
  <c r="F926" i="1"/>
  <c r="B927" i="1"/>
  <c r="B926" i="1"/>
  <c r="A927" i="1"/>
  <c r="A926" i="1"/>
  <c r="B1232" i="4"/>
  <c r="B1231" i="4"/>
  <c r="I925" i="1"/>
  <c r="I924" i="1"/>
  <c r="I923" i="1"/>
  <c r="I922" i="1"/>
  <c r="I921" i="1"/>
  <c r="H925" i="1"/>
  <c r="H924" i="1"/>
  <c r="H923" i="1"/>
  <c r="H922" i="1"/>
  <c r="H921" i="1"/>
  <c r="G925" i="1"/>
  <c r="G924" i="1"/>
  <c r="G923" i="1"/>
  <c r="G922" i="1"/>
  <c r="G921" i="1"/>
  <c r="F925" i="1"/>
  <c r="F924" i="1"/>
  <c r="F923" i="1"/>
  <c r="F922" i="1"/>
  <c r="F921" i="1"/>
  <c r="B925" i="1"/>
  <c r="B924" i="1"/>
  <c r="B923" i="1"/>
  <c r="B922" i="1"/>
  <c r="B921" i="1"/>
  <c r="A925" i="1"/>
  <c r="A924" i="1"/>
  <c r="A923" i="1"/>
  <c r="A922" i="1"/>
  <c r="A921" i="1"/>
  <c r="B1230" i="4"/>
  <c r="B1229" i="4"/>
  <c r="B1228" i="4"/>
  <c r="B1227" i="4"/>
  <c r="B1226" i="4"/>
  <c r="I920" i="1"/>
  <c r="H920" i="1"/>
  <c r="G920" i="1"/>
  <c r="F920" i="1"/>
  <c r="B920" i="1"/>
  <c r="A920" i="1"/>
  <c r="B1225" i="4"/>
  <c r="F723" i="4"/>
  <c r="I919" i="1"/>
  <c r="I918" i="1"/>
  <c r="H919" i="1"/>
  <c r="H918" i="1"/>
  <c r="G919" i="1"/>
  <c r="G918" i="1"/>
  <c r="F919" i="1"/>
  <c r="F918" i="1"/>
  <c r="B919" i="1"/>
  <c r="B918" i="1"/>
  <c r="A919" i="1"/>
  <c r="A918" i="1"/>
  <c r="B1224" i="4"/>
  <c r="B1223" i="4"/>
  <c r="I917" i="1"/>
  <c r="I916" i="1"/>
  <c r="H917" i="1"/>
  <c r="H916" i="1"/>
  <c r="G917" i="1"/>
  <c r="G916" i="1"/>
  <c r="F917" i="1"/>
  <c r="F916" i="1"/>
  <c r="B917" i="1"/>
  <c r="B916" i="1"/>
  <c r="A917" i="1"/>
  <c r="A916" i="1"/>
  <c r="B1222" i="4"/>
  <c r="B1221" i="4"/>
  <c r="I915" i="1"/>
  <c r="I914" i="1"/>
  <c r="H915" i="1"/>
  <c r="H914" i="1"/>
  <c r="G915" i="1"/>
  <c r="G914" i="1"/>
  <c r="F915" i="1"/>
  <c r="F914" i="1"/>
  <c r="B915" i="1"/>
  <c r="B914" i="1"/>
  <c r="A915" i="1"/>
  <c r="A914" i="1"/>
  <c r="B1220" i="4"/>
  <c r="B1219" i="4"/>
  <c r="I913" i="1"/>
  <c r="I912" i="1"/>
  <c r="H913" i="1"/>
  <c r="H912" i="1"/>
  <c r="G913" i="1"/>
  <c r="G912" i="1"/>
  <c r="F913" i="1"/>
  <c r="F912" i="1"/>
  <c r="B913" i="1"/>
  <c r="B912" i="1"/>
  <c r="A913" i="1"/>
  <c r="A912" i="1"/>
  <c r="B1218" i="4"/>
  <c r="B1217" i="4"/>
  <c r="I911" i="1"/>
  <c r="H911" i="1"/>
  <c r="G911" i="1"/>
  <c r="F911" i="1"/>
  <c r="B911" i="1"/>
  <c r="A911" i="1"/>
  <c r="B1216" i="4"/>
  <c r="H1196" i="4"/>
  <c r="H1200" i="4" s="1"/>
  <c r="G1196" i="4"/>
  <c r="G1200" i="4" s="1"/>
  <c r="F1196" i="4"/>
  <c r="F1200" i="4" s="1"/>
  <c r="E1196" i="4"/>
  <c r="E1200" i="4" s="1"/>
  <c r="D1196" i="4"/>
  <c r="D1200" i="4" s="1"/>
  <c r="C1196" i="4"/>
  <c r="C1200" i="4" s="1"/>
  <c r="I910" i="1"/>
  <c r="H910" i="1"/>
  <c r="G910" i="1"/>
  <c r="F910" i="1"/>
  <c r="B910" i="1"/>
  <c r="A910" i="1"/>
  <c r="B1215" i="4"/>
  <c r="I902" i="1"/>
  <c r="I901" i="1"/>
  <c r="H902" i="1"/>
  <c r="H901" i="1"/>
  <c r="G902" i="1"/>
  <c r="G901" i="1"/>
  <c r="F902" i="1"/>
  <c r="F901" i="1"/>
  <c r="B902" i="1"/>
  <c r="B901" i="1"/>
  <c r="A902" i="1"/>
  <c r="A901" i="1"/>
  <c r="B1261" i="4"/>
  <c r="B1260" i="4"/>
  <c r="I849" i="1"/>
  <c r="H849" i="1"/>
  <c r="G849" i="1"/>
  <c r="F849" i="1"/>
  <c r="B849" i="1"/>
  <c r="A849" i="1"/>
  <c r="B1214" i="4"/>
  <c r="I848" i="1"/>
  <c r="H848" i="1"/>
  <c r="G848" i="1"/>
  <c r="F848" i="1"/>
  <c r="B848" i="1"/>
  <c r="A848" i="1"/>
  <c r="B1213" i="4"/>
  <c r="I847" i="1"/>
  <c r="I846" i="1"/>
  <c r="H847" i="1"/>
  <c r="H846" i="1"/>
  <c r="G847" i="1"/>
  <c r="G846" i="1"/>
  <c r="F847" i="1"/>
  <c r="F846" i="1"/>
  <c r="B847" i="1"/>
  <c r="B846" i="1"/>
  <c r="A847" i="1"/>
  <c r="A846" i="1"/>
  <c r="B1212" i="4"/>
  <c r="B1211" i="4"/>
  <c r="I900" i="1"/>
  <c r="I899" i="1"/>
  <c r="I898" i="1"/>
  <c r="H900" i="1"/>
  <c r="H899" i="1"/>
  <c r="H898" i="1"/>
  <c r="G900" i="1"/>
  <c r="G899" i="1"/>
  <c r="G898" i="1"/>
  <c r="F900" i="1"/>
  <c r="F899" i="1"/>
  <c r="F898" i="1"/>
  <c r="B900" i="1"/>
  <c r="B899" i="1"/>
  <c r="B898" i="1"/>
  <c r="A900" i="1"/>
  <c r="A899" i="1"/>
  <c r="A898" i="1"/>
  <c r="B1259" i="4"/>
  <c r="B1258" i="4"/>
  <c r="B1257" i="4"/>
  <c r="I897" i="1"/>
  <c r="I896" i="1"/>
  <c r="I895" i="1"/>
  <c r="I894" i="1"/>
  <c r="I893" i="1"/>
  <c r="H897" i="1"/>
  <c r="H896" i="1"/>
  <c r="H895" i="1"/>
  <c r="H894" i="1"/>
  <c r="G897" i="1"/>
  <c r="G896" i="1"/>
  <c r="G895" i="1"/>
  <c r="G894" i="1"/>
  <c r="F897" i="1"/>
  <c r="F896" i="1"/>
  <c r="F895" i="1"/>
  <c r="F894" i="1"/>
  <c r="B897" i="1"/>
  <c r="B896" i="1"/>
  <c r="B895" i="1"/>
  <c r="B894" i="1"/>
  <c r="A897" i="1"/>
  <c r="A896" i="1"/>
  <c r="A895" i="1"/>
  <c r="A894" i="1"/>
  <c r="I892" i="1"/>
  <c r="I891" i="1"/>
  <c r="I890" i="1"/>
  <c r="I889" i="1"/>
  <c r="H893" i="1"/>
  <c r="H892" i="1"/>
  <c r="H891" i="1"/>
  <c r="H890" i="1"/>
  <c r="H889" i="1"/>
  <c r="G893" i="1"/>
  <c r="G892" i="1"/>
  <c r="G891" i="1"/>
  <c r="G890" i="1"/>
  <c r="G889" i="1"/>
  <c r="F893" i="1"/>
  <c r="F892" i="1"/>
  <c r="F891" i="1"/>
  <c r="F890" i="1"/>
  <c r="F889" i="1"/>
  <c r="B893" i="1"/>
  <c r="B892" i="1"/>
  <c r="B891" i="1"/>
  <c r="B890" i="1"/>
  <c r="B889" i="1"/>
  <c r="A893" i="1"/>
  <c r="A892" i="1"/>
  <c r="A891" i="1"/>
  <c r="A890" i="1"/>
  <c r="A889" i="1"/>
  <c r="B1256" i="4"/>
  <c r="B1255" i="4"/>
  <c r="B1254" i="4"/>
  <c r="B1253" i="4"/>
  <c r="I1282" i="4"/>
  <c r="H1280" i="4"/>
  <c r="H1284" i="4" s="1"/>
  <c r="G1280" i="4"/>
  <c r="G1284" i="4" s="1"/>
  <c r="F1280" i="4"/>
  <c r="F1284" i="4" s="1"/>
  <c r="E1280" i="4"/>
  <c r="E1284" i="4" s="1"/>
  <c r="D1280" i="4"/>
  <c r="D1284" i="4" s="1"/>
  <c r="C1280" i="4"/>
  <c r="C1284" i="4" s="1"/>
  <c r="I1279" i="4"/>
  <c r="D981" i="1" s="1"/>
  <c r="J981" i="1" s="1"/>
  <c r="I1278" i="4"/>
  <c r="I1277" i="4"/>
  <c r="I1276" i="4"/>
  <c r="I1275" i="4"/>
  <c r="D977" i="1" s="1"/>
  <c r="J977" i="1" s="1"/>
  <c r="I1274" i="4"/>
  <c r="D976" i="1" s="1"/>
  <c r="J976" i="1" s="1"/>
  <c r="I1273" i="4"/>
  <c r="D975" i="1" s="1"/>
  <c r="J975" i="1" s="1"/>
  <c r="I1272" i="4"/>
  <c r="D974" i="1" s="1"/>
  <c r="J974" i="1" s="1"/>
  <c r="I1271" i="4"/>
  <c r="D973" i="1" s="1"/>
  <c r="J973" i="1" s="1"/>
  <c r="I1270" i="4"/>
  <c r="I1269" i="4"/>
  <c r="D971" i="1" s="1"/>
  <c r="J971" i="1" s="1"/>
  <c r="I1268" i="4"/>
  <c r="I1267" i="4"/>
  <c r="D969" i="1" s="1"/>
  <c r="J969" i="1" s="1"/>
  <c r="I1266" i="4"/>
  <c r="I1265" i="4"/>
  <c r="I1264" i="4"/>
  <c r="I1263" i="4"/>
  <c r="I1262" i="4"/>
  <c r="O280" i="1" s="1"/>
  <c r="U280" i="1" s="1"/>
  <c r="I1261" i="4"/>
  <c r="D902" i="1" s="1"/>
  <c r="J902" i="1" s="1"/>
  <c r="I1260" i="4"/>
  <c r="D901" i="1" s="1"/>
  <c r="J901" i="1" s="1"/>
  <c r="I1259" i="4"/>
  <c r="D900" i="1" s="1"/>
  <c r="J900" i="1" s="1"/>
  <c r="I1258" i="4"/>
  <c r="I1257" i="4"/>
  <c r="D898" i="1" s="1"/>
  <c r="J898" i="1" s="1"/>
  <c r="I1256" i="4"/>
  <c r="D897" i="1" s="1"/>
  <c r="J897" i="1" s="1"/>
  <c r="I1255" i="4"/>
  <c r="D896" i="1" s="1"/>
  <c r="J896" i="1" s="1"/>
  <c r="I1254" i="4"/>
  <c r="D895" i="1" s="1"/>
  <c r="J895" i="1" s="1"/>
  <c r="I1253" i="4"/>
  <c r="B1195" i="4"/>
  <c r="B1194" i="4"/>
  <c r="B1193" i="4"/>
  <c r="B1192" i="4"/>
  <c r="B1191" i="4"/>
  <c r="I1240" i="4"/>
  <c r="H1238" i="4"/>
  <c r="H1242" i="4" s="1"/>
  <c r="G1238" i="4"/>
  <c r="G1242" i="4" s="1"/>
  <c r="F1238" i="4"/>
  <c r="F1242" i="4" s="1"/>
  <c r="E1238" i="4"/>
  <c r="E1242" i="4" s="1"/>
  <c r="D1238" i="4"/>
  <c r="D1242" i="4" s="1"/>
  <c r="C1238" i="4"/>
  <c r="C1242" i="4" s="1"/>
  <c r="I1237" i="4"/>
  <c r="I1236" i="4"/>
  <c r="D931" i="1" s="1"/>
  <c r="J931" i="1" s="1"/>
  <c r="I1235" i="4"/>
  <c r="D930" i="1" s="1"/>
  <c r="J930" i="1" s="1"/>
  <c r="I1234" i="4"/>
  <c r="I1233" i="4"/>
  <c r="D928" i="1" s="1"/>
  <c r="J928" i="1" s="1"/>
  <c r="I1232" i="4"/>
  <c r="D927" i="1" s="1"/>
  <c r="J927" i="1" s="1"/>
  <c r="I1231" i="4"/>
  <c r="I1230" i="4"/>
  <c r="D925" i="1" s="1"/>
  <c r="J925" i="1" s="1"/>
  <c r="I1229" i="4"/>
  <c r="D924" i="1" s="1"/>
  <c r="J924" i="1" s="1"/>
  <c r="I1228" i="4"/>
  <c r="D923" i="1" s="1"/>
  <c r="J923" i="1" s="1"/>
  <c r="I1227" i="4"/>
  <c r="D922" i="1" s="1"/>
  <c r="J922" i="1" s="1"/>
  <c r="I1226" i="4"/>
  <c r="D921" i="1" s="1"/>
  <c r="J921" i="1" s="1"/>
  <c r="I1225" i="4"/>
  <c r="D920" i="1" s="1"/>
  <c r="J920" i="1" s="1"/>
  <c r="I1224" i="4"/>
  <c r="D919" i="1" s="1"/>
  <c r="J919" i="1" s="1"/>
  <c r="I1223" i="4"/>
  <c r="I1222" i="4"/>
  <c r="D917" i="1" s="1"/>
  <c r="J917" i="1" s="1"/>
  <c r="I1221" i="4"/>
  <c r="I1220" i="4"/>
  <c r="D915" i="1" s="1"/>
  <c r="J915" i="1" s="1"/>
  <c r="I1219" i="4"/>
  <c r="D914" i="1" s="1"/>
  <c r="J914" i="1" s="1"/>
  <c r="I1218" i="4"/>
  <c r="D913" i="1" s="1"/>
  <c r="J913" i="1" s="1"/>
  <c r="I1217" i="4"/>
  <c r="D912" i="1" s="1"/>
  <c r="J912" i="1" s="1"/>
  <c r="I1216" i="4"/>
  <c r="D911" i="1" s="1"/>
  <c r="J911" i="1" s="1"/>
  <c r="I1215" i="4"/>
  <c r="D910" i="1" s="1"/>
  <c r="J910" i="1" s="1"/>
  <c r="I1214" i="4"/>
  <c r="D849" i="1" s="1"/>
  <c r="I1213" i="4"/>
  <c r="I1212" i="4"/>
  <c r="D847" i="1" s="1"/>
  <c r="I1211" i="4"/>
  <c r="D846" i="1" s="1"/>
  <c r="I888" i="1"/>
  <c r="I887" i="1"/>
  <c r="I886" i="1"/>
  <c r="I885" i="1"/>
  <c r="H888" i="1"/>
  <c r="H887" i="1"/>
  <c r="H886" i="1"/>
  <c r="H885" i="1"/>
  <c r="G888" i="1"/>
  <c r="G887" i="1"/>
  <c r="G886" i="1"/>
  <c r="G885" i="1"/>
  <c r="F888" i="1"/>
  <c r="F887" i="1"/>
  <c r="F886" i="1"/>
  <c r="F885" i="1"/>
  <c r="B888" i="1"/>
  <c r="B887" i="1"/>
  <c r="B886" i="1"/>
  <c r="B885" i="1"/>
  <c r="B884" i="1"/>
  <c r="A888" i="1"/>
  <c r="A887" i="1"/>
  <c r="A886" i="1"/>
  <c r="A885" i="1"/>
  <c r="B1190" i="4"/>
  <c r="B1189" i="4"/>
  <c r="B1188" i="4"/>
  <c r="B1187" i="4"/>
  <c r="I884" i="1"/>
  <c r="H884" i="1"/>
  <c r="G884" i="1"/>
  <c r="F884" i="1"/>
  <c r="A884" i="1"/>
  <c r="I845" i="1"/>
  <c r="H845" i="1"/>
  <c r="G845" i="1"/>
  <c r="F845" i="1"/>
  <c r="B845" i="1"/>
  <c r="A845" i="1"/>
  <c r="B1186" i="4"/>
  <c r="B1152" i="4"/>
  <c r="I883" i="1"/>
  <c r="I882" i="1"/>
  <c r="I881" i="1"/>
  <c r="H883" i="1"/>
  <c r="H882" i="1"/>
  <c r="H881" i="1"/>
  <c r="G883" i="1"/>
  <c r="G882" i="1"/>
  <c r="G881" i="1"/>
  <c r="F883" i="1"/>
  <c r="F882" i="1"/>
  <c r="F881" i="1"/>
  <c r="B883" i="1"/>
  <c r="B882" i="1"/>
  <c r="B881" i="1"/>
  <c r="A883" i="1"/>
  <c r="A882" i="1"/>
  <c r="A881" i="1"/>
  <c r="B1185" i="4"/>
  <c r="B1184" i="4"/>
  <c r="B1183" i="4"/>
  <c r="I844" i="1"/>
  <c r="H844" i="1"/>
  <c r="G844" i="1"/>
  <c r="F844" i="1"/>
  <c r="B844" i="1"/>
  <c r="A844" i="1"/>
  <c r="B1151" i="4"/>
  <c r="I880" i="1"/>
  <c r="I879" i="1"/>
  <c r="I878" i="1"/>
  <c r="I877" i="1"/>
  <c r="H880" i="1"/>
  <c r="H879" i="1"/>
  <c r="H878" i="1"/>
  <c r="H877" i="1"/>
  <c r="G880" i="1"/>
  <c r="G879" i="1"/>
  <c r="G878" i="1"/>
  <c r="G877" i="1"/>
  <c r="F880" i="1"/>
  <c r="F879" i="1"/>
  <c r="F878" i="1"/>
  <c r="F877" i="1"/>
  <c r="B880" i="1"/>
  <c r="B879" i="1"/>
  <c r="B878" i="1"/>
  <c r="B877" i="1"/>
  <c r="A880" i="1"/>
  <c r="A879" i="1"/>
  <c r="A878" i="1"/>
  <c r="A877" i="1"/>
  <c r="I876" i="1"/>
  <c r="H876" i="1"/>
  <c r="G876" i="1"/>
  <c r="F876" i="1"/>
  <c r="B876" i="1"/>
  <c r="A876" i="1"/>
  <c r="B1182" i="4"/>
  <c r="B1181" i="4"/>
  <c r="B1180" i="4"/>
  <c r="B1179" i="4"/>
  <c r="B1178" i="4"/>
  <c r="I843" i="1"/>
  <c r="H843" i="1"/>
  <c r="G843" i="1"/>
  <c r="F843" i="1"/>
  <c r="B843" i="1"/>
  <c r="A843" i="1"/>
  <c r="B1150" i="4"/>
  <c r="I875" i="1"/>
  <c r="H875" i="1"/>
  <c r="G875" i="1"/>
  <c r="F875" i="1"/>
  <c r="B875" i="1"/>
  <c r="A875" i="1"/>
  <c r="B1177" i="4"/>
  <c r="B1176" i="4"/>
  <c r="I842" i="1"/>
  <c r="I841" i="1"/>
  <c r="H842" i="1"/>
  <c r="H841" i="1"/>
  <c r="G842" i="1"/>
  <c r="G841" i="1"/>
  <c r="F842" i="1"/>
  <c r="F841" i="1"/>
  <c r="B842" i="1"/>
  <c r="B841" i="1"/>
  <c r="A842" i="1"/>
  <c r="A841" i="1"/>
  <c r="B1175" i="4"/>
  <c r="B1149" i="4"/>
  <c r="B1148" i="4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I744" i="1"/>
  <c r="I743" i="1"/>
  <c r="I742" i="1"/>
  <c r="H744" i="1"/>
  <c r="H743" i="1"/>
  <c r="H742" i="1"/>
  <c r="G744" i="1"/>
  <c r="G743" i="1"/>
  <c r="G742" i="1"/>
  <c r="I741" i="1"/>
  <c r="H741" i="1"/>
  <c r="G741" i="1"/>
  <c r="F744" i="1"/>
  <c r="F743" i="1"/>
  <c r="F742" i="1"/>
  <c r="F741" i="1"/>
  <c r="B744" i="1"/>
  <c r="B743" i="1"/>
  <c r="B742" i="1"/>
  <c r="B741" i="1"/>
  <c r="A744" i="1"/>
  <c r="A743" i="1"/>
  <c r="A742" i="1"/>
  <c r="A741" i="1"/>
  <c r="I840" i="1"/>
  <c r="H840" i="1"/>
  <c r="G840" i="1"/>
  <c r="F840" i="1"/>
  <c r="B840" i="1"/>
  <c r="A840" i="1"/>
  <c r="B1174" i="4"/>
  <c r="B1173" i="4"/>
  <c r="B1172" i="4"/>
  <c r="B1171" i="4"/>
  <c r="B1170" i="4"/>
  <c r="B1169" i="4"/>
  <c r="I1198" i="4"/>
  <c r="I1195" i="4"/>
  <c r="D893" i="1" s="1"/>
  <c r="J893" i="1" s="1"/>
  <c r="I1194" i="4"/>
  <c r="D892" i="1" s="1"/>
  <c r="J892" i="1" s="1"/>
  <c r="I1193" i="4"/>
  <c r="D891" i="1" s="1"/>
  <c r="J891" i="1" s="1"/>
  <c r="I1192" i="4"/>
  <c r="D890" i="1" s="1"/>
  <c r="J890" i="1" s="1"/>
  <c r="I1191" i="4"/>
  <c r="D889" i="1" s="1"/>
  <c r="J889" i="1" s="1"/>
  <c r="I1190" i="4"/>
  <c r="D888" i="1" s="1"/>
  <c r="J888" i="1" s="1"/>
  <c r="I1189" i="4"/>
  <c r="D887" i="1" s="1"/>
  <c r="J887" i="1" s="1"/>
  <c r="I1188" i="4"/>
  <c r="D886" i="1" s="1"/>
  <c r="J886" i="1" s="1"/>
  <c r="I1187" i="4"/>
  <c r="D885" i="1" s="1"/>
  <c r="J885" i="1" s="1"/>
  <c r="I1186" i="4"/>
  <c r="D884" i="1" s="1"/>
  <c r="J884" i="1" s="1"/>
  <c r="I1185" i="4"/>
  <c r="D883" i="1" s="1"/>
  <c r="J883" i="1" s="1"/>
  <c r="I1184" i="4"/>
  <c r="D882" i="1" s="1"/>
  <c r="J882" i="1" s="1"/>
  <c r="I1183" i="4"/>
  <c r="D881" i="1" s="1"/>
  <c r="J881" i="1" s="1"/>
  <c r="I1182" i="4"/>
  <c r="D880" i="1" s="1"/>
  <c r="J880" i="1" s="1"/>
  <c r="I1181" i="4"/>
  <c r="D879" i="1" s="1"/>
  <c r="J879" i="1" s="1"/>
  <c r="I1180" i="4"/>
  <c r="D878" i="1" s="1"/>
  <c r="J878" i="1" s="1"/>
  <c r="I1179" i="4"/>
  <c r="D877" i="1" s="1"/>
  <c r="J877" i="1" s="1"/>
  <c r="I1178" i="4"/>
  <c r="D876" i="1" s="1"/>
  <c r="J876" i="1" s="1"/>
  <c r="I1177" i="4"/>
  <c r="D875" i="1" s="1"/>
  <c r="J875" i="1" s="1"/>
  <c r="I1176" i="4"/>
  <c r="D874" i="1" s="1"/>
  <c r="J874" i="1" s="1"/>
  <c r="I1175" i="4"/>
  <c r="D873" i="1" s="1"/>
  <c r="J873" i="1" s="1"/>
  <c r="I1174" i="4"/>
  <c r="D872" i="1" s="1"/>
  <c r="J872" i="1" s="1"/>
  <c r="I1173" i="4"/>
  <c r="D871" i="1" s="1"/>
  <c r="J871" i="1" s="1"/>
  <c r="I1172" i="4"/>
  <c r="D870" i="1" s="1"/>
  <c r="J870" i="1" s="1"/>
  <c r="I1171" i="4"/>
  <c r="D869" i="1" s="1"/>
  <c r="J869" i="1" s="1"/>
  <c r="I1170" i="4"/>
  <c r="D868" i="1" s="1"/>
  <c r="J868" i="1" s="1"/>
  <c r="I1169" i="4"/>
  <c r="D867" i="1" s="1"/>
  <c r="J867" i="1" s="1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147" i="4"/>
  <c r="I740" i="1"/>
  <c r="H740" i="1"/>
  <c r="G740" i="1"/>
  <c r="F740" i="1"/>
  <c r="B740" i="1"/>
  <c r="A740" i="1"/>
  <c r="H839" i="1"/>
  <c r="H838" i="1"/>
  <c r="H837" i="1"/>
  <c r="H836" i="1"/>
  <c r="H835" i="1"/>
  <c r="G839" i="1"/>
  <c r="G838" i="1"/>
  <c r="G837" i="1"/>
  <c r="G836" i="1"/>
  <c r="G835" i="1"/>
  <c r="I839" i="1"/>
  <c r="I838" i="1"/>
  <c r="I837" i="1"/>
  <c r="I836" i="1"/>
  <c r="I835" i="1"/>
  <c r="F839" i="1"/>
  <c r="F838" i="1"/>
  <c r="F837" i="1"/>
  <c r="F836" i="1"/>
  <c r="F835" i="1"/>
  <c r="B839" i="1"/>
  <c r="B838" i="1"/>
  <c r="B837" i="1"/>
  <c r="B836" i="1"/>
  <c r="B835" i="1"/>
  <c r="A839" i="1"/>
  <c r="A838" i="1"/>
  <c r="A837" i="1"/>
  <c r="A836" i="1"/>
  <c r="A835" i="1"/>
  <c r="B1096" i="4"/>
  <c r="B1146" i="4"/>
  <c r="B1145" i="4"/>
  <c r="B1144" i="4"/>
  <c r="B1143" i="4"/>
  <c r="B1142" i="4"/>
  <c r="J1634" i="1" l="1"/>
  <c r="D1686" i="1"/>
  <c r="O163" i="1"/>
  <c r="D1530" i="1"/>
  <c r="D1634" i="1"/>
  <c r="D1790" i="1"/>
  <c r="J1530" i="1"/>
  <c r="D1193" i="1"/>
  <c r="J1193" i="1" s="1"/>
  <c r="D1426" i="1"/>
  <c r="J1478" i="1"/>
  <c r="J1790" i="1"/>
  <c r="D1478" i="1"/>
  <c r="D1738" i="1"/>
  <c r="J1549" i="1"/>
  <c r="J1582" i="1" s="1"/>
  <c r="D1582" i="1"/>
  <c r="D1189" i="1"/>
  <c r="J1189" i="1" s="1"/>
  <c r="D1196" i="1"/>
  <c r="J1196" i="1" s="1"/>
  <c r="D1051" i="1"/>
  <c r="J1051" i="1" s="1"/>
  <c r="J1738" i="1"/>
  <c r="D1293" i="1"/>
  <c r="J1293" i="1" s="1"/>
  <c r="D1296" i="1"/>
  <c r="J1296" i="1" s="1"/>
  <c r="D1070" i="1"/>
  <c r="J1070" i="1" s="1"/>
  <c r="D1002" i="1"/>
  <c r="J1002" i="1" s="1"/>
  <c r="J1374" i="1"/>
  <c r="D983" i="1"/>
  <c r="J983" i="1" s="1"/>
  <c r="D1019" i="1"/>
  <c r="J1019" i="1" s="1"/>
  <c r="D999" i="1"/>
  <c r="J999" i="1" s="1"/>
  <c r="D950" i="1"/>
  <c r="J950" i="1" s="1"/>
  <c r="D1022" i="1"/>
  <c r="J1022" i="1" s="1"/>
  <c r="D1374" i="1"/>
  <c r="D972" i="1"/>
  <c r="J972" i="1" s="1"/>
  <c r="J1426" i="1"/>
  <c r="D1036" i="1"/>
  <c r="J1036" i="1" s="1"/>
  <c r="D1076" i="1"/>
  <c r="J1076" i="1" s="1"/>
  <c r="D1032" i="1"/>
  <c r="J1032" i="1" s="1"/>
  <c r="D947" i="1"/>
  <c r="J947" i="1" s="1"/>
  <c r="D1291" i="1"/>
  <c r="D1295" i="1"/>
  <c r="J1295" i="1" s="1"/>
  <c r="D1297" i="1"/>
  <c r="J1297" i="1" s="1"/>
  <c r="D1264" i="1"/>
  <c r="J1264" i="1" s="1"/>
  <c r="D949" i="1"/>
  <c r="J949" i="1" s="1"/>
  <c r="D1290" i="1"/>
  <c r="J1290" i="1" s="1"/>
  <c r="D1289" i="1"/>
  <c r="J1289" i="1" s="1"/>
  <c r="D1288" i="1"/>
  <c r="J1288" i="1" s="1"/>
  <c r="D1287" i="1"/>
  <c r="J1287" i="1" s="1"/>
  <c r="D1266" i="1"/>
  <c r="J1266" i="1" s="1"/>
  <c r="D1265" i="1"/>
  <c r="J1265" i="1" s="1"/>
  <c r="D1280" i="1"/>
  <c r="J1280" i="1" s="1"/>
  <c r="D1284" i="1"/>
  <c r="J1284" i="1" s="1"/>
  <c r="D1283" i="1"/>
  <c r="J1283" i="1" s="1"/>
  <c r="D1285" i="1"/>
  <c r="J1285" i="1" s="1"/>
  <c r="D916" i="1"/>
  <c r="J916" i="1" s="1"/>
  <c r="D929" i="1"/>
  <c r="J929" i="1" s="1"/>
  <c r="D926" i="1"/>
  <c r="J926" i="1" s="1"/>
  <c r="D946" i="1"/>
  <c r="J946" i="1" s="1"/>
  <c r="D1282" i="1"/>
  <c r="J1282" i="1" s="1"/>
  <c r="D1281" i="1"/>
  <c r="J1281" i="1" s="1"/>
  <c r="D1278" i="1"/>
  <c r="D1268" i="1"/>
  <c r="J1268" i="1" s="1"/>
  <c r="D1262" i="1"/>
  <c r="J1262" i="1" s="1"/>
  <c r="D1248" i="1"/>
  <c r="J1248" i="1" s="1"/>
  <c r="D1244" i="1"/>
  <c r="J1244" i="1" s="1"/>
  <c r="D1239" i="1"/>
  <c r="J1239" i="1" s="1"/>
  <c r="D1235" i="1"/>
  <c r="J1235" i="1" s="1"/>
  <c r="D1231" i="1"/>
  <c r="J1231" i="1" s="1"/>
  <c r="D1214" i="1"/>
  <c r="J1214" i="1" s="1"/>
  <c r="D1197" i="1"/>
  <c r="J1197" i="1" s="1"/>
  <c r="D1186" i="1"/>
  <c r="J1186" i="1" s="1"/>
  <c r="D1180" i="1"/>
  <c r="J1180" i="1" s="1"/>
  <c r="D1122" i="1"/>
  <c r="J1122" i="1" s="1"/>
  <c r="D1109" i="1"/>
  <c r="J1109" i="1" s="1"/>
  <c r="D1105" i="1"/>
  <c r="J1105" i="1" s="1"/>
  <c r="D1100" i="1"/>
  <c r="J1100" i="1" s="1"/>
  <c r="D1095" i="1"/>
  <c r="J1095" i="1" s="1"/>
  <c r="D1086" i="1"/>
  <c r="J1086" i="1" s="1"/>
  <c r="D1042" i="1"/>
  <c r="J1042" i="1" s="1"/>
  <c r="D1029" i="1"/>
  <c r="J1029" i="1" s="1"/>
  <c r="D952" i="1"/>
  <c r="J952" i="1" s="1"/>
  <c r="D951" i="1"/>
  <c r="J951" i="1" s="1"/>
  <c r="D945" i="1"/>
  <c r="J945" i="1" s="1"/>
  <c r="D1000" i="1"/>
  <c r="J1000" i="1" s="1"/>
  <c r="D970" i="1"/>
  <c r="J970" i="1" s="1"/>
  <c r="D968" i="1"/>
  <c r="J968" i="1" s="1"/>
  <c r="D966" i="1"/>
  <c r="J966" i="1" s="1"/>
  <c r="D964" i="1"/>
  <c r="J964" i="1" s="1"/>
  <c r="I1708" i="4"/>
  <c r="D1256" i="1"/>
  <c r="J1256" i="1" s="1"/>
  <c r="D1257" i="1"/>
  <c r="J1257" i="1" s="1"/>
  <c r="D1254" i="1"/>
  <c r="J1254" i="1" s="1"/>
  <c r="D1258" i="1"/>
  <c r="J1258" i="1" s="1"/>
  <c r="I1670" i="4"/>
  <c r="D1238" i="1"/>
  <c r="J1238" i="1" s="1"/>
  <c r="D1194" i="1"/>
  <c r="J1194" i="1" s="1"/>
  <c r="D1208" i="1"/>
  <c r="J1208" i="1" s="1"/>
  <c r="D1185" i="1"/>
  <c r="J1185" i="1" s="1"/>
  <c r="D1192" i="1"/>
  <c r="J1192" i="1" s="1"/>
  <c r="D1217" i="1"/>
  <c r="J1217" i="1" s="1"/>
  <c r="D1198" i="1"/>
  <c r="J1198" i="1" s="1"/>
  <c r="D1181" i="1"/>
  <c r="J1181" i="1" s="1"/>
  <c r="I1632" i="4"/>
  <c r="I1594" i="4"/>
  <c r="D1177" i="1"/>
  <c r="J1177" i="1" s="1"/>
  <c r="D1173" i="1"/>
  <c r="J1173" i="1" s="1"/>
  <c r="D1164" i="1"/>
  <c r="J1164" i="1" s="1"/>
  <c r="D1162" i="1"/>
  <c r="J1162" i="1" s="1"/>
  <c r="D1159" i="1"/>
  <c r="J1159" i="1" s="1"/>
  <c r="D1161" i="1"/>
  <c r="J1161" i="1" s="1"/>
  <c r="D1174" i="1"/>
  <c r="J1174" i="1" s="1"/>
  <c r="D1152" i="1"/>
  <c r="J1152" i="1" s="1"/>
  <c r="D1146" i="1"/>
  <c r="J1146" i="1" s="1"/>
  <c r="D1142" i="1"/>
  <c r="J1142" i="1" s="1"/>
  <c r="D1141" i="1"/>
  <c r="J1141" i="1" s="1"/>
  <c r="D1163" i="1"/>
  <c r="J1163" i="1" s="1"/>
  <c r="D1154" i="1"/>
  <c r="J1154" i="1" s="1"/>
  <c r="D1145" i="1"/>
  <c r="J1145" i="1" s="1"/>
  <c r="D1144" i="1"/>
  <c r="J1144" i="1" s="1"/>
  <c r="D1149" i="1"/>
  <c r="J1149" i="1" s="1"/>
  <c r="D1147" i="1"/>
  <c r="J1147" i="1" s="1"/>
  <c r="I1556" i="4"/>
  <c r="D1140" i="1"/>
  <c r="J1140" i="1" s="1"/>
  <c r="D1139" i="1"/>
  <c r="J1139" i="1" s="1"/>
  <c r="D1137" i="1"/>
  <c r="J1137" i="1" s="1"/>
  <c r="D1136" i="1"/>
  <c r="J1136" i="1" s="1"/>
  <c r="D1135" i="1"/>
  <c r="J1135" i="1" s="1"/>
  <c r="D1134" i="1"/>
  <c r="J1134" i="1" s="1"/>
  <c r="D1133" i="1"/>
  <c r="J1133" i="1" s="1"/>
  <c r="D1131" i="1"/>
  <c r="J1131" i="1" s="1"/>
  <c r="D1130" i="1"/>
  <c r="J1130" i="1" s="1"/>
  <c r="D1129" i="1"/>
  <c r="J1129" i="1" s="1"/>
  <c r="D1127" i="1"/>
  <c r="J1127" i="1" s="1"/>
  <c r="D1126" i="1"/>
  <c r="J1126" i="1" s="1"/>
  <c r="D1125" i="1"/>
  <c r="J1125" i="1" s="1"/>
  <c r="U372" i="1"/>
  <c r="O372" i="1"/>
  <c r="D1101" i="1"/>
  <c r="J1101" i="1" s="1"/>
  <c r="D1091" i="1"/>
  <c r="J1091" i="1" s="1"/>
  <c r="D1108" i="1"/>
  <c r="J1108" i="1" s="1"/>
  <c r="D1078" i="1"/>
  <c r="J1078" i="1" s="1"/>
  <c r="D1111" i="1"/>
  <c r="J1111" i="1" s="1"/>
  <c r="D1097" i="1"/>
  <c r="J1097" i="1" s="1"/>
  <c r="D1096" i="1"/>
  <c r="J1096" i="1" s="1"/>
  <c r="D1102" i="1"/>
  <c r="J1102" i="1" s="1"/>
  <c r="D1103" i="1"/>
  <c r="J1103" i="1" s="1"/>
  <c r="D1106" i="1"/>
  <c r="J1106" i="1" s="1"/>
  <c r="D1104" i="1"/>
  <c r="J1104" i="1" s="1"/>
  <c r="D1093" i="1"/>
  <c r="J1093" i="1" s="1"/>
  <c r="D1107" i="1"/>
  <c r="J1107" i="1" s="1"/>
  <c r="D1088" i="1"/>
  <c r="J1088" i="1" s="1"/>
  <c r="D1087" i="1"/>
  <c r="J1087" i="1" s="1"/>
  <c r="D1110" i="1"/>
  <c r="J1110" i="1" s="1"/>
  <c r="D1124" i="1"/>
  <c r="J1124" i="1" s="1"/>
  <c r="D1090" i="1"/>
  <c r="J1090" i="1" s="1"/>
  <c r="D1089" i="1"/>
  <c r="J1089" i="1" s="1"/>
  <c r="D1112" i="1"/>
  <c r="J1112" i="1" s="1"/>
  <c r="I1518" i="4"/>
  <c r="D1094" i="1"/>
  <c r="J1094" i="1" s="1"/>
  <c r="D1084" i="1"/>
  <c r="J1084" i="1" s="1"/>
  <c r="D1083" i="1"/>
  <c r="J1083" i="1" s="1"/>
  <c r="I1479" i="4"/>
  <c r="D1082" i="1"/>
  <c r="J1082" i="1" s="1"/>
  <c r="D1077" i="1"/>
  <c r="J1077" i="1" s="1"/>
  <c r="D1073" i="1"/>
  <c r="J1073" i="1" s="1"/>
  <c r="D1069" i="1"/>
  <c r="J1069" i="1" s="1"/>
  <c r="D1075" i="1"/>
  <c r="J1075" i="1" s="1"/>
  <c r="D1074" i="1"/>
  <c r="J1074" i="1" s="1"/>
  <c r="D1055" i="1"/>
  <c r="J1055" i="1" s="1"/>
  <c r="I1440" i="4"/>
  <c r="D1048" i="1"/>
  <c r="J1048" i="1" s="1"/>
  <c r="D1035" i="1"/>
  <c r="J1035" i="1" s="1"/>
  <c r="I1401" i="4"/>
  <c r="D1018" i="1"/>
  <c r="J1018" i="1" s="1"/>
  <c r="D1021" i="1"/>
  <c r="J1021" i="1" s="1"/>
  <c r="D1008" i="1"/>
  <c r="J1008" i="1" s="1"/>
  <c r="I1323" i="4"/>
  <c r="D937" i="1"/>
  <c r="J937" i="1" s="1"/>
  <c r="D934" i="1"/>
  <c r="J934" i="1" s="1"/>
  <c r="D935" i="1"/>
  <c r="J935" i="1" s="1"/>
  <c r="D936" i="1"/>
  <c r="J936" i="1" s="1"/>
  <c r="D932" i="1"/>
  <c r="J932" i="1" s="1"/>
  <c r="D998" i="1"/>
  <c r="J998" i="1" s="1"/>
  <c r="D1004" i="1"/>
  <c r="J1004" i="1" s="1"/>
  <c r="D1003" i="1"/>
  <c r="J1003" i="1" s="1"/>
  <c r="D1001" i="1"/>
  <c r="J1001" i="1" s="1"/>
  <c r="D997" i="1"/>
  <c r="J997" i="1" s="1"/>
  <c r="D996" i="1"/>
  <c r="J996" i="1" s="1"/>
  <c r="D980" i="1"/>
  <c r="J980" i="1" s="1"/>
  <c r="I1362" i="4"/>
  <c r="D979" i="1"/>
  <c r="J979" i="1" s="1"/>
  <c r="D978" i="1"/>
  <c r="J978" i="1" s="1"/>
  <c r="D967" i="1"/>
  <c r="J967" i="1" s="1"/>
  <c r="D965" i="1"/>
  <c r="J965" i="1" s="1"/>
  <c r="D918" i="1"/>
  <c r="J918" i="1" s="1"/>
  <c r="I1196" i="4"/>
  <c r="D899" i="1"/>
  <c r="J899" i="1" s="1"/>
  <c r="D848" i="1"/>
  <c r="I1238" i="4"/>
  <c r="I1280" i="4"/>
  <c r="D894" i="1"/>
  <c r="J894" i="1" s="1"/>
  <c r="I834" i="1"/>
  <c r="H834" i="1"/>
  <c r="G834" i="1"/>
  <c r="F834" i="1"/>
  <c r="B834" i="1"/>
  <c r="A834" i="1"/>
  <c r="B1141" i="4"/>
  <c r="B1140" i="4"/>
  <c r="I998" i="4"/>
  <c r="I827" i="1"/>
  <c r="I833" i="1"/>
  <c r="I832" i="1"/>
  <c r="I831" i="1"/>
  <c r="I830" i="1"/>
  <c r="I829" i="1"/>
  <c r="I828" i="1"/>
  <c r="I826" i="1"/>
  <c r="H833" i="1"/>
  <c r="H832" i="1"/>
  <c r="H831" i="1"/>
  <c r="H830" i="1"/>
  <c r="H829" i="1"/>
  <c r="H828" i="1"/>
  <c r="H827" i="1"/>
  <c r="H826" i="1"/>
  <c r="G833" i="1"/>
  <c r="G832" i="1"/>
  <c r="G831" i="1"/>
  <c r="G830" i="1"/>
  <c r="G829" i="1"/>
  <c r="G828" i="1"/>
  <c r="G827" i="1"/>
  <c r="G826" i="1"/>
  <c r="F833" i="1"/>
  <c r="F832" i="1"/>
  <c r="F831" i="1"/>
  <c r="F830" i="1"/>
  <c r="F829" i="1"/>
  <c r="F828" i="1"/>
  <c r="F827" i="1"/>
  <c r="F826" i="1"/>
  <c r="B833" i="1"/>
  <c r="B832" i="1"/>
  <c r="B831" i="1"/>
  <c r="B830" i="1"/>
  <c r="B829" i="1"/>
  <c r="B828" i="1"/>
  <c r="B827" i="1"/>
  <c r="B826" i="1"/>
  <c r="A833" i="1"/>
  <c r="A832" i="1"/>
  <c r="A831" i="1"/>
  <c r="A830" i="1"/>
  <c r="A829" i="1"/>
  <c r="A828" i="1"/>
  <c r="A827" i="1"/>
  <c r="A826" i="1"/>
  <c r="B1139" i="4"/>
  <c r="B1138" i="4"/>
  <c r="B1137" i="4"/>
  <c r="B1136" i="4"/>
  <c r="B1135" i="4"/>
  <c r="B1134" i="4"/>
  <c r="B1133" i="4"/>
  <c r="B1132" i="4"/>
  <c r="I739" i="1"/>
  <c r="I738" i="1"/>
  <c r="H739" i="1"/>
  <c r="H738" i="1"/>
  <c r="G739" i="1"/>
  <c r="G738" i="1"/>
  <c r="F739" i="1"/>
  <c r="F738" i="1"/>
  <c r="B739" i="1"/>
  <c r="B738" i="1"/>
  <c r="A739" i="1"/>
  <c r="A738" i="1"/>
  <c r="B1095" i="4"/>
  <c r="B1094" i="4"/>
  <c r="B1131" i="4"/>
  <c r="I825" i="1"/>
  <c r="I824" i="1"/>
  <c r="H825" i="1"/>
  <c r="H824" i="1"/>
  <c r="G825" i="1"/>
  <c r="G824" i="1"/>
  <c r="F825" i="1"/>
  <c r="F824" i="1"/>
  <c r="B825" i="1"/>
  <c r="B824" i="1"/>
  <c r="A825" i="1"/>
  <c r="A824" i="1"/>
  <c r="B1130" i="4"/>
  <c r="B1129" i="4"/>
  <c r="B1128" i="4"/>
  <c r="I823" i="1"/>
  <c r="I822" i="1"/>
  <c r="I821" i="1"/>
  <c r="H823" i="1"/>
  <c r="H822" i="1"/>
  <c r="H821" i="1"/>
  <c r="G823" i="1"/>
  <c r="G822" i="1"/>
  <c r="G821" i="1"/>
  <c r="F823" i="1"/>
  <c r="F822" i="1"/>
  <c r="F821" i="1"/>
  <c r="B823" i="1"/>
  <c r="B822" i="1"/>
  <c r="B821" i="1"/>
  <c r="A823" i="1"/>
  <c r="A822" i="1"/>
  <c r="A821" i="1"/>
  <c r="B1127" i="4"/>
  <c r="B1126" i="4"/>
  <c r="I1155" i="4"/>
  <c r="H1153" i="4"/>
  <c r="H1157" i="4" s="1"/>
  <c r="G1153" i="4"/>
  <c r="G1157" i="4" s="1"/>
  <c r="F1153" i="4"/>
  <c r="F1157" i="4" s="1"/>
  <c r="E1153" i="4"/>
  <c r="E1157" i="4" s="1"/>
  <c r="D1153" i="4"/>
  <c r="D1157" i="4" s="1"/>
  <c r="C1153" i="4"/>
  <c r="C1157" i="4" s="1"/>
  <c r="I1152" i="4"/>
  <c r="I1151" i="4"/>
  <c r="I1150" i="4"/>
  <c r="I1149" i="4"/>
  <c r="I1148" i="4"/>
  <c r="I1147" i="4"/>
  <c r="I1146" i="4"/>
  <c r="I1145" i="4"/>
  <c r="I1144" i="4"/>
  <c r="I1143" i="4"/>
  <c r="I1142" i="4"/>
  <c r="I1141" i="4"/>
  <c r="I1140" i="4"/>
  <c r="I1139" i="4"/>
  <c r="I1138" i="4"/>
  <c r="I1137" i="4"/>
  <c r="I1136" i="4"/>
  <c r="I1135" i="4"/>
  <c r="I1134" i="4"/>
  <c r="I1133" i="4"/>
  <c r="I1132" i="4"/>
  <c r="I1131" i="4"/>
  <c r="I1130" i="4"/>
  <c r="I1129" i="4"/>
  <c r="D822" i="1" s="1"/>
  <c r="J822" i="1" s="1"/>
  <c r="I1128" i="4"/>
  <c r="I1127" i="4"/>
  <c r="I1126" i="4"/>
  <c r="B1066" i="4"/>
  <c r="B1065" i="4"/>
  <c r="B1064" i="4"/>
  <c r="I820" i="1"/>
  <c r="I819" i="1"/>
  <c r="I818" i="1"/>
  <c r="I817" i="1"/>
  <c r="I816" i="1"/>
  <c r="H820" i="1"/>
  <c r="H819" i="1"/>
  <c r="H818" i="1"/>
  <c r="H817" i="1"/>
  <c r="H816" i="1"/>
  <c r="G820" i="1"/>
  <c r="G819" i="1"/>
  <c r="G818" i="1"/>
  <c r="G817" i="1"/>
  <c r="G816" i="1"/>
  <c r="F820" i="1"/>
  <c r="F819" i="1"/>
  <c r="F818" i="1"/>
  <c r="F817" i="1"/>
  <c r="F816" i="1"/>
  <c r="B820" i="1"/>
  <c r="B819" i="1"/>
  <c r="B818" i="1"/>
  <c r="B817" i="1"/>
  <c r="B816" i="1"/>
  <c r="A820" i="1"/>
  <c r="A819" i="1"/>
  <c r="A818" i="1"/>
  <c r="A817" i="1"/>
  <c r="A816" i="1"/>
  <c r="B1093" i="4"/>
  <c r="B1092" i="4"/>
  <c r="B1091" i="4"/>
  <c r="B1090" i="4"/>
  <c r="B1089" i="4"/>
  <c r="B1088" i="4"/>
  <c r="B1087" i="4"/>
  <c r="B1086" i="4"/>
  <c r="B1085" i="4"/>
  <c r="B1084" i="4"/>
  <c r="I737" i="1"/>
  <c r="I736" i="1"/>
  <c r="I735" i="1"/>
  <c r="I734" i="1"/>
  <c r="I733" i="1"/>
  <c r="I732" i="1"/>
  <c r="I731" i="1"/>
  <c r="I730" i="1"/>
  <c r="I729" i="1"/>
  <c r="H737" i="1"/>
  <c r="H736" i="1"/>
  <c r="H735" i="1"/>
  <c r="H734" i="1"/>
  <c r="H733" i="1"/>
  <c r="H732" i="1"/>
  <c r="H731" i="1"/>
  <c r="H730" i="1"/>
  <c r="H729" i="1"/>
  <c r="G737" i="1"/>
  <c r="G736" i="1"/>
  <c r="G735" i="1"/>
  <c r="G734" i="1"/>
  <c r="G733" i="1"/>
  <c r="G732" i="1"/>
  <c r="G731" i="1"/>
  <c r="G730" i="1"/>
  <c r="G729" i="1"/>
  <c r="F737" i="1"/>
  <c r="F736" i="1"/>
  <c r="F735" i="1"/>
  <c r="F734" i="1"/>
  <c r="F733" i="1"/>
  <c r="F732" i="1"/>
  <c r="F731" i="1"/>
  <c r="F730" i="1"/>
  <c r="F729" i="1"/>
  <c r="B737" i="1"/>
  <c r="B736" i="1"/>
  <c r="B735" i="1"/>
  <c r="B734" i="1"/>
  <c r="B733" i="1"/>
  <c r="B732" i="1"/>
  <c r="B731" i="1"/>
  <c r="B730" i="1"/>
  <c r="B729" i="1"/>
  <c r="B728" i="1"/>
  <c r="A737" i="1"/>
  <c r="A736" i="1"/>
  <c r="A735" i="1"/>
  <c r="A734" i="1"/>
  <c r="A733" i="1"/>
  <c r="A732" i="1"/>
  <c r="A731" i="1"/>
  <c r="A730" i="1"/>
  <c r="A729" i="1"/>
  <c r="B1063" i="4"/>
  <c r="B1062" i="4"/>
  <c r="B1061" i="4"/>
  <c r="B1060" i="4"/>
  <c r="B1083" i="4"/>
  <c r="I1112" i="4"/>
  <c r="H1110" i="4"/>
  <c r="H1114" i="4" s="1"/>
  <c r="G1110" i="4"/>
  <c r="G1114" i="4" s="1"/>
  <c r="F1110" i="4"/>
  <c r="F1114" i="4" s="1"/>
  <c r="E1110" i="4"/>
  <c r="E1114" i="4" s="1"/>
  <c r="D1110" i="4"/>
  <c r="D1114" i="4" s="1"/>
  <c r="C1110" i="4"/>
  <c r="C1114" i="4" s="1"/>
  <c r="I1109" i="4"/>
  <c r="I1108" i="4"/>
  <c r="I1107" i="4"/>
  <c r="I1106" i="4"/>
  <c r="O37" i="1" s="1"/>
  <c r="U37" i="1" s="1"/>
  <c r="I1105" i="4"/>
  <c r="I1104" i="4"/>
  <c r="I1103" i="4"/>
  <c r="I1102" i="4"/>
  <c r="D859" i="1" s="1"/>
  <c r="J859" i="1" s="1"/>
  <c r="I1101" i="4"/>
  <c r="D858" i="1" s="1"/>
  <c r="J858" i="1" s="1"/>
  <c r="I1100" i="4"/>
  <c r="I1099" i="4"/>
  <c r="I1098" i="4"/>
  <c r="I1097" i="4"/>
  <c r="I1096" i="4"/>
  <c r="I1095" i="4"/>
  <c r="D739" i="1" s="1"/>
  <c r="J739" i="1" s="1"/>
  <c r="I1094" i="4"/>
  <c r="I1093" i="4"/>
  <c r="D737" i="1" s="1"/>
  <c r="J737" i="1" s="1"/>
  <c r="I1092" i="4"/>
  <c r="I1091" i="4"/>
  <c r="I1090" i="4"/>
  <c r="I1089" i="4"/>
  <c r="D733" i="1" s="1"/>
  <c r="J733" i="1" s="1"/>
  <c r="I1088" i="4"/>
  <c r="D732" i="1" s="1"/>
  <c r="J732" i="1" s="1"/>
  <c r="I1087" i="4"/>
  <c r="D731" i="1" s="1"/>
  <c r="J731" i="1" s="1"/>
  <c r="I1086" i="4"/>
  <c r="D730" i="1" s="1"/>
  <c r="J730" i="1" s="1"/>
  <c r="I1085" i="4"/>
  <c r="D729" i="1" s="1"/>
  <c r="J729" i="1" s="1"/>
  <c r="I1084" i="4"/>
  <c r="I1083" i="4"/>
  <c r="B980" i="4"/>
  <c r="B979" i="4"/>
  <c r="I814" i="1"/>
  <c r="I813" i="1"/>
  <c r="I812" i="1"/>
  <c r="I815" i="1"/>
  <c r="H815" i="1"/>
  <c r="H814" i="1"/>
  <c r="H813" i="1"/>
  <c r="G815" i="1"/>
  <c r="G814" i="1"/>
  <c r="G813" i="1"/>
  <c r="F815" i="1"/>
  <c r="F814" i="1"/>
  <c r="F813" i="1"/>
  <c r="B815" i="1"/>
  <c r="B814" i="1"/>
  <c r="B813" i="1"/>
  <c r="A815" i="1"/>
  <c r="A814" i="1"/>
  <c r="A813" i="1"/>
  <c r="I728" i="1"/>
  <c r="I727" i="1"/>
  <c r="I726" i="1"/>
  <c r="H728" i="1"/>
  <c r="H727" i="1"/>
  <c r="H726" i="1"/>
  <c r="H725" i="1"/>
  <c r="G728" i="1"/>
  <c r="G727" i="1"/>
  <c r="G726" i="1"/>
  <c r="G725" i="1"/>
  <c r="F728" i="1"/>
  <c r="F727" i="1"/>
  <c r="F726" i="1"/>
  <c r="B727" i="1"/>
  <c r="B726" i="1"/>
  <c r="A728" i="1"/>
  <c r="A727" i="1"/>
  <c r="A726" i="1"/>
  <c r="I811" i="1"/>
  <c r="I810" i="1"/>
  <c r="H812" i="1"/>
  <c r="H811" i="1"/>
  <c r="H810" i="1"/>
  <c r="G812" i="1"/>
  <c r="G811" i="1"/>
  <c r="G810" i="1"/>
  <c r="F812" i="1"/>
  <c r="F811" i="1"/>
  <c r="F810" i="1"/>
  <c r="B812" i="1"/>
  <c r="B811" i="1"/>
  <c r="B810" i="1"/>
  <c r="A812" i="1"/>
  <c r="A811" i="1"/>
  <c r="A810" i="1"/>
  <c r="I725" i="1"/>
  <c r="I724" i="1"/>
  <c r="I723" i="1"/>
  <c r="H724" i="1"/>
  <c r="H723" i="1"/>
  <c r="G724" i="1"/>
  <c r="G723" i="1"/>
  <c r="F725" i="1"/>
  <c r="F724" i="1"/>
  <c r="F723" i="1"/>
  <c r="B725" i="1"/>
  <c r="B724" i="1"/>
  <c r="B723" i="1"/>
  <c r="A725" i="1"/>
  <c r="A724" i="1"/>
  <c r="A723" i="1"/>
  <c r="B1059" i="4"/>
  <c r="B1058" i="4"/>
  <c r="B1057" i="4"/>
  <c r="B1056" i="4"/>
  <c r="B978" i="4"/>
  <c r="B977" i="4"/>
  <c r="I809" i="1"/>
  <c r="I808" i="1"/>
  <c r="I807" i="1"/>
  <c r="I806" i="1"/>
  <c r="H809" i="1"/>
  <c r="H808" i="1"/>
  <c r="H807" i="1"/>
  <c r="H806" i="1"/>
  <c r="G809" i="1"/>
  <c r="G808" i="1"/>
  <c r="G807" i="1"/>
  <c r="G806" i="1"/>
  <c r="F809" i="1"/>
  <c r="F808" i="1"/>
  <c r="F807" i="1"/>
  <c r="F806" i="1"/>
  <c r="B809" i="1"/>
  <c r="B808" i="1"/>
  <c r="B807" i="1"/>
  <c r="B806" i="1"/>
  <c r="A809" i="1"/>
  <c r="A808" i="1"/>
  <c r="A807" i="1"/>
  <c r="A806" i="1"/>
  <c r="I805" i="1"/>
  <c r="H805" i="1"/>
  <c r="G805" i="1"/>
  <c r="F805" i="1"/>
  <c r="B805" i="1"/>
  <c r="A805" i="1"/>
  <c r="J849" i="1"/>
  <c r="J848" i="1"/>
  <c r="J847" i="1"/>
  <c r="J846" i="1"/>
  <c r="I797" i="1"/>
  <c r="I796" i="1"/>
  <c r="I795" i="1"/>
  <c r="I794" i="1"/>
  <c r="I793" i="1"/>
  <c r="I792" i="1"/>
  <c r="I791" i="1"/>
  <c r="I790" i="1"/>
  <c r="I789" i="1"/>
  <c r="H797" i="1"/>
  <c r="H796" i="1"/>
  <c r="H795" i="1"/>
  <c r="H794" i="1"/>
  <c r="H793" i="1"/>
  <c r="H792" i="1"/>
  <c r="H791" i="1"/>
  <c r="H790" i="1"/>
  <c r="H789" i="1"/>
  <c r="G797" i="1"/>
  <c r="G796" i="1"/>
  <c r="G795" i="1"/>
  <c r="G794" i="1"/>
  <c r="G793" i="1"/>
  <c r="G792" i="1"/>
  <c r="G791" i="1"/>
  <c r="G790" i="1"/>
  <c r="G789" i="1"/>
  <c r="F797" i="1"/>
  <c r="F796" i="1"/>
  <c r="F795" i="1"/>
  <c r="F794" i="1"/>
  <c r="F793" i="1"/>
  <c r="F792" i="1"/>
  <c r="F791" i="1"/>
  <c r="F790" i="1"/>
  <c r="F789" i="1"/>
  <c r="B797" i="1"/>
  <c r="B796" i="1"/>
  <c r="B795" i="1"/>
  <c r="B794" i="1"/>
  <c r="B793" i="1"/>
  <c r="B792" i="1"/>
  <c r="B791" i="1"/>
  <c r="B790" i="1"/>
  <c r="B789" i="1"/>
  <c r="A797" i="1"/>
  <c r="A796" i="1"/>
  <c r="A795" i="1"/>
  <c r="A794" i="1"/>
  <c r="A793" i="1"/>
  <c r="A792" i="1"/>
  <c r="A791" i="1"/>
  <c r="A790" i="1"/>
  <c r="A789" i="1"/>
  <c r="I722" i="1"/>
  <c r="H722" i="1"/>
  <c r="G722" i="1"/>
  <c r="F722" i="1"/>
  <c r="B722" i="1"/>
  <c r="A722" i="1"/>
  <c r="I721" i="1"/>
  <c r="H721" i="1"/>
  <c r="G721" i="1"/>
  <c r="F721" i="1"/>
  <c r="B721" i="1"/>
  <c r="A721" i="1"/>
  <c r="I720" i="1"/>
  <c r="H720" i="1"/>
  <c r="G720" i="1"/>
  <c r="F720" i="1"/>
  <c r="B720" i="1"/>
  <c r="A720" i="1"/>
  <c r="B97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975" i="4"/>
  <c r="B974" i="4"/>
  <c r="I719" i="1"/>
  <c r="I718" i="1"/>
  <c r="I717" i="1"/>
  <c r="I716" i="1"/>
  <c r="H719" i="1"/>
  <c r="H718" i="1"/>
  <c r="H717" i="1"/>
  <c r="H716" i="1"/>
  <c r="G719" i="1"/>
  <c r="G718" i="1"/>
  <c r="G717" i="1"/>
  <c r="G716" i="1"/>
  <c r="F719" i="1"/>
  <c r="F718" i="1"/>
  <c r="F717" i="1"/>
  <c r="F716" i="1"/>
  <c r="I788" i="1"/>
  <c r="I787" i="1"/>
  <c r="I786" i="1"/>
  <c r="I785" i="1"/>
  <c r="H788" i="1"/>
  <c r="H787" i="1"/>
  <c r="H786" i="1"/>
  <c r="H785" i="1"/>
  <c r="G788" i="1"/>
  <c r="G787" i="1"/>
  <c r="G786" i="1"/>
  <c r="G785" i="1"/>
  <c r="F788" i="1"/>
  <c r="F787" i="1"/>
  <c r="F786" i="1"/>
  <c r="F785" i="1"/>
  <c r="B788" i="1"/>
  <c r="B787" i="1"/>
  <c r="B786" i="1"/>
  <c r="B785" i="1"/>
  <c r="A788" i="1"/>
  <c r="A787" i="1"/>
  <c r="A786" i="1"/>
  <c r="A785" i="1"/>
  <c r="B719" i="1"/>
  <c r="B718" i="1"/>
  <c r="B717" i="1"/>
  <c r="B716" i="1"/>
  <c r="A719" i="1"/>
  <c r="A718" i="1"/>
  <c r="A717" i="1"/>
  <c r="A716" i="1"/>
  <c r="B1040" i="4"/>
  <c r="I1040" i="4"/>
  <c r="B1041" i="4"/>
  <c r="I1041" i="4"/>
  <c r="B1042" i="4"/>
  <c r="I1042" i="4"/>
  <c r="B1043" i="4"/>
  <c r="I1043" i="4"/>
  <c r="I1044" i="4"/>
  <c r="D789" i="1" s="1"/>
  <c r="J789" i="1" s="1"/>
  <c r="I1045" i="4"/>
  <c r="I1046" i="4"/>
  <c r="D791" i="1" s="1"/>
  <c r="J791" i="1" s="1"/>
  <c r="I1047" i="4"/>
  <c r="O386" i="1" s="1"/>
  <c r="U386" i="1" s="1"/>
  <c r="I1048" i="4"/>
  <c r="I1049" i="4"/>
  <c r="I1050" i="4"/>
  <c r="I1051" i="4"/>
  <c r="D796" i="1" s="1"/>
  <c r="J796" i="1" s="1"/>
  <c r="I1052" i="4"/>
  <c r="D797" i="1" s="1"/>
  <c r="J797" i="1" s="1"/>
  <c r="I1053" i="4"/>
  <c r="D805" i="1" s="1"/>
  <c r="J805" i="1" s="1"/>
  <c r="I1054" i="4"/>
  <c r="I1055" i="4"/>
  <c r="D807" i="1" s="1"/>
  <c r="J807" i="1" s="1"/>
  <c r="I1056" i="4"/>
  <c r="I1057" i="4"/>
  <c r="I1058" i="4"/>
  <c r="I1059" i="4"/>
  <c r="I1060" i="4"/>
  <c r="I1061" i="4"/>
  <c r="I1062" i="4"/>
  <c r="I1063" i="4"/>
  <c r="I1064" i="4"/>
  <c r="D816" i="1" s="1"/>
  <c r="J816" i="1" s="1"/>
  <c r="I1065" i="4"/>
  <c r="O387" i="1" s="1"/>
  <c r="U387" i="1" s="1"/>
  <c r="I1066" i="4"/>
  <c r="D818" i="1" s="1"/>
  <c r="J818" i="1" s="1"/>
  <c r="C1067" i="4"/>
  <c r="C1071" i="4" s="1"/>
  <c r="D1067" i="4"/>
  <c r="D1071" i="4" s="1"/>
  <c r="E1067" i="4"/>
  <c r="E1071" i="4" s="1"/>
  <c r="F1067" i="4"/>
  <c r="F1071" i="4" s="1"/>
  <c r="G1067" i="4"/>
  <c r="G1071" i="4" s="1"/>
  <c r="H1067" i="4"/>
  <c r="H1071" i="4" s="1"/>
  <c r="I1069" i="4"/>
  <c r="B973" i="4"/>
  <c r="B972" i="4"/>
  <c r="B971" i="4"/>
  <c r="B970" i="4"/>
  <c r="I715" i="1"/>
  <c r="H715" i="1"/>
  <c r="G715" i="1"/>
  <c r="F715" i="1"/>
  <c r="B715" i="1"/>
  <c r="A715" i="1"/>
  <c r="A784" i="1"/>
  <c r="B969" i="4"/>
  <c r="B1023" i="4"/>
  <c r="B1022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7" i="4"/>
  <c r="B316" i="4"/>
  <c r="B315" i="4"/>
  <c r="B314" i="4"/>
  <c r="B313" i="4"/>
  <c r="B312" i="4"/>
  <c r="B311" i="4"/>
  <c r="B310" i="4"/>
  <c r="B309" i="4"/>
  <c r="F247" i="4"/>
  <c r="F251" i="4" s="1"/>
  <c r="E247" i="4"/>
  <c r="E251" i="4" s="1"/>
  <c r="D247" i="4"/>
  <c r="D251" i="4" s="1"/>
  <c r="B968" i="4"/>
  <c r="I784" i="1"/>
  <c r="I783" i="1"/>
  <c r="I782" i="1"/>
  <c r="I781" i="1"/>
  <c r="I780" i="1"/>
  <c r="I779" i="1"/>
  <c r="I778" i="1"/>
  <c r="I777" i="1"/>
  <c r="I776" i="1"/>
  <c r="H784" i="1"/>
  <c r="H783" i="1"/>
  <c r="H782" i="1"/>
  <c r="H781" i="1"/>
  <c r="H780" i="1"/>
  <c r="H779" i="1"/>
  <c r="H778" i="1"/>
  <c r="H777" i="1"/>
  <c r="H776" i="1"/>
  <c r="G784" i="1"/>
  <c r="G783" i="1"/>
  <c r="G782" i="1"/>
  <c r="G781" i="1"/>
  <c r="G780" i="1"/>
  <c r="G779" i="1"/>
  <c r="G778" i="1"/>
  <c r="G777" i="1"/>
  <c r="G776" i="1"/>
  <c r="F784" i="1"/>
  <c r="F783" i="1"/>
  <c r="F782" i="1"/>
  <c r="F781" i="1"/>
  <c r="F780" i="1"/>
  <c r="F779" i="1"/>
  <c r="F778" i="1"/>
  <c r="F777" i="1"/>
  <c r="F776" i="1"/>
  <c r="B784" i="1"/>
  <c r="B783" i="1"/>
  <c r="B782" i="1"/>
  <c r="B781" i="1"/>
  <c r="B780" i="1"/>
  <c r="B779" i="1"/>
  <c r="B778" i="1"/>
  <c r="B777" i="1"/>
  <c r="B776" i="1"/>
  <c r="A783" i="1"/>
  <c r="A782" i="1"/>
  <c r="A781" i="1"/>
  <c r="A780" i="1"/>
  <c r="A779" i="1"/>
  <c r="A778" i="1"/>
  <c r="A777" i="1"/>
  <c r="A776" i="1"/>
  <c r="A775" i="1"/>
  <c r="I714" i="1"/>
  <c r="H714" i="1"/>
  <c r="G714" i="1"/>
  <c r="F714" i="1"/>
  <c r="B714" i="1"/>
  <c r="A714" i="1"/>
  <c r="B1021" i="4"/>
  <c r="B1020" i="4"/>
  <c r="B1019" i="4"/>
  <c r="B1018" i="4"/>
  <c r="B1017" i="4"/>
  <c r="B1016" i="4"/>
  <c r="B1015" i="4"/>
  <c r="B1014" i="4"/>
  <c r="B1013" i="4"/>
  <c r="B967" i="4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I713" i="1"/>
  <c r="I712" i="1"/>
  <c r="I711" i="1"/>
  <c r="I710" i="1"/>
  <c r="H713" i="1"/>
  <c r="H712" i="1"/>
  <c r="H711" i="1"/>
  <c r="H710" i="1"/>
  <c r="G713" i="1"/>
  <c r="G712" i="1"/>
  <c r="G711" i="1"/>
  <c r="G710" i="1"/>
  <c r="F713" i="1"/>
  <c r="F712" i="1"/>
  <c r="F711" i="1"/>
  <c r="F710" i="1"/>
  <c r="B713" i="1"/>
  <c r="B712" i="1"/>
  <c r="B711" i="1"/>
  <c r="B710" i="1"/>
  <c r="A713" i="1"/>
  <c r="A712" i="1"/>
  <c r="A711" i="1"/>
  <c r="A710" i="1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66" i="4"/>
  <c r="B965" i="4"/>
  <c r="B964" i="4"/>
  <c r="B963" i="4"/>
  <c r="I338" i="4"/>
  <c r="H336" i="4"/>
  <c r="H340" i="4" s="1"/>
  <c r="G336" i="4"/>
  <c r="G340" i="4" s="1"/>
  <c r="F336" i="4"/>
  <c r="F340" i="4" s="1"/>
  <c r="E336" i="4"/>
  <c r="E340" i="4" s="1"/>
  <c r="D336" i="4"/>
  <c r="D340" i="4" s="1"/>
  <c r="C336" i="4"/>
  <c r="C340" i="4" s="1"/>
  <c r="I335" i="4"/>
  <c r="D144" i="1" s="1"/>
  <c r="J144" i="1" s="1"/>
  <c r="I334" i="4"/>
  <c r="D143" i="1" s="1"/>
  <c r="J143" i="1" s="1"/>
  <c r="I333" i="4"/>
  <c r="D142" i="1" s="1"/>
  <c r="J142" i="1" s="1"/>
  <c r="I332" i="4"/>
  <c r="D141" i="1" s="1"/>
  <c r="J141" i="1" s="1"/>
  <c r="I331" i="4"/>
  <c r="D140" i="1" s="1"/>
  <c r="J140" i="1" s="1"/>
  <c r="I330" i="4"/>
  <c r="D139" i="1" s="1"/>
  <c r="J139" i="1" s="1"/>
  <c r="I329" i="4"/>
  <c r="I328" i="4"/>
  <c r="D137" i="1" s="1"/>
  <c r="J137" i="1" s="1"/>
  <c r="I327" i="4"/>
  <c r="D136" i="1" s="1"/>
  <c r="J136" i="1" s="1"/>
  <c r="I326" i="4"/>
  <c r="I325" i="4"/>
  <c r="I324" i="4"/>
  <c r="D133" i="1" s="1"/>
  <c r="J133" i="1" s="1"/>
  <c r="I323" i="4"/>
  <c r="I322" i="4"/>
  <c r="D131" i="1" s="1"/>
  <c r="J131" i="1" s="1"/>
  <c r="I321" i="4"/>
  <c r="D130" i="1" s="1"/>
  <c r="J130" i="1" s="1"/>
  <c r="I320" i="4"/>
  <c r="O11" i="1" s="1"/>
  <c r="U11" i="1" s="1"/>
  <c r="I319" i="4"/>
  <c r="D128" i="1" s="1"/>
  <c r="J128" i="1" s="1"/>
  <c r="I318" i="4"/>
  <c r="I317" i="4"/>
  <c r="I316" i="4"/>
  <c r="I315" i="4"/>
  <c r="D124" i="1" s="1"/>
  <c r="J124" i="1" s="1"/>
  <c r="I314" i="4"/>
  <c r="D123" i="1" s="1"/>
  <c r="J123" i="1" s="1"/>
  <c r="I313" i="4"/>
  <c r="I312" i="4"/>
  <c r="D121" i="1" s="1"/>
  <c r="J121" i="1" s="1"/>
  <c r="I311" i="4"/>
  <c r="I310" i="4"/>
  <c r="I309" i="4"/>
  <c r="D118" i="1" s="1"/>
  <c r="B962" i="4"/>
  <c r="B961" i="4"/>
  <c r="B960" i="4"/>
  <c r="B959" i="4"/>
  <c r="B958" i="4"/>
  <c r="B997" i="4"/>
  <c r="I1026" i="4"/>
  <c r="H1024" i="4"/>
  <c r="H1028" i="4" s="1"/>
  <c r="G1024" i="4"/>
  <c r="G1028" i="4" s="1"/>
  <c r="F1024" i="4"/>
  <c r="F1028" i="4" s="1"/>
  <c r="E1024" i="4"/>
  <c r="E1028" i="4" s="1"/>
  <c r="D1024" i="4"/>
  <c r="D1028" i="4" s="1"/>
  <c r="C1024" i="4"/>
  <c r="C1028" i="4" s="1"/>
  <c r="I1023" i="4"/>
  <c r="I1022" i="4"/>
  <c r="D783" i="1" s="1"/>
  <c r="J783" i="1" s="1"/>
  <c r="I1021" i="4"/>
  <c r="D782" i="1" s="1"/>
  <c r="J782" i="1" s="1"/>
  <c r="I1020" i="4"/>
  <c r="D781" i="1" s="1"/>
  <c r="J781" i="1" s="1"/>
  <c r="I1019" i="4"/>
  <c r="D780" i="1" s="1"/>
  <c r="J780" i="1" s="1"/>
  <c r="I1018" i="4"/>
  <c r="I1017" i="4"/>
  <c r="I1016" i="4"/>
  <c r="D777" i="1" s="1"/>
  <c r="J777" i="1" s="1"/>
  <c r="I1015" i="4"/>
  <c r="I1014" i="4"/>
  <c r="D775" i="1" s="1"/>
  <c r="J775" i="1" s="1"/>
  <c r="I1013" i="4"/>
  <c r="D774" i="1" s="1"/>
  <c r="J774" i="1" s="1"/>
  <c r="I1012" i="4"/>
  <c r="D773" i="1" s="1"/>
  <c r="J773" i="1" s="1"/>
  <c r="I1011" i="4"/>
  <c r="I1010" i="4"/>
  <c r="D771" i="1" s="1"/>
  <c r="J771" i="1" s="1"/>
  <c r="I1009" i="4"/>
  <c r="I1008" i="4"/>
  <c r="D769" i="1" s="1"/>
  <c r="J769" i="1" s="1"/>
  <c r="I1007" i="4"/>
  <c r="I1006" i="4"/>
  <c r="D767" i="1" s="1"/>
  <c r="J767" i="1" s="1"/>
  <c r="I1005" i="4"/>
  <c r="D766" i="1" s="1"/>
  <c r="J766" i="1" s="1"/>
  <c r="I1004" i="4"/>
  <c r="D765" i="1" s="1"/>
  <c r="J765" i="1" s="1"/>
  <c r="I1003" i="4"/>
  <c r="I1002" i="4"/>
  <c r="I1001" i="4"/>
  <c r="D762" i="1" s="1"/>
  <c r="J762" i="1" s="1"/>
  <c r="I1000" i="4"/>
  <c r="I999" i="4"/>
  <c r="D760" i="1" s="1"/>
  <c r="J760" i="1" s="1"/>
  <c r="I997" i="4"/>
  <c r="B291" i="4"/>
  <c r="B290" i="4"/>
  <c r="B289" i="4"/>
  <c r="B288" i="4"/>
  <c r="B287" i="4"/>
  <c r="B286" i="4"/>
  <c r="I759" i="1"/>
  <c r="I758" i="1"/>
  <c r="I757" i="1"/>
  <c r="I756" i="1"/>
  <c r="I755" i="1"/>
  <c r="G759" i="1"/>
  <c r="G758" i="1"/>
  <c r="G757" i="1"/>
  <c r="G756" i="1"/>
  <c r="G755" i="1"/>
  <c r="F759" i="1"/>
  <c r="F758" i="1"/>
  <c r="F757" i="1"/>
  <c r="F756" i="1"/>
  <c r="F755" i="1"/>
  <c r="B759" i="1"/>
  <c r="B758" i="1"/>
  <c r="B757" i="1"/>
  <c r="B756" i="1"/>
  <c r="B755" i="1"/>
  <c r="B754" i="1"/>
  <c r="A759" i="1"/>
  <c r="A758" i="1"/>
  <c r="A757" i="1"/>
  <c r="A756" i="1"/>
  <c r="A755" i="1"/>
  <c r="I754" i="1"/>
  <c r="H754" i="1"/>
  <c r="G754" i="1"/>
  <c r="F754" i="1"/>
  <c r="A754" i="1"/>
  <c r="I753" i="1"/>
  <c r="H753" i="1"/>
  <c r="G753" i="1"/>
  <c r="F753" i="1"/>
  <c r="B753" i="1"/>
  <c r="A753" i="1"/>
  <c r="I709" i="1"/>
  <c r="I708" i="1"/>
  <c r="I707" i="1"/>
  <c r="I706" i="1"/>
  <c r="I705" i="1"/>
  <c r="I704" i="1"/>
  <c r="H709" i="1"/>
  <c r="H708" i="1"/>
  <c r="H707" i="1"/>
  <c r="H706" i="1"/>
  <c r="H705" i="1"/>
  <c r="H704" i="1"/>
  <c r="G709" i="1"/>
  <c r="G708" i="1"/>
  <c r="G707" i="1"/>
  <c r="G706" i="1"/>
  <c r="G705" i="1"/>
  <c r="G704" i="1"/>
  <c r="F709" i="1"/>
  <c r="F708" i="1"/>
  <c r="F707" i="1"/>
  <c r="F706" i="1"/>
  <c r="F705" i="1"/>
  <c r="F704" i="1"/>
  <c r="B709" i="1"/>
  <c r="B708" i="1"/>
  <c r="B707" i="1"/>
  <c r="B706" i="1"/>
  <c r="B705" i="1"/>
  <c r="B704" i="1"/>
  <c r="A709" i="1"/>
  <c r="A708" i="1"/>
  <c r="A707" i="1"/>
  <c r="A706" i="1"/>
  <c r="A705" i="1"/>
  <c r="A704" i="1"/>
  <c r="B688" i="1"/>
  <c r="G504" i="1"/>
  <c r="I703" i="1"/>
  <c r="H703" i="1"/>
  <c r="G703" i="1"/>
  <c r="F703" i="1"/>
  <c r="B703" i="1"/>
  <c r="A703" i="1"/>
  <c r="B957" i="4"/>
  <c r="I702" i="1"/>
  <c r="H702" i="1"/>
  <c r="G702" i="1"/>
  <c r="F702" i="1"/>
  <c r="B702" i="1"/>
  <c r="A702" i="1"/>
  <c r="B956" i="4"/>
  <c r="B955" i="4"/>
  <c r="B954" i="4"/>
  <c r="I983" i="4"/>
  <c r="H981" i="4"/>
  <c r="H985" i="4" s="1"/>
  <c r="G981" i="4"/>
  <c r="G985" i="4" s="1"/>
  <c r="F981" i="4"/>
  <c r="F985" i="4" s="1"/>
  <c r="E981" i="4"/>
  <c r="E985" i="4" s="1"/>
  <c r="D981" i="4"/>
  <c r="D985" i="4" s="1"/>
  <c r="C981" i="4"/>
  <c r="C985" i="4" s="1"/>
  <c r="I980" i="4"/>
  <c r="D726" i="1" s="1"/>
  <c r="J726" i="1" s="1"/>
  <c r="I979" i="4"/>
  <c r="D725" i="1" s="1"/>
  <c r="J725" i="1" s="1"/>
  <c r="I978" i="4"/>
  <c r="I977" i="4"/>
  <c r="I976" i="4"/>
  <c r="D722" i="1" s="1"/>
  <c r="J722" i="1" s="1"/>
  <c r="I975" i="4"/>
  <c r="I974" i="4"/>
  <c r="D720" i="1" s="1"/>
  <c r="J720" i="1" s="1"/>
  <c r="I973" i="4"/>
  <c r="I972" i="4"/>
  <c r="I971" i="4"/>
  <c r="I970" i="4"/>
  <c r="I969" i="4"/>
  <c r="D715" i="1" s="1"/>
  <c r="J715" i="1" s="1"/>
  <c r="I968" i="4"/>
  <c r="D714" i="1" s="1"/>
  <c r="J714" i="1" s="1"/>
  <c r="I967" i="4"/>
  <c r="O30" i="1" s="1"/>
  <c r="U30" i="1" s="1"/>
  <c r="I966" i="4"/>
  <c r="I965" i="4"/>
  <c r="D711" i="1" s="1"/>
  <c r="J711" i="1" s="1"/>
  <c r="I964" i="4"/>
  <c r="D710" i="1" s="1"/>
  <c r="J710" i="1" s="1"/>
  <c r="I963" i="4"/>
  <c r="D709" i="1" s="1"/>
  <c r="J709" i="1" s="1"/>
  <c r="I962" i="4"/>
  <c r="D708" i="1" s="1"/>
  <c r="J708" i="1" s="1"/>
  <c r="I961" i="4"/>
  <c r="D707" i="1" s="1"/>
  <c r="J707" i="1" s="1"/>
  <c r="I960" i="4"/>
  <c r="D706" i="1" s="1"/>
  <c r="J706" i="1" s="1"/>
  <c r="I959" i="4"/>
  <c r="I958" i="4"/>
  <c r="I957" i="4"/>
  <c r="I956" i="4"/>
  <c r="I955" i="4"/>
  <c r="D701" i="1" s="1"/>
  <c r="J701" i="1" s="1"/>
  <c r="I954" i="4"/>
  <c r="I701" i="1"/>
  <c r="I700" i="1"/>
  <c r="H701" i="1"/>
  <c r="H700" i="1"/>
  <c r="G701" i="1"/>
  <c r="G700" i="1"/>
  <c r="F701" i="1"/>
  <c r="F700" i="1"/>
  <c r="B701" i="1"/>
  <c r="B700" i="1"/>
  <c r="A701" i="1"/>
  <c r="A700" i="1"/>
  <c r="I691" i="1"/>
  <c r="I690" i="1"/>
  <c r="I689" i="1"/>
  <c r="I688" i="1"/>
  <c r="I687" i="1"/>
  <c r="H691" i="1"/>
  <c r="H690" i="1"/>
  <c r="H689" i="1"/>
  <c r="H688" i="1"/>
  <c r="H687" i="1"/>
  <c r="G691" i="1"/>
  <c r="G690" i="1"/>
  <c r="G689" i="1"/>
  <c r="G688" i="1"/>
  <c r="G687" i="1"/>
  <c r="F691" i="1"/>
  <c r="F690" i="1"/>
  <c r="F689" i="1"/>
  <c r="F688" i="1"/>
  <c r="F687" i="1"/>
  <c r="B691" i="1"/>
  <c r="B690" i="1"/>
  <c r="B689" i="1"/>
  <c r="B687" i="1"/>
  <c r="A691" i="1"/>
  <c r="A690" i="1"/>
  <c r="A689" i="1"/>
  <c r="A688" i="1"/>
  <c r="A687" i="1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I514" i="1"/>
  <c r="I513" i="1"/>
  <c r="I512" i="1"/>
  <c r="I511" i="1"/>
  <c r="I510" i="1"/>
  <c r="I509" i="1"/>
  <c r="I508" i="1"/>
  <c r="I507" i="1"/>
  <c r="I506" i="1"/>
  <c r="I505" i="1"/>
  <c r="I504" i="1"/>
  <c r="H514" i="1"/>
  <c r="H513" i="1"/>
  <c r="H512" i="1"/>
  <c r="H511" i="1"/>
  <c r="H510" i="1"/>
  <c r="H509" i="1"/>
  <c r="H508" i="1"/>
  <c r="H507" i="1"/>
  <c r="H506" i="1"/>
  <c r="H505" i="1"/>
  <c r="H504" i="1"/>
  <c r="G514" i="1"/>
  <c r="G513" i="1"/>
  <c r="G512" i="1"/>
  <c r="G511" i="1"/>
  <c r="G510" i="1"/>
  <c r="G509" i="1"/>
  <c r="G508" i="1"/>
  <c r="G507" i="1"/>
  <c r="G506" i="1"/>
  <c r="G505" i="1"/>
  <c r="F514" i="1"/>
  <c r="F513" i="1"/>
  <c r="F512" i="1"/>
  <c r="F511" i="1"/>
  <c r="F510" i="1"/>
  <c r="F509" i="1"/>
  <c r="F508" i="1"/>
  <c r="F507" i="1"/>
  <c r="F506" i="1"/>
  <c r="F505" i="1"/>
  <c r="F504" i="1"/>
  <c r="B514" i="1"/>
  <c r="B513" i="1"/>
  <c r="B512" i="1"/>
  <c r="B511" i="1"/>
  <c r="B510" i="1"/>
  <c r="B509" i="1"/>
  <c r="B508" i="1"/>
  <c r="B507" i="1"/>
  <c r="B506" i="1"/>
  <c r="B505" i="1"/>
  <c r="B504" i="1"/>
  <c r="A513" i="1"/>
  <c r="A512" i="1"/>
  <c r="A511" i="1"/>
  <c r="A510" i="1"/>
  <c r="A509" i="1"/>
  <c r="A508" i="1"/>
  <c r="A507" i="1"/>
  <c r="A506" i="1"/>
  <c r="A505" i="1"/>
  <c r="A504" i="1"/>
  <c r="B269" i="4"/>
  <c r="B268" i="4"/>
  <c r="B267" i="4"/>
  <c r="B266" i="4"/>
  <c r="B265" i="4"/>
  <c r="B246" i="4"/>
  <c r="B937" i="4"/>
  <c r="B936" i="4"/>
  <c r="B935" i="4"/>
  <c r="B934" i="4"/>
  <c r="B933" i="4"/>
  <c r="I686" i="1"/>
  <c r="I685" i="1"/>
  <c r="I684" i="1"/>
  <c r="I683" i="1"/>
  <c r="I682" i="1"/>
  <c r="H686" i="1"/>
  <c r="H685" i="1"/>
  <c r="H684" i="1"/>
  <c r="H683" i="1"/>
  <c r="H682" i="1"/>
  <c r="G686" i="1"/>
  <c r="G685" i="1"/>
  <c r="G684" i="1"/>
  <c r="G683" i="1"/>
  <c r="G682" i="1"/>
  <c r="F686" i="1"/>
  <c r="F685" i="1"/>
  <c r="F684" i="1"/>
  <c r="F683" i="1"/>
  <c r="F682" i="1"/>
  <c r="B686" i="1"/>
  <c r="B685" i="1"/>
  <c r="B684" i="1"/>
  <c r="B683" i="1"/>
  <c r="B682" i="1"/>
  <c r="A686" i="1"/>
  <c r="A685" i="1"/>
  <c r="A684" i="1"/>
  <c r="A683" i="1"/>
  <c r="A682" i="1"/>
  <c r="B932" i="4"/>
  <c r="B931" i="4"/>
  <c r="B930" i="4"/>
  <c r="B929" i="4"/>
  <c r="F673" i="1"/>
  <c r="I681" i="1"/>
  <c r="H681" i="1"/>
  <c r="G681" i="1"/>
  <c r="F681" i="1"/>
  <c r="B681" i="1"/>
  <c r="A681" i="1"/>
  <c r="B927" i="4"/>
  <c r="B926" i="4"/>
  <c r="I671" i="4"/>
  <c r="D444" i="1" s="1"/>
  <c r="J444" i="1" s="1"/>
  <c r="A152" i="1"/>
  <c r="B152" i="1"/>
  <c r="F152" i="1"/>
  <c r="G152" i="1"/>
  <c r="H152" i="1"/>
  <c r="I152" i="1"/>
  <c r="I680" i="1"/>
  <c r="H680" i="1"/>
  <c r="G680" i="1"/>
  <c r="F680" i="1"/>
  <c r="B680" i="1"/>
  <c r="A680" i="1"/>
  <c r="I679" i="1"/>
  <c r="H679" i="1"/>
  <c r="G679" i="1"/>
  <c r="F679" i="1"/>
  <c r="B679" i="1"/>
  <c r="A679" i="1"/>
  <c r="B925" i="4"/>
  <c r="I678" i="1"/>
  <c r="H678" i="1"/>
  <c r="G678" i="1"/>
  <c r="F678" i="1"/>
  <c r="B678" i="1"/>
  <c r="A678" i="1"/>
  <c r="B924" i="4"/>
  <c r="I441" i="4"/>
  <c r="D210" i="1" s="1"/>
  <c r="J210" i="1" s="1"/>
  <c r="I440" i="4"/>
  <c r="I677" i="1"/>
  <c r="I676" i="1"/>
  <c r="H677" i="1"/>
  <c r="H676" i="1"/>
  <c r="G677" i="1"/>
  <c r="G676" i="1"/>
  <c r="F677" i="1"/>
  <c r="F676" i="1"/>
  <c r="B677" i="1"/>
  <c r="B676" i="1"/>
  <c r="A677" i="1"/>
  <c r="A676" i="1"/>
  <c r="B923" i="4"/>
  <c r="B922" i="4"/>
  <c r="I675" i="1"/>
  <c r="I674" i="1"/>
  <c r="I673" i="1"/>
  <c r="H675" i="1"/>
  <c r="H674" i="1"/>
  <c r="H673" i="1"/>
  <c r="G675" i="1"/>
  <c r="G674" i="1"/>
  <c r="G673" i="1"/>
  <c r="F675" i="1"/>
  <c r="F674" i="1"/>
  <c r="B675" i="1"/>
  <c r="B674" i="1"/>
  <c r="B673" i="1"/>
  <c r="A675" i="1"/>
  <c r="A674" i="1"/>
  <c r="A673" i="1"/>
  <c r="B921" i="4"/>
  <c r="B920" i="4"/>
  <c r="B919" i="4"/>
  <c r="F162" i="1"/>
  <c r="G162" i="1"/>
  <c r="H162" i="1"/>
  <c r="I162" i="1"/>
  <c r="I672" i="1"/>
  <c r="H672" i="1"/>
  <c r="G672" i="1"/>
  <c r="F672" i="1"/>
  <c r="B672" i="1"/>
  <c r="A672" i="1"/>
  <c r="B918" i="4"/>
  <c r="I671" i="1"/>
  <c r="H671" i="1"/>
  <c r="G671" i="1"/>
  <c r="F671" i="1"/>
  <c r="B671" i="1"/>
  <c r="A671" i="1"/>
  <c r="B917" i="4"/>
  <c r="I670" i="1"/>
  <c r="I669" i="1"/>
  <c r="H670" i="1"/>
  <c r="H669" i="1"/>
  <c r="G670" i="1"/>
  <c r="G669" i="1"/>
  <c r="F670" i="1"/>
  <c r="F669" i="1"/>
  <c r="B670" i="1"/>
  <c r="B669" i="1"/>
  <c r="A670" i="1"/>
  <c r="A669" i="1"/>
  <c r="I668" i="1"/>
  <c r="H668" i="1"/>
  <c r="G668" i="1"/>
  <c r="F668" i="1"/>
  <c r="B668" i="1"/>
  <c r="A668" i="1"/>
  <c r="H451" i="1"/>
  <c r="H398" i="1"/>
  <c r="H256" i="1"/>
  <c r="H230" i="1"/>
  <c r="H101" i="1"/>
  <c r="H47" i="1"/>
  <c r="H34" i="1"/>
  <c r="I667" i="1"/>
  <c r="H667" i="1"/>
  <c r="G667" i="1"/>
  <c r="F667" i="1"/>
  <c r="B667" i="1"/>
  <c r="A667" i="1"/>
  <c r="I666" i="1"/>
  <c r="I665" i="1"/>
  <c r="I664" i="1"/>
  <c r="I663" i="1"/>
  <c r="I662" i="1"/>
  <c r="H666" i="1"/>
  <c r="H665" i="1"/>
  <c r="H664" i="1"/>
  <c r="H663" i="1"/>
  <c r="H662" i="1"/>
  <c r="G666" i="1"/>
  <c r="G665" i="1"/>
  <c r="G664" i="1"/>
  <c r="G663" i="1"/>
  <c r="G662" i="1"/>
  <c r="F666" i="1"/>
  <c r="F665" i="1"/>
  <c r="F664" i="1"/>
  <c r="F663" i="1"/>
  <c r="F662" i="1"/>
  <c r="F661" i="1"/>
  <c r="B666" i="1"/>
  <c r="B665" i="1"/>
  <c r="B664" i="1"/>
  <c r="B663" i="1"/>
  <c r="B662" i="1"/>
  <c r="A666" i="1"/>
  <c r="A665" i="1"/>
  <c r="A664" i="1"/>
  <c r="A663" i="1"/>
  <c r="A662" i="1"/>
  <c r="B916" i="4"/>
  <c r="B915" i="4"/>
  <c r="B914" i="4"/>
  <c r="B913" i="4"/>
  <c r="B912" i="4"/>
  <c r="B911" i="4"/>
  <c r="I940" i="4"/>
  <c r="H938" i="4"/>
  <c r="H942" i="4" s="1"/>
  <c r="G938" i="4"/>
  <c r="G942" i="4" s="1"/>
  <c r="F938" i="4"/>
  <c r="F942" i="4" s="1"/>
  <c r="E938" i="4"/>
  <c r="E942" i="4" s="1"/>
  <c r="D938" i="4"/>
  <c r="D942" i="4" s="1"/>
  <c r="C938" i="4"/>
  <c r="C942" i="4" s="1"/>
  <c r="I937" i="4"/>
  <c r="D691" i="1" s="1"/>
  <c r="J691" i="1" s="1"/>
  <c r="I936" i="4"/>
  <c r="I935" i="4"/>
  <c r="I934" i="4"/>
  <c r="I933" i="4"/>
  <c r="I932" i="4"/>
  <c r="D686" i="1" s="1"/>
  <c r="J686" i="1" s="1"/>
  <c r="I931" i="4"/>
  <c r="I930" i="4"/>
  <c r="D684" i="1" s="1"/>
  <c r="J684" i="1" s="1"/>
  <c r="I929" i="4"/>
  <c r="I928" i="4"/>
  <c r="I927" i="4"/>
  <c r="D681" i="1" s="1"/>
  <c r="J681" i="1" s="1"/>
  <c r="I926" i="4"/>
  <c r="I925" i="4"/>
  <c r="D679" i="1" s="1"/>
  <c r="J679" i="1" s="1"/>
  <c r="I924" i="4"/>
  <c r="D678" i="1" s="1"/>
  <c r="J678" i="1" s="1"/>
  <c r="I923" i="4"/>
  <c r="D677" i="1" s="1"/>
  <c r="J677" i="1" s="1"/>
  <c r="I922" i="4"/>
  <c r="D676" i="1" s="1"/>
  <c r="J676" i="1" s="1"/>
  <c r="I921" i="4"/>
  <c r="I920" i="4"/>
  <c r="I919" i="4"/>
  <c r="I918" i="4"/>
  <c r="I917" i="4"/>
  <c r="I916" i="4"/>
  <c r="D670" i="1" s="1"/>
  <c r="J670" i="1" s="1"/>
  <c r="I915" i="4"/>
  <c r="I914" i="4"/>
  <c r="I913" i="4"/>
  <c r="I912" i="4"/>
  <c r="D666" i="1" s="1"/>
  <c r="J666" i="1" s="1"/>
  <c r="I911" i="4"/>
  <c r="I661" i="1"/>
  <c r="H661" i="1"/>
  <c r="G661" i="1"/>
  <c r="B661" i="1"/>
  <c r="A661" i="1"/>
  <c r="I660" i="1"/>
  <c r="H660" i="1"/>
  <c r="G660" i="1"/>
  <c r="F660" i="1"/>
  <c r="B660" i="1"/>
  <c r="A660" i="1"/>
  <c r="I659" i="1"/>
  <c r="I658" i="1"/>
  <c r="I657" i="1"/>
  <c r="H659" i="1"/>
  <c r="H658" i="1"/>
  <c r="H657" i="1"/>
  <c r="G659" i="1"/>
  <c r="G658" i="1"/>
  <c r="G657" i="1"/>
  <c r="F659" i="1"/>
  <c r="F658" i="1"/>
  <c r="F657" i="1"/>
  <c r="B659" i="1"/>
  <c r="B658" i="1"/>
  <c r="B657" i="1"/>
  <c r="A659" i="1"/>
  <c r="A658" i="1"/>
  <c r="A657" i="1"/>
  <c r="I897" i="4"/>
  <c r="I854" i="4"/>
  <c r="I811" i="4"/>
  <c r="I423" i="4"/>
  <c r="I381" i="4"/>
  <c r="I294" i="4"/>
  <c r="I656" i="1"/>
  <c r="I655" i="1"/>
  <c r="I654" i="1"/>
  <c r="I653" i="1"/>
  <c r="I652" i="1"/>
  <c r="I651" i="1"/>
  <c r="I650" i="1"/>
  <c r="H656" i="1"/>
  <c r="H655" i="1"/>
  <c r="H654" i="1"/>
  <c r="H653" i="1"/>
  <c r="H652" i="1"/>
  <c r="H651" i="1"/>
  <c r="H650" i="1"/>
  <c r="G656" i="1"/>
  <c r="G655" i="1"/>
  <c r="G654" i="1"/>
  <c r="G653" i="1"/>
  <c r="G652" i="1"/>
  <c r="G651" i="1"/>
  <c r="G650" i="1"/>
  <c r="F656" i="1"/>
  <c r="F655" i="1"/>
  <c r="F654" i="1"/>
  <c r="F653" i="1"/>
  <c r="F652" i="1"/>
  <c r="F651" i="1"/>
  <c r="F650" i="1"/>
  <c r="B656" i="1"/>
  <c r="B655" i="1"/>
  <c r="B654" i="1"/>
  <c r="B653" i="1"/>
  <c r="B652" i="1"/>
  <c r="B651" i="1"/>
  <c r="B650" i="1"/>
  <c r="A656" i="1"/>
  <c r="A655" i="1"/>
  <c r="A654" i="1"/>
  <c r="A653" i="1"/>
  <c r="A652" i="1"/>
  <c r="A651" i="1"/>
  <c r="A650" i="1"/>
  <c r="I9" i="4"/>
  <c r="I8" i="4"/>
  <c r="I649" i="1"/>
  <c r="H649" i="1"/>
  <c r="G649" i="1"/>
  <c r="F649" i="1"/>
  <c r="B649" i="1"/>
  <c r="A649" i="1"/>
  <c r="I846" i="4"/>
  <c r="D624" i="1" s="1"/>
  <c r="J624" i="1" s="1"/>
  <c r="I845" i="4"/>
  <c r="I461" i="4"/>
  <c r="D291" i="1" s="1"/>
  <c r="J291" i="1" s="1"/>
  <c r="I463" i="4"/>
  <c r="I648" i="1"/>
  <c r="H648" i="1"/>
  <c r="G648" i="1"/>
  <c r="F648" i="1"/>
  <c r="B648" i="1"/>
  <c r="A648" i="1"/>
  <c r="B877" i="4"/>
  <c r="I740" i="4"/>
  <c r="D542" i="1" s="1"/>
  <c r="J542" i="1" s="1"/>
  <c r="I647" i="1"/>
  <c r="H647" i="1"/>
  <c r="G647" i="1"/>
  <c r="F647" i="1"/>
  <c r="B647" i="1"/>
  <c r="A647" i="1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6" i="4"/>
  <c r="B875" i="4"/>
  <c r="B874" i="4"/>
  <c r="B873" i="4"/>
  <c r="B872" i="4"/>
  <c r="B871" i="4"/>
  <c r="B870" i="4"/>
  <c r="B869" i="4"/>
  <c r="B868" i="4"/>
  <c r="H895" i="4"/>
  <c r="H899" i="4" s="1"/>
  <c r="G895" i="4"/>
  <c r="G899" i="4" s="1"/>
  <c r="F895" i="4"/>
  <c r="F899" i="4" s="1"/>
  <c r="E895" i="4"/>
  <c r="E899" i="4" s="1"/>
  <c r="D895" i="4"/>
  <c r="D899" i="4" s="1"/>
  <c r="C895" i="4"/>
  <c r="C899" i="4" s="1"/>
  <c r="I894" i="4"/>
  <c r="I893" i="4"/>
  <c r="I892" i="4"/>
  <c r="I891" i="4"/>
  <c r="D661" i="1" s="1"/>
  <c r="J661" i="1" s="1"/>
  <c r="I890" i="4"/>
  <c r="D660" i="1" s="1"/>
  <c r="J660" i="1" s="1"/>
  <c r="I889" i="4"/>
  <c r="D659" i="1" s="1"/>
  <c r="J659" i="1" s="1"/>
  <c r="I888" i="4"/>
  <c r="I887" i="4"/>
  <c r="D657" i="1" s="1"/>
  <c r="J657" i="1" s="1"/>
  <c r="I886" i="4"/>
  <c r="I885" i="4"/>
  <c r="D655" i="1" s="1"/>
  <c r="J655" i="1" s="1"/>
  <c r="I884" i="4"/>
  <c r="D654" i="1" s="1"/>
  <c r="J654" i="1" s="1"/>
  <c r="I883" i="4"/>
  <c r="I882" i="4"/>
  <c r="D652" i="1" s="1"/>
  <c r="J652" i="1" s="1"/>
  <c r="I881" i="4"/>
  <c r="D651" i="1" s="1"/>
  <c r="J651" i="1" s="1"/>
  <c r="I880" i="4"/>
  <c r="D650" i="1" s="1"/>
  <c r="J650" i="1" s="1"/>
  <c r="I879" i="4"/>
  <c r="D649" i="1" s="1"/>
  <c r="J649" i="1" s="1"/>
  <c r="I878" i="4"/>
  <c r="I877" i="4"/>
  <c r="I876" i="4"/>
  <c r="D638" i="1" s="1"/>
  <c r="J638" i="1" s="1"/>
  <c r="I875" i="4"/>
  <c r="D637" i="1" s="1"/>
  <c r="J637" i="1" s="1"/>
  <c r="I874" i="4"/>
  <c r="D636" i="1" s="1"/>
  <c r="J636" i="1" s="1"/>
  <c r="I873" i="4"/>
  <c r="D635" i="1" s="1"/>
  <c r="J635" i="1" s="1"/>
  <c r="I872" i="4"/>
  <c r="D634" i="1" s="1"/>
  <c r="J634" i="1" s="1"/>
  <c r="I871" i="4"/>
  <c r="I870" i="4"/>
  <c r="D632" i="1" s="1"/>
  <c r="J632" i="1" s="1"/>
  <c r="I869" i="4"/>
  <c r="D631" i="1" s="1"/>
  <c r="J631" i="1" s="1"/>
  <c r="I868" i="4"/>
  <c r="D630" i="1" s="1"/>
  <c r="J630" i="1" s="1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G551" i="4"/>
  <c r="G555" i="4" s="1"/>
  <c r="F551" i="4"/>
  <c r="F555" i="4" s="1"/>
  <c r="E551" i="4"/>
  <c r="E555" i="4" s="1"/>
  <c r="D551" i="4"/>
  <c r="D555" i="4" s="1"/>
  <c r="C551" i="4"/>
  <c r="B832" i="4"/>
  <c r="B831" i="4"/>
  <c r="B830" i="4"/>
  <c r="B829" i="4"/>
  <c r="B828" i="4"/>
  <c r="B827" i="4"/>
  <c r="B826" i="4"/>
  <c r="B825" i="4"/>
  <c r="H852" i="4"/>
  <c r="H856" i="4" s="1"/>
  <c r="G852" i="4"/>
  <c r="G856" i="4" s="1"/>
  <c r="F852" i="4"/>
  <c r="F856" i="4" s="1"/>
  <c r="E852" i="4"/>
  <c r="E856" i="4" s="1"/>
  <c r="D852" i="4"/>
  <c r="D856" i="4" s="1"/>
  <c r="C852" i="4"/>
  <c r="C856" i="4" s="1"/>
  <c r="I851" i="4"/>
  <c r="D629" i="1" s="1"/>
  <c r="J629" i="1" s="1"/>
  <c r="I850" i="4"/>
  <c r="D628" i="1" s="1"/>
  <c r="J628" i="1" s="1"/>
  <c r="I849" i="4"/>
  <c r="I848" i="4"/>
  <c r="D626" i="1" s="1"/>
  <c r="J626" i="1" s="1"/>
  <c r="I847" i="4"/>
  <c r="D625" i="1" s="1"/>
  <c r="J625" i="1" s="1"/>
  <c r="I844" i="4"/>
  <c r="D622" i="1" s="1"/>
  <c r="J622" i="1" s="1"/>
  <c r="I843" i="4"/>
  <c r="D621" i="1" s="1"/>
  <c r="J621" i="1" s="1"/>
  <c r="I842" i="4"/>
  <c r="D620" i="1" s="1"/>
  <c r="J620" i="1" s="1"/>
  <c r="I841" i="4"/>
  <c r="D619" i="1" s="1"/>
  <c r="J619" i="1" s="1"/>
  <c r="I840" i="4"/>
  <c r="D618" i="1" s="1"/>
  <c r="J618" i="1" s="1"/>
  <c r="I839" i="4"/>
  <c r="D617" i="1" s="1"/>
  <c r="J617" i="1" s="1"/>
  <c r="I838" i="4"/>
  <c r="I837" i="4"/>
  <c r="D615" i="1" s="1"/>
  <c r="J615" i="1" s="1"/>
  <c r="I836" i="4"/>
  <c r="D614" i="1" s="1"/>
  <c r="J614" i="1" s="1"/>
  <c r="I835" i="4"/>
  <c r="D613" i="1" s="1"/>
  <c r="J613" i="1" s="1"/>
  <c r="I834" i="4"/>
  <c r="D612" i="1" s="1"/>
  <c r="J612" i="1" s="1"/>
  <c r="I833" i="4"/>
  <c r="I832" i="4"/>
  <c r="D610" i="1" s="1"/>
  <c r="J610" i="1" s="1"/>
  <c r="I831" i="4"/>
  <c r="D609" i="1" s="1"/>
  <c r="J609" i="1" s="1"/>
  <c r="I830" i="4"/>
  <c r="D608" i="1" s="1"/>
  <c r="J608" i="1" s="1"/>
  <c r="I829" i="4"/>
  <c r="I828" i="4"/>
  <c r="D606" i="1" s="1"/>
  <c r="J606" i="1" s="1"/>
  <c r="I827" i="4"/>
  <c r="I826" i="4"/>
  <c r="D604" i="1" s="1"/>
  <c r="J604" i="1" s="1"/>
  <c r="I825" i="4"/>
  <c r="I503" i="1"/>
  <c r="I502" i="1"/>
  <c r="I501" i="1"/>
  <c r="I500" i="1"/>
  <c r="I499" i="1"/>
  <c r="I498" i="1"/>
  <c r="H503" i="1"/>
  <c r="H502" i="1"/>
  <c r="H501" i="1"/>
  <c r="H500" i="1"/>
  <c r="H499" i="1"/>
  <c r="H498" i="1"/>
  <c r="G503" i="1"/>
  <c r="G502" i="1"/>
  <c r="G501" i="1"/>
  <c r="G500" i="1"/>
  <c r="G499" i="1"/>
  <c r="G498" i="1"/>
  <c r="F503" i="1"/>
  <c r="F502" i="1"/>
  <c r="F501" i="1"/>
  <c r="F500" i="1"/>
  <c r="F499" i="1"/>
  <c r="F498" i="1"/>
  <c r="B503" i="1"/>
  <c r="B502" i="1"/>
  <c r="B501" i="1"/>
  <c r="B500" i="1"/>
  <c r="B499" i="1"/>
  <c r="B498" i="1"/>
  <c r="A503" i="1"/>
  <c r="A502" i="1"/>
  <c r="A501" i="1"/>
  <c r="A500" i="1"/>
  <c r="A499" i="1"/>
  <c r="A498" i="1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I631" i="1"/>
  <c r="I638" i="1"/>
  <c r="I637" i="1"/>
  <c r="I636" i="1"/>
  <c r="I635" i="1"/>
  <c r="I634" i="1"/>
  <c r="I633" i="1"/>
  <c r="I632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I594" i="1"/>
  <c r="H594" i="1"/>
  <c r="G594" i="1"/>
  <c r="F594" i="1"/>
  <c r="B594" i="1"/>
  <c r="A594" i="1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H809" i="4"/>
  <c r="H813" i="4" s="1"/>
  <c r="G809" i="4"/>
  <c r="G813" i="4" s="1"/>
  <c r="F809" i="4"/>
  <c r="F813" i="4" s="1"/>
  <c r="E809" i="4"/>
  <c r="E813" i="4" s="1"/>
  <c r="D809" i="4"/>
  <c r="D813" i="4" s="1"/>
  <c r="C809" i="4"/>
  <c r="C813" i="4" s="1"/>
  <c r="I808" i="4"/>
  <c r="I807" i="4"/>
  <c r="D601" i="1" s="1"/>
  <c r="J601" i="1" s="1"/>
  <c r="I806" i="4"/>
  <c r="D600" i="1" s="1"/>
  <c r="J600" i="1" s="1"/>
  <c r="I805" i="4"/>
  <c r="D599" i="1" s="1"/>
  <c r="J599" i="1" s="1"/>
  <c r="I804" i="4"/>
  <c r="D598" i="1" s="1"/>
  <c r="J598" i="1" s="1"/>
  <c r="I803" i="4"/>
  <c r="D597" i="1" s="1"/>
  <c r="J597" i="1" s="1"/>
  <c r="I802" i="4"/>
  <c r="D596" i="1" s="1"/>
  <c r="J596" i="1" s="1"/>
  <c r="I801" i="4"/>
  <c r="D595" i="1" s="1"/>
  <c r="J595" i="1" s="1"/>
  <c r="I800" i="4"/>
  <c r="D594" i="1" s="1"/>
  <c r="J594" i="1" s="1"/>
  <c r="I799" i="4"/>
  <c r="D585" i="1" s="1"/>
  <c r="J585" i="1" s="1"/>
  <c r="I798" i="4"/>
  <c r="D584" i="1" s="1"/>
  <c r="J584" i="1" s="1"/>
  <c r="I797" i="4"/>
  <c r="D583" i="1" s="1"/>
  <c r="J583" i="1" s="1"/>
  <c r="I796" i="4"/>
  <c r="D582" i="1" s="1"/>
  <c r="J582" i="1" s="1"/>
  <c r="I795" i="4"/>
  <c r="I794" i="4"/>
  <c r="D580" i="1" s="1"/>
  <c r="J580" i="1" s="1"/>
  <c r="I793" i="4"/>
  <c r="D579" i="1" s="1"/>
  <c r="J579" i="1" s="1"/>
  <c r="I792" i="4"/>
  <c r="D578" i="1" s="1"/>
  <c r="J578" i="1" s="1"/>
  <c r="I791" i="4"/>
  <c r="D577" i="1" s="1"/>
  <c r="J577" i="1" s="1"/>
  <c r="I790" i="4"/>
  <c r="I789" i="4"/>
  <c r="I788" i="4"/>
  <c r="D574" i="1" s="1"/>
  <c r="J574" i="1" s="1"/>
  <c r="I787" i="4"/>
  <c r="D573" i="1" s="1"/>
  <c r="J573" i="1" s="1"/>
  <c r="I786" i="4"/>
  <c r="D572" i="1" s="1"/>
  <c r="J572" i="1" s="1"/>
  <c r="I785" i="4"/>
  <c r="I784" i="4"/>
  <c r="D570" i="1" s="1"/>
  <c r="J570" i="1" s="1"/>
  <c r="I783" i="4"/>
  <c r="I782" i="4"/>
  <c r="B232" i="4"/>
  <c r="B231" i="4"/>
  <c r="B230" i="4"/>
  <c r="B229" i="4"/>
  <c r="B228" i="4"/>
  <c r="B227" i="4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B226" i="4"/>
  <c r="I550" i="1"/>
  <c r="I549" i="1"/>
  <c r="I548" i="1"/>
  <c r="I547" i="1"/>
  <c r="I546" i="1"/>
  <c r="I545" i="1"/>
  <c r="I544" i="1"/>
  <c r="I543" i="1"/>
  <c r="I542" i="1"/>
  <c r="H550" i="1"/>
  <c r="H549" i="1"/>
  <c r="H548" i="1"/>
  <c r="H547" i="1"/>
  <c r="H546" i="1"/>
  <c r="H545" i="1"/>
  <c r="H544" i="1"/>
  <c r="H543" i="1"/>
  <c r="H542" i="1"/>
  <c r="G550" i="1"/>
  <c r="G549" i="1"/>
  <c r="G548" i="1"/>
  <c r="G547" i="1"/>
  <c r="G546" i="1"/>
  <c r="G545" i="1"/>
  <c r="G544" i="1"/>
  <c r="G543" i="1"/>
  <c r="G542" i="1"/>
  <c r="F550" i="1"/>
  <c r="F549" i="1"/>
  <c r="F548" i="1"/>
  <c r="F547" i="1"/>
  <c r="F546" i="1"/>
  <c r="F545" i="1"/>
  <c r="F544" i="1"/>
  <c r="F543" i="1"/>
  <c r="F542" i="1"/>
  <c r="B550" i="1"/>
  <c r="B549" i="1"/>
  <c r="B548" i="1"/>
  <c r="B547" i="1"/>
  <c r="B546" i="1"/>
  <c r="B545" i="1"/>
  <c r="B544" i="1"/>
  <c r="B543" i="1"/>
  <c r="B542" i="1"/>
  <c r="A550" i="1"/>
  <c r="A549" i="1"/>
  <c r="A548" i="1"/>
  <c r="A547" i="1"/>
  <c r="A546" i="1"/>
  <c r="A545" i="1"/>
  <c r="A544" i="1"/>
  <c r="A543" i="1"/>
  <c r="A542" i="1"/>
  <c r="I541" i="1"/>
  <c r="H541" i="1"/>
  <c r="G541" i="1"/>
  <c r="F541" i="1"/>
  <c r="B541" i="1"/>
  <c r="A541" i="1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I768" i="4"/>
  <c r="H766" i="4"/>
  <c r="H770" i="4" s="1"/>
  <c r="G766" i="4"/>
  <c r="G770" i="4" s="1"/>
  <c r="F766" i="4"/>
  <c r="F770" i="4" s="1"/>
  <c r="E766" i="4"/>
  <c r="E770" i="4" s="1"/>
  <c r="D766" i="4"/>
  <c r="D770" i="4" s="1"/>
  <c r="C766" i="4"/>
  <c r="C770" i="4" s="1"/>
  <c r="I765" i="4"/>
  <c r="D567" i="1" s="1"/>
  <c r="J567" i="1" s="1"/>
  <c r="I764" i="4"/>
  <c r="D566" i="1" s="1"/>
  <c r="J566" i="1" s="1"/>
  <c r="I763" i="4"/>
  <c r="D565" i="1" s="1"/>
  <c r="J565" i="1" s="1"/>
  <c r="I762" i="4"/>
  <c r="I761" i="4"/>
  <c r="I760" i="4"/>
  <c r="D562" i="1" s="1"/>
  <c r="J562" i="1" s="1"/>
  <c r="I759" i="4"/>
  <c r="I758" i="4"/>
  <c r="I757" i="4"/>
  <c r="O277" i="1" s="1"/>
  <c r="U277" i="1" s="1"/>
  <c r="I756" i="4"/>
  <c r="D558" i="1" s="1"/>
  <c r="J558" i="1" s="1"/>
  <c r="I755" i="4"/>
  <c r="D557" i="1" s="1"/>
  <c r="J557" i="1" s="1"/>
  <c r="I754" i="4"/>
  <c r="D556" i="1" s="1"/>
  <c r="J556" i="1" s="1"/>
  <c r="I753" i="4"/>
  <c r="D555" i="1" s="1"/>
  <c r="J555" i="1" s="1"/>
  <c r="I752" i="4"/>
  <c r="I751" i="4"/>
  <c r="D553" i="1" s="1"/>
  <c r="J553" i="1" s="1"/>
  <c r="I750" i="4"/>
  <c r="D552" i="1" s="1"/>
  <c r="J552" i="1" s="1"/>
  <c r="I749" i="4"/>
  <c r="D551" i="1" s="1"/>
  <c r="J551" i="1" s="1"/>
  <c r="I748" i="4"/>
  <c r="D550" i="1" s="1"/>
  <c r="J550" i="1" s="1"/>
  <c r="I747" i="4"/>
  <c r="I746" i="4"/>
  <c r="D548" i="1" s="1"/>
  <c r="J548" i="1" s="1"/>
  <c r="I745" i="4"/>
  <c r="D547" i="1" s="1"/>
  <c r="J547" i="1" s="1"/>
  <c r="I744" i="4"/>
  <c r="D546" i="1" s="1"/>
  <c r="J546" i="1" s="1"/>
  <c r="I743" i="4"/>
  <c r="I742" i="4"/>
  <c r="D544" i="1" s="1"/>
  <c r="J544" i="1" s="1"/>
  <c r="I741" i="4"/>
  <c r="I739" i="4"/>
  <c r="I725" i="4"/>
  <c r="B722" i="4"/>
  <c r="B713" i="4"/>
  <c r="B721" i="4"/>
  <c r="B720" i="4"/>
  <c r="B719" i="4"/>
  <c r="B718" i="4"/>
  <c r="B717" i="4"/>
  <c r="B716" i="4"/>
  <c r="B715" i="4"/>
  <c r="B714" i="4"/>
  <c r="I497" i="1"/>
  <c r="I496" i="1"/>
  <c r="I495" i="1"/>
  <c r="I494" i="1"/>
  <c r="I493" i="1"/>
  <c r="I492" i="1"/>
  <c r="I491" i="1"/>
  <c r="I490" i="1"/>
  <c r="I489" i="1"/>
  <c r="H497" i="1"/>
  <c r="H496" i="1"/>
  <c r="H495" i="1"/>
  <c r="H494" i="1"/>
  <c r="H493" i="1"/>
  <c r="H492" i="1"/>
  <c r="H491" i="1"/>
  <c r="H490" i="1"/>
  <c r="H489" i="1"/>
  <c r="G497" i="1"/>
  <c r="G496" i="1"/>
  <c r="G495" i="1"/>
  <c r="G494" i="1"/>
  <c r="G493" i="1"/>
  <c r="G492" i="1"/>
  <c r="G491" i="1"/>
  <c r="G490" i="1"/>
  <c r="G489" i="1"/>
  <c r="F497" i="1"/>
  <c r="F496" i="1"/>
  <c r="F495" i="1"/>
  <c r="F494" i="1"/>
  <c r="F493" i="1"/>
  <c r="F492" i="1"/>
  <c r="F491" i="1"/>
  <c r="F490" i="1"/>
  <c r="F489" i="1"/>
  <c r="F488" i="1"/>
  <c r="B497" i="1"/>
  <c r="B496" i="1"/>
  <c r="B495" i="1"/>
  <c r="B494" i="1"/>
  <c r="B493" i="1"/>
  <c r="B492" i="1"/>
  <c r="B491" i="1"/>
  <c r="B490" i="1"/>
  <c r="B489" i="1"/>
  <c r="A497" i="1"/>
  <c r="A496" i="1"/>
  <c r="A495" i="1"/>
  <c r="A494" i="1"/>
  <c r="A493" i="1"/>
  <c r="A492" i="1"/>
  <c r="A491" i="1"/>
  <c r="A490" i="1"/>
  <c r="A489" i="1"/>
  <c r="I488" i="1"/>
  <c r="H488" i="1"/>
  <c r="G488" i="1"/>
  <c r="B488" i="1"/>
  <c r="A488" i="1"/>
  <c r="B225" i="4"/>
  <c r="B224" i="4"/>
  <c r="B223" i="4"/>
  <c r="B222" i="4"/>
  <c r="B221" i="4"/>
  <c r="B220" i="4"/>
  <c r="C680" i="4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B479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H723" i="4"/>
  <c r="H727" i="4" s="1"/>
  <c r="G723" i="4"/>
  <c r="G727" i="4" s="1"/>
  <c r="F727" i="4"/>
  <c r="E723" i="4"/>
  <c r="E727" i="4" s="1"/>
  <c r="D723" i="4"/>
  <c r="D727" i="4" s="1"/>
  <c r="C723" i="4"/>
  <c r="C727" i="4" s="1"/>
  <c r="I722" i="4"/>
  <c r="I721" i="4"/>
  <c r="D478" i="1" s="1"/>
  <c r="J478" i="1" s="1"/>
  <c r="I720" i="4"/>
  <c r="D477" i="1" s="1"/>
  <c r="J477" i="1" s="1"/>
  <c r="I719" i="4"/>
  <c r="D476" i="1" s="1"/>
  <c r="J476" i="1" s="1"/>
  <c r="I718" i="4"/>
  <c r="D475" i="1" s="1"/>
  <c r="J475" i="1" s="1"/>
  <c r="I717" i="4"/>
  <c r="D474" i="1" s="1"/>
  <c r="J474" i="1" s="1"/>
  <c r="I716" i="4"/>
  <c r="D473" i="1" s="1"/>
  <c r="J473" i="1" s="1"/>
  <c r="I715" i="4"/>
  <c r="D472" i="1" s="1"/>
  <c r="J472" i="1" s="1"/>
  <c r="I714" i="4"/>
  <c r="D471" i="1" s="1"/>
  <c r="J471" i="1" s="1"/>
  <c r="I713" i="4"/>
  <c r="I712" i="4"/>
  <c r="D469" i="1" s="1"/>
  <c r="J469" i="1" s="1"/>
  <c r="I711" i="4"/>
  <c r="D468" i="1" s="1"/>
  <c r="J468" i="1" s="1"/>
  <c r="I710" i="4"/>
  <c r="D467" i="1" s="1"/>
  <c r="J467" i="1" s="1"/>
  <c r="I709" i="4"/>
  <c r="D466" i="1" s="1"/>
  <c r="J466" i="1" s="1"/>
  <c r="I708" i="4"/>
  <c r="D465" i="1" s="1"/>
  <c r="J465" i="1" s="1"/>
  <c r="I707" i="4"/>
  <c r="D464" i="1" s="1"/>
  <c r="J464" i="1" s="1"/>
  <c r="I706" i="4"/>
  <c r="I705" i="4"/>
  <c r="D462" i="1" s="1"/>
  <c r="J462" i="1" s="1"/>
  <c r="I704" i="4"/>
  <c r="D461" i="1" s="1"/>
  <c r="J461" i="1" s="1"/>
  <c r="I703" i="4"/>
  <c r="I702" i="4"/>
  <c r="I701" i="4"/>
  <c r="I700" i="4"/>
  <c r="D457" i="1" s="1"/>
  <c r="J457" i="1" s="1"/>
  <c r="I699" i="4"/>
  <c r="D456" i="1" s="1"/>
  <c r="J456" i="1" s="1"/>
  <c r="I698" i="4"/>
  <c r="D455" i="1" s="1"/>
  <c r="J455" i="1" s="1"/>
  <c r="I697" i="4"/>
  <c r="I696" i="4"/>
  <c r="B679" i="4"/>
  <c r="B200" i="4"/>
  <c r="B199" i="4"/>
  <c r="I450" i="1"/>
  <c r="I449" i="1"/>
  <c r="I448" i="1"/>
  <c r="I447" i="1"/>
  <c r="I446" i="1"/>
  <c r="I445" i="1"/>
  <c r="I444" i="1"/>
  <c r="I443" i="1"/>
  <c r="H450" i="1"/>
  <c r="H449" i="1"/>
  <c r="H448" i="1"/>
  <c r="H447" i="1"/>
  <c r="H446" i="1"/>
  <c r="H445" i="1"/>
  <c r="H444" i="1"/>
  <c r="H443" i="1"/>
  <c r="G450" i="1"/>
  <c r="G449" i="1"/>
  <c r="G448" i="1"/>
  <c r="G447" i="1"/>
  <c r="G446" i="1"/>
  <c r="G445" i="1"/>
  <c r="G444" i="1"/>
  <c r="G443" i="1"/>
  <c r="F450" i="1"/>
  <c r="F449" i="1"/>
  <c r="F448" i="1"/>
  <c r="F447" i="1"/>
  <c r="F446" i="1"/>
  <c r="F445" i="1"/>
  <c r="F444" i="1"/>
  <c r="F443" i="1"/>
  <c r="B450" i="1"/>
  <c r="B449" i="1"/>
  <c r="B448" i="1"/>
  <c r="B447" i="1"/>
  <c r="B446" i="1"/>
  <c r="B445" i="1"/>
  <c r="B444" i="1"/>
  <c r="B443" i="1"/>
  <c r="A446" i="1"/>
  <c r="A450" i="1"/>
  <c r="A449" i="1"/>
  <c r="A448" i="1"/>
  <c r="A447" i="1"/>
  <c r="A445" i="1"/>
  <c r="A444" i="1"/>
  <c r="A443" i="1"/>
  <c r="I442" i="1"/>
  <c r="I441" i="1"/>
  <c r="I440" i="1"/>
  <c r="I439" i="1"/>
  <c r="H442" i="1"/>
  <c r="H441" i="1"/>
  <c r="H440" i="1"/>
  <c r="H439" i="1"/>
  <c r="G442" i="1"/>
  <c r="G441" i="1"/>
  <c r="G440" i="1"/>
  <c r="G439" i="1"/>
  <c r="B442" i="1"/>
  <c r="B441" i="1"/>
  <c r="B440" i="1"/>
  <c r="B439" i="1"/>
  <c r="F442" i="1"/>
  <c r="F441" i="1"/>
  <c r="F440" i="1"/>
  <c r="F439" i="1"/>
  <c r="A442" i="1"/>
  <c r="A441" i="1"/>
  <c r="A440" i="1"/>
  <c r="A439" i="1"/>
  <c r="I438" i="1"/>
  <c r="I437" i="1"/>
  <c r="I436" i="1"/>
  <c r="I435" i="1"/>
  <c r="H438" i="1"/>
  <c r="H437" i="1"/>
  <c r="H436" i="1"/>
  <c r="H435" i="1"/>
  <c r="G438" i="1"/>
  <c r="G437" i="1"/>
  <c r="G436" i="1"/>
  <c r="G435" i="1"/>
  <c r="B435" i="1"/>
  <c r="F438" i="1"/>
  <c r="F437" i="1"/>
  <c r="F436" i="1"/>
  <c r="F435" i="1"/>
  <c r="B438" i="1"/>
  <c r="B437" i="1"/>
  <c r="A438" i="1"/>
  <c r="A437" i="1"/>
  <c r="B436" i="1"/>
  <c r="A436" i="1"/>
  <c r="A435" i="1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A421" i="1"/>
  <c r="B421" i="1"/>
  <c r="F421" i="1"/>
  <c r="A417" i="1"/>
  <c r="B661" i="4"/>
  <c r="B660" i="4"/>
  <c r="B659" i="4"/>
  <c r="B658" i="4"/>
  <c r="B657" i="4"/>
  <c r="B656" i="4"/>
  <c r="B655" i="4"/>
  <c r="B654" i="4"/>
  <c r="B653" i="4"/>
  <c r="I682" i="4"/>
  <c r="H680" i="4"/>
  <c r="H684" i="4" s="1"/>
  <c r="G680" i="4"/>
  <c r="G684" i="4" s="1"/>
  <c r="F680" i="4"/>
  <c r="F684" i="4" s="1"/>
  <c r="E680" i="4"/>
  <c r="E684" i="4" s="1"/>
  <c r="D680" i="4"/>
  <c r="D684" i="4" s="1"/>
  <c r="I679" i="4"/>
  <c r="D452" i="1" s="1"/>
  <c r="J452" i="1" s="1"/>
  <c r="I678" i="4"/>
  <c r="D451" i="1" s="1"/>
  <c r="J451" i="1" s="1"/>
  <c r="I677" i="4"/>
  <c r="I676" i="4"/>
  <c r="O21" i="1" s="1"/>
  <c r="U21" i="1" s="1"/>
  <c r="I675" i="4"/>
  <c r="D448" i="1" s="1"/>
  <c r="J448" i="1" s="1"/>
  <c r="I674" i="4"/>
  <c r="D447" i="1" s="1"/>
  <c r="J447" i="1" s="1"/>
  <c r="I673" i="4"/>
  <c r="D446" i="1" s="1"/>
  <c r="J446" i="1" s="1"/>
  <c r="I672" i="4"/>
  <c r="I670" i="4"/>
  <c r="I669" i="4"/>
  <c r="D442" i="1" s="1"/>
  <c r="J442" i="1" s="1"/>
  <c r="I668" i="4"/>
  <c r="D441" i="1" s="1"/>
  <c r="J441" i="1" s="1"/>
  <c r="I667" i="4"/>
  <c r="D440" i="1" s="1"/>
  <c r="J440" i="1" s="1"/>
  <c r="I666" i="4"/>
  <c r="I665" i="4"/>
  <c r="I664" i="4"/>
  <c r="D437" i="1" s="1"/>
  <c r="J437" i="1" s="1"/>
  <c r="I663" i="4"/>
  <c r="D436" i="1" s="1"/>
  <c r="J436" i="1" s="1"/>
  <c r="I662" i="4"/>
  <c r="I661" i="4"/>
  <c r="I660" i="4"/>
  <c r="I659" i="4"/>
  <c r="D424" i="1" s="1"/>
  <c r="J424" i="1" s="1"/>
  <c r="I658" i="4"/>
  <c r="I657" i="4"/>
  <c r="D422" i="1" s="1"/>
  <c r="J422" i="1" s="1"/>
  <c r="I656" i="4"/>
  <c r="D421" i="1" s="1"/>
  <c r="J421" i="1" s="1"/>
  <c r="I655" i="4"/>
  <c r="D420" i="1" s="1"/>
  <c r="J420" i="1" s="1"/>
  <c r="I654" i="4"/>
  <c r="D419" i="1" s="1"/>
  <c r="J419" i="1" s="1"/>
  <c r="I653" i="4"/>
  <c r="D418" i="1" s="1"/>
  <c r="J418" i="1" s="1"/>
  <c r="B417" i="1"/>
  <c r="F77" i="1"/>
  <c r="G77" i="1"/>
  <c r="I77" i="1"/>
  <c r="H406" i="1"/>
  <c r="H405" i="1"/>
  <c r="H404" i="1"/>
  <c r="H403" i="1"/>
  <c r="H402" i="1"/>
  <c r="H401" i="1"/>
  <c r="H400" i="1"/>
  <c r="H399" i="1"/>
  <c r="H397" i="1"/>
  <c r="H396" i="1"/>
  <c r="H395" i="1"/>
  <c r="H394" i="1"/>
  <c r="H393" i="1"/>
  <c r="H392" i="1"/>
  <c r="H391" i="1"/>
  <c r="H390" i="1"/>
  <c r="H389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F407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F426" i="1"/>
  <c r="F425" i="1"/>
  <c r="F424" i="1"/>
  <c r="F423" i="1"/>
  <c r="F422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B426" i="1"/>
  <c r="B425" i="1"/>
  <c r="B424" i="1"/>
  <c r="B423" i="1"/>
  <c r="B422" i="1"/>
  <c r="B420" i="1"/>
  <c r="B419" i="1"/>
  <c r="B418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A426" i="1"/>
  <c r="A425" i="1"/>
  <c r="A424" i="1"/>
  <c r="A423" i="1"/>
  <c r="A422" i="1"/>
  <c r="A420" i="1"/>
  <c r="A419" i="1"/>
  <c r="A418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388" i="1"/>
  <c r="B387" i="1"/>
  <c r="B386" i="1"/>
  <c r="B385" i="1"/>
  <c r="I388" i="1"/>
  <c r="I387" i="1"/>
  <c r="I386" i="1"/>
  <c r="I385" i="1"/>
  <c r="I384" i="1"/>
  <c r="H388" i="1"/>
  <c r="H387" i="1"/>
  <c r="H386" i="1"/>
  <c r="H385" i="1"/>
  <c r="H384" i="1"/>
  <c r="G388" i="1"/>
  <c r="G387" i="1"/>
  <c r="G386" i="1"/>
  <c r="G385" i="1"/>
  <c r="G384" i="1"/>
  <c r="F388" i="1"/>
  <c r="F387" i="1"/>
  <c r="F386" i="1"/>
  <c r="F385" i="1"/>
  <c r="F384" i="1"/>
  <c r="A388" i="1"/>
  <c r="A387" i="1"/>
  <c r="A386" i="1"/>
  <c r="A385" i="1"/>
  <c r="B384" i="1"/>
  <c r="A384" i="1"/>
  <c r="I383" i="1"/>
  <c r="H383" i="1"/>
  <c r="G383" i="1"/>
  <c r="F383" i="1"/>
  <c r="B383" i="1"/>
  <c r="A383" i="1"/>
  <c r="I382" i="1"/>
  <c r="H382" i="1"/>
  <c r="G382" i="1"/>
  <c r="F382" i="1"/>
  <c r="B382" i="1"/>
  <c r="A382" i="1"/>
  <c r="B593" i="4"/>
  <c r="B592" i="4"/>
  <c r="B591" i="4"/>
  <c r="B590" i="4"/>
  <c r="B589" i="4"/>
  <c r="B588" i="4"/>
  <c r="B587" i="4"/>
  <c r="B586" i="4"/>
  <c r="B585" i="4"/>
  <c r="A371" i="1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I291" i="4"/>
  <c r="D757" i="1" s="1"/>
  <c r="J757" i="1" s="1"/>
  <c r="I290" i="4"/>
  <c r="I289" i="4"/>
  <c r="I288" i="4"/>
  <c r="I287" i="4"/>
  <c r="D753" i="1" s="1"/>
  <c r="I286" i="4"/>
  <c r="I285" i="4"/>
  <c r="I284" i="4"/>
  <c r="I283" i="4"/>
  <c r="O385" i="1" s="1"/>
  <c r="U385" i="1" s="1"/>
  <c r="I282" i="4"/>
  <c r="I281" i="4"/>
  <c r="D527" i="1" s="1"/>
  <c r="J527" i="1" s="1"/>
  <c r="I280" i="4"/>
  <c r="D526" i="1" s="1"/>
  <c r="J526" i="1" s="1"/>
  <c r="I279" i="4"/>
  <c r="I278" i="4"/>
  <c r="I277" i="4"/>
  <c r="D523" i="1" s="1"/>
  <c r="J523" i="1" s="1"/>
  <c r="I276" i="4"/>
  <c r="I275" i="4"/>
  <c r="I274" i="4"/>
  <c r="I273" i="4"/>
  <c r="I272" i="4"/>
  <c r="I271" i="4"/>
  <c r="I270" i="4"/>
  <c r="I269" i="4"/>
  <c r="I268" i="4"/>
  <c r="D514" i="1" s="1"/>
  <c r="J514" i="1" s="1"/>
  <c r="I267" i="4"/>
  <c r="D513" i="1" s="1"/>
  <c r="J513" i="1" s="1"/>
  <c r="I266" i="4"/>
  <c r="D512" i="1" s="1"/>
  <c r="J512" i="1" s="1"/>
  <c r="I265" i="4"/>
  <c r="D511" i="1" s="1"/>
  <c r="J511" i="1" s="1"/>
  <c r="I246" i="4"/>
  <c r="D510" i="1" s="1"/>
  <c r="J510" i="1" s="1"/>
  <c r="I245" i="4"/>
  <c r="D509" i="1" s="1"/>
  <c r="J509" i="1" s="1"/>
  <c r="I244" i="4"/>
  <c r="D508" i="1" s="1"/>
  <c r="J508" i="1" s="1"/>
  <c r="I243" i="4"/>
  <c r="I242" i="4"/>
  <c r="D506" i="1" s="1"/>
  <c r="J506" i="1" s="1"/>
  <c r="I241" i="4"/>
  <c r="D505" i="1" s="1"/>
  <c r="J505" i="1" s="1"/>
  <c r="I240" i="4"/>
  <c r="I239" i="4"/>
  <c r="I238" i="4"/>
  <c r="I237" i="4"/>
  <c r="D501" i="1" s="1"/>
  <c r="J501" i="1" s="1"/>
  <c r="I236" i="4"/>
  <c r="I235" i="4"/>
  <c r="I234" i="4"/>
  <c r="D498" i="1" s="1"/>
  <c r="J498" i="1" s="1"/>
  <c r="I233" i="4"/>
  <c r="I232" i="4"/>
  <c r="D496" i="1" s="1"/>
  <c r="J496" i="1" s="1"/>
  <c r="I231" i="4"/>
  <c r="I230" i="4"/>
  <c r="D494" i="1" s="1"/>
  <c r="J494" i="1" s="1"/>
  <c r="I229" i="4"/>
  <c r="I228" i="4"/>
  <c r="I227" i="4"/>
  <c r="I226" i="4"/>
  <c r="D490" i="1" s="1"/>
  <c r="J490" i="1" s="1"/>
  <c r="I225" i="4"/>
  <c r="D489" i="1" s="1"/>
  <c r="J489" i="1" s="1"/>
  <c r="I224" i="4"/>
  <c r="D488" i="1" s="1"/>
  <c r="J488" i="1" s="1"/>
  <c r="I223" i="4"/>
  <c r="I222" i="4"/>
  <c r="D266" i="1" s="1"/>
  <c r="J266" i="1" s="1"/>
  <c r="I221" i="4"/>
  <c r="I220" i="4"/>
  <c r="D264" i="1" s="1"/>
  <c r="J264" i="1" s="1"/>
  <c r="I197" i="4"/>
  <c r="D257" i="1" s="1"/>
  <c r="J257" i="1" s="1"/>
  <c r="I196" i="4"/>
  <c r="D256" i="1" s="1"/>
  <c r="J256" i="1" s="1"/>
  <c r="I195" i="4"/>
  <c r="D255" i="1" s="1"/>
  <c r="J255" i="1" s="1"/>
  <c r="I194" i="4"/>
  <c r="D254" i="1" s="1"/>
  <c r="J254" i="1" s="1"/>
  <c r="I193" i="4"/>
  <c r="I192" i="4"/>
  <c r="D252" i="1" s="1"/>
  <c r="J252" i="1" s="1"/>
  <c r="I191" i="4"/>
  <c r="I190" i="4"/>
  <c r="D250" i="1" s="1"/>
  <c r="J250" i="1" s="1"/>
  <c r="I189" i="4"/>
  <c r="D249" i="1" s="1"/>
  <c r="J249" i="1" s="1"/>
  <c r="I188" i="4"/>
  <c r="D248" i="1" s="1"/>
  <c r="J248" i="1" s="1"/>
  <c r="I187" i="4"/>
  <c r="D247" i="1" s="1"/>
  <c r="J247" i="1" s="1"/>
  <c r="I186" i="4"/>
  <c r="D246" i="1" s="1"/>
  <c r="J246" i="1" s="1"/>
  <c r="I185" i="4"/>
  <c r="D245" i="1" s="1"/>
  <c r="J245" i="1" s="1"/>
  <c r="I184" i="4"/>
  <c r="D244" i="1" s="1"/>
  <c r="J244" i="1" s="1"/>
  <c r="I183" i="4"/>
  <c r="I182" i="4"/>
  <c r="D242" i="1" s="1"/>
  <c r="J242" i="1" s="1"/>
  <c r="I181" i="4"/>
  <c r="I180" i="4"/>
  <c r="I179" i="4"/>
  <c r="D239" i="1" s="1"/>
  <c r="J239" i="1" s="1"/>
  <c r="I178" i="4"/>
  <c r="I177" i="4"/>
  <c r="D237" i="1" s="1"/>
  <c r="J237" i="1" s="1"/>
  <c r="I203" i="4"/>
  <c r="D263" i="1" s="1"/>
  <c r="J263" i="1" s="1"/>
  <c r="I202" i="4"/>
  <c r="D262" i="1" s="1"/>
  <c r="J262" i="1" s="1"/>
  <c r="I201" i="4"/>
  <c r="D261" i="1" s="1"/>
  <c r="J261" i="1" s="1"/>
  <c r="I200" i="4"/>
  <c r="D260" i="1" s="1"/>
  <c r="J260" i="1" s="1"/>
  <c r="I199" i="4"/>
  <c r="I198" i="4"/>
  <c r="D120" i="1"/>
  <c r="J120" i="1" s="1"/>
  <c r="G317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H373" i="1"/>
  <c r="H372" i="1"/>
  <c r="H371" i="1"/>
  <c r="H370" i="1"/>
  <c r="H369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F373" i="1"/>
  <c r="F372" i="1"/>
  <c r="F371" i="1"/>
  <c r="F370" i="1"/>
  <c r="F369" i="1"/>
  <c r="F368" i="1"/>
  <c r="F367" i="1"/>
  <c r="F366" i="1"/>
  <c r="F365" i="1"/>
  <c r="F364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A337" i="1"/>
  <c r="A373" i="1"/>
  <c r="A372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6" i="1"/>
  <c r="A335" i="1"/>
  <c r="A334" i="1"/>
  <c r="A333" i="1"/>
  <c r="A332" i="1"/>
  <c r="B203" i="4"/>
  <c r="A11" i="1"/>
  <c r="I331" i="1"/>
  <c r="I330" i="1"/>
  <c r="I329" i="1"/>
  <c r="H331" i="1"/>
  <c r="H330" i="1"/>
  <c r="H329" i="1"/>
  <c r="G331" i="1"/>
  <c r="G330" i="1"/>
  <c r="G329" i="1"/>
  <c r="F331" i="1"/>
  <c r="F330" i="1"/>
  <c r="F329" i="1"/>
  <c r="B331" i="1"/>
  <c r="B330" i="1"/>
  <c r="B329" i="1"/>
  <c r="A330" i="1"/>
  <c r="A331" i="1"/>
  <c r="A329" i="1"/>
  <c r="B453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I297" i="1"/>
  <c r="I296" i="1"/>
  <c r="I295" i="1"/>
  <c r="I294" i="1"/>
  <c r="I293" i="1"/>
  <c r="H297" i="1"/>
  <c r="H296" i="1"/>
  <c r="H295" i="1"/>
  <c r="H294" i="1"/>
  <c r="H293" i="1"/>
  <c r="H292" i="1"/>
  <c r="G297" i="1"/>
  <c r="G296" i="1"/>
  <c r="G295" i="1"/>
  <c r="G294" i="1"/>
  <c r="G293" i="1"/>
  <c r="F297" i="1"/>
  <c r="F296" i="1"/>
  <c r="F295" i="1"/>
  <c r="F294" i="1"/>
  <c r="F293" i="1"/>
  <c r="B297" i="1"/>
  <c r="B296" i="1"/>
  <c r="B295" i="1"/>
  <c r="B294" i="1"/>
  <c r="B293" i="1"/>
  <c r="A297" i="1"/>
  <c r="A296" i="1"/>
  <c r="A295" i="1"/>
  <c r="A294" i="1"/>
  <c r="A293" i="1"/>
  <c r="A39" i="1"/>
  <c r="I86" i="1"/>
  <c r="F17" i="1"/>
  <c r="F14" i="1"/>
  <c r="H320" i="1"/>
  <c r="H319" i="1"/>
  <c r="H31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G320" i="1"/>
  <c r="G319" i="1"/>
  <c r="G318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A320" i="1"/>
  <c r="A319" i="1"/>
  <c r="A318" i="1"/>
  <c r="A317" i="1"/>
  <c r="A316" i="1"/>
  <c r="A315" i="1"/>
  <c r="A292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H276" i="1"/>
  <c r="F276" i="1"/>
  <c r="A276" i="1"/>
  <c r="H267" i="1"/>
  <c r="H266" i="1"/>
  <c r="H265" i="1"/>
  <c r="H264" i="1"/>
  <c r="H263" i="1"/>
  <c r="H262" i="1"/>
  <c r="H261" i="1"/>
  <c r="H260" i="1"/>
  <c r="H259" i="1"/>
  <c r="H258" i="1"/>
  <c r="H257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29" i="1"/>
  <c r="H228" i="1"/>
  <c r="H227" i="1"/>
  <c r="H226" i="1"/>
  <c r="H225" i="1"/>
  <c r="H224" i="1"/>
  <c r="H223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B229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8" i="1"/>
  <c r="B227" i="1"/>
  <c r="B226" i="1"/>
  <c r="B225" i="1"/>
  <c r="B224" i="1"/>
  <c r="A251" i="1"/>
  <c r="A249" i="1"/>
  <c r="A24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0" i="1"/>
  <c r="A247" i="1"/>
  <c r="A245" i="1"/>
  <c r="A246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B223" i="1"/>
  <c r="I223" i="1"/>
  <c r="G223" i="1"/>
  <c r="F223" i="1"/>
  <c r="A223" i="1"/>
  <c r="C119" i="4"/>
  <c r="C123" i="4" s="1"/>
  <c r="B147" i="4"/>
  <c r="B202" i="4"/>
  <c r="B201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I160" i="4"/>
  <c r="D236" i="1" s="1"/>
  <c r="J236" i="1" s="1"/>
  <c r="I159" i="4"/>
  <c r="I158" i="4"/>
  <c r="D234" i="1" s="1"/>
  <c r="J234" i="1" s="1"/>
  <c r="I157" i="4"/>
  <c r="I156" i="4"/>
  <c r="D232" i="1" s="1"/>
  <c r="J232" i="1" s="1"/>
  <c r="I155" i="4"/>
  <c r="D231" i="1" s="1"/>
  <c r="J231" i="1" s="1"/>
  <c r="I154" i="4"/>
  <c r="I153" i="4"/>
  <c r="D229" i="1" s="1"/>
  <c r="J229" i="1" s="1"/>
  <c r="I152" i="4"/>
  <c r="I151" i="4"/>
  <c r="D227" i="1" s="1"/>
  <c r="J227" i="1" s="1"/>
  <c r="I150" i="4"/>
  <c r="I149" i="4"/>
  <c r="D225" i="1" s="1"/>
  <c r="J225" i="1" s="1"/>
  <c r="I148" i="4"/>
  <c r="D224" i="1" s="1"/>
  <c r="J224" i="1" s="1"/>
  <c r="I147" i="4"/>
  <c r="I146" i="4"/>
  <c r="D109" i="1" s="1"/>
  <c r="J109" i="1" s="1"/>
  <c r="I145" i="4"/>
  <c r="D108" i="1" s="1"/>
  <c r="J108" i="1" s="1"/>
  <c r="I144" i="4"/>
  <c r="D107" i="1" s="1"/>
  <c r="J107" i="1" s="1"/>
  <c r="I143" i="4"/>
  <c r="D106" i="1" s="1"/>
  <c r="J106" i="1" s="1"/>
  <c r="I142" i="4"/>
  <c r="I141" i="4"/>
  <c r="O384" i="1" s="1"/>
  <c r="U384" i="1" s="1"/>
  <c r="I140" i="4"/>
  <c r="I139" i="4"/>
  <c r="I138" i="4"/>
  <c r="I137" i="4"/>
  <c r="D100" i="1" s="1"/>
  <c r="J100" i="1" s="1"/>
  <c r="I136" i="4"/>
  <c r="D99" i="1" s="1"/>
  <c r="J99" i="1" s="1"/>
  <c r="I135" i="4"/>
  <c r="D98" i="1" s="1"/>
  <c r="J98" i="1" s="1"/>
  <c r="I134" i="4"/>
  <c r="D97" i="1" s="1"/>
  <c r="J97" i="1" s="1"/>
  <c r="I118" i="4"/>
  <c r="D96" i="1" s="1"/>
  <c r="J96" i="1" s="1"/>
  <c r="I117" i="4"/>
  <c r="D95" i="1" s="1"/>
  <c r="J95" i="1" s="1"/>
  <c r="I116" i="4"/>
  <c r="I115" i="4"/>
  <c r="D93" i="1" s="1"/>
  <c r="J93" i="1" s="1"/>
  <c r="I114" i="4"/>
  <c r="D92" i="1" s="1"/>
  <c r="J92" i="1" s="1"/>
  <c r="I113" i="4"/>
  <c r="D91" i="1" s="1"/>
  <c r="J91" i="1" s="1"/>
  <c r="I112" i="4"/>
  <c r="I111" i="4"/>
  <c r="D89" i="1" s="1"/>
  <c r="J89" i="1" s="1"/>
  <c r="I110" i="4"/>
  <c r="D88" i="1" s="1"/>
  <c r="J88" i="1" s="1"/>
  <c r="I109" i="4"/>
  <c r="O10" i="1" s="1"/>
  <c r="U10" i="1" s="1"/>
  <c r="I108" i="4"/>
  <c r="D86" i="1" s="1"/>
  <c r="J86" i="1" s="1"/>
  <c r="I107" i="4"/>
  <c r="D85" i="1" s="1"/>
  <c r="J85" i="1" s="1"/>
  <c r="I106" i="4"/>
  <c r="I105" i="4"/>
  <c r="I104" i="4"/>
  <c r="D82" i="1" s="1"/>
  <c r="J82" i="1" s="1"/>
  <c r="I103" i="4"/>
  <c r="D81" i="1" s="1"/>
  <c r="J81" i="1" s="1"/>
  <c r="I102" i="4"/>
  <c r="D80" i="1" s="1"/>
  <c r="J80" i="1" s="1"/>
  <c r="I101" i="4"/>
  <c r="I100" i="4"/>
  <c r="I99" i="4"/>
  <c r="D77" i="1" s="1"/>
  <c r="J77" i="1" s="1"/>
  <c r="I98" i="4"/>
  <c r="D76" i="1" s="1"/>
  <c r="J76" i="1" s="1"/>
  <c r="I97" i="4"/>
  <c r="I96" i="4"/>
  <c r="D74" i="1" s="1"/>
  <c r="J74" i="1" s="1"/>
  <c r="I95" i="4"/>
  <c r="D73" i="1" s="1"/>
  <c r="J73" i="1" s="1"/>
  <c r="I94" i="4"/>
  <c r="D72" i="1" s="1"/>
  <c r="J72" i="1" s="1"/>
  <c r="I93" i="4"/>
  <c r="I92" i="4"/>
  <c r="I76" i="4"/>
  <c r="I75" i="4"/>
  <c r="I74" i="4"/>
  <c r="D67" i="1" s="1"/>
  <c r="J67" i="1" s="1"/>
  <c r="I73" i="4"/>
  <c r="I72" i="4"/>
  <c r="I71" i="4"/>
  <c r="I70" i="4"/>
  <c r="I69" i="4"/>
  <c r="D53" i="1" s="1"/>
  <c r="J53" i="1" s="1"/>
  <c r="I68" i="4"/>
  <c r="I67" i="4"/>
  <c r="D51" i="1" s="1"/>
  <c r="J51" i="1" s="1"/>
  <c r="I66" i="4"/>
  <c r="I65" i="4"/>
  <c r="D49" i="1" s="1"/>
  <c r="J49" i="1" s="1"/>
  <c r="I64" i="4"/>
  <c r="D48" i="1" s="1"/>
  <c r="J48" i="1" s="1"/>
  <c r="I63" i="4"/>
  <c r="I62" i="4"/>
  <c r="I61" i="4"/>
  <c r="D45" i="1" s="1"/>
  <c r="J45" i="1" s="1"/>
  <c r="I60" i="4"/>
  <c r="D44" i="1" s="1"/>
  <c r="J44" i="1" s="1"/>
  <c r="I59" i="4"/>
  <c r="I58" i="4"/>
  <c r="D42" i="1" s="1"/>
  <c r="J42" i="1" s="1"/>
  <c r="I57" i="4"/>
  <c r="D41" i="1" s="1"/>
  <c r="J41" i="1" s="1"/>
  <c r="I56" i="4"/>
  <c r="D40" i="1" s="1"/>
  <c r="J40" i="1" s="1"/>
  <c r="I55" i="4"/>
  <c r="I54" i="4"/>
  <c r="I53" i="4"/>
  <c r="D37" i="1" s="1"/>
  <c r="J37" i="1" s="1"/>
  <c r="I52" i="4"/>
  <c r="I51" i="4"/>
  <c r="D35" i="1" s="1"/>
  <c r="J35" i="1" s="1"/>
  <c r="I50" i="4"/>
  <c r="I34" i="4"/>
  <c r="D33" i="1" s="1"/>
  <c r="J33" i="1" s="1"/>
  <c r="I33" i="4"/>
  <c r="D32" i="1" s="1"/>
  <c r="J32" i="1" s="1"/>
  <c r="I32" i="4"/>
  <c r="I31" i="4"/>
  <c r="I30" i="4"/>
  <c r="O383" i="1" s="1"/>
  <c r="I29" i="4"/>
  <c r="I28" i="4"/>
  <c r="D27" i="1" s="1"/>
  <c r="J27" i="1" s="1"/>
  <c r="I27" i="4"/>
  <c r="I26" i="4"/>
  <c r="D25" i="1" s="1"/>
  <c r="J25" i="1" s="1"/>
  <c r="I25" i="4"/>
  <c r="I24" i="4"/>
  <c r="D23" i="1" s="1"/>
  <c r="J23" i="1" s="1"/>
  <c r="I23" i="4"/>
  <c r="D22" i="1" s="1"/>
  <c r="J22" i="1" s="1"/>
  <c r="I22" i="4"/>
  <c r="D21" i="1" s="1"/>
  <c r="J21" i="1" s="1"/>
  <c r="I21" i="4"/>
  <c r="D20" i="1" s="1"/>
  <c r="J20" i="1" s="1"/>
  <c r="I20" i="4"/>
  <c r="D19" i="1" s="1"/>
  <c r="J19" i="1" s="1"/>
  <c r="I19" i="4"/>
  <c r="I18" i="4"/>
  <c r="I17" i="4"/>
  <c r="D16" i="1" s="1"/>
  <c r="J16" i="1" s="1"/>
  <c r="I16" i="4"/>
  <c r="I15" i="4"/>
  <c r="I14" i="4"/>
  <c r="I13" i="4"/>
  <c r="D12" i="1" s="1"/>
  <c r="J12" i="1" s="1"/>
  <c r="I12" i="4"/>
  <c r="I11" i="4"/>
  <c r="D10" i="1" s="1"/>
  <c r="J10" i="1" s="1"/>
  <c r="I10" i="4"/>
  <c r="H35" i="4"/>
  <c r="H39" i="4" s="1"/>
  <c r="G35" i="4"/>
  <c r="G39" i="4" s="1"/>
  <c r="F35" i="4"/>
  <c r="F39" i="4" s="1"/>
  <c r="E35" i="4"/>
  <c r="E39" i="4" s="1"/>
  <c r="D35" i="4"/>
  <c r="D39" i="4" s="1"/>
  <c r="B442" i="4"/>
  <c r="B441" i="4"/>
  <c r="B463" i="4"/>
  <c r="B462" i="4"/>
  <c r="B461" i="4"/>
  <c r="B460" i="4"/>
  <c r="B459" i="4"/>
  <c r="B458" i="4"/>
  <c r="B457" i="4"/>
  <c r="B456" i="4"/>
  <c r="B455" i="4"/>
  <c r="B454" i="4"/>
  <c r="B452" i="4"/>
  <c r="B451" i="4"/>
  <c r="B450" i="4"/>
  <c r="B449" i="4"/>
  <c r="B448" i="4"/>
  <c r="B447" i="4"/>
  <c r="B446" i="4"/>
  <c r="B445" i="4"/>
  <c r="B444" i="4"/>
  <c r="B443" i="4"/>
  <c r="B440" i="4"/>
  <c r="B439" i="4"/>
  <c r="B438" i="4"/>
  <c r="B437" i="4"/>
  <c r="B420" i="4"/>
  <c r="B419" i="4"/>
  <c r="B418" i="4"/>
  <c r="B417" i="4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F187" i="1"/>
  <c r="H187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6" i="1"/>
  <c r="H185" i="1"/>
  <c r="H184" i="1"/>
  <c r="H183" i="1"/>
  <c r="H182" i="1"/>
  <c r="H181" i="1"/>
  <c r="H180" i="1"/>
  <c r="H179" i="1"/>
  <c r="H178" i="1"/>
  <c r="I197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6" i="1"/>
  <c r="F185" i="1"/>
  <c r="F184" i="1"/>
  <c r="F183" i="1"/>
  <c r="F182" i="1"/>
  <c r="F181" i="1"/>
  <c r="F180" i="1"/>
  <c r="F179" i="1"/>
  <c r="F178" i="1"/>
  <c r="F177" i="1"/>
  <c r="I177" i="1"/>
  <c r="I176" i="1"/>
  <c r="I175" i="1"/>
  <c r="I174" i="1"/>
  <c r="I173" i="1"/>
  <c r="I172" i="1"/>
  <c r="I171" i="1"/>
  <c r="I170" i="1"/>
  <c r="H177" i="1"/>
  <c r="H176" i="1"/>
  <c r="H175" i="1"/>
  <c r="H174" i="1"/>
  <c r="H173" i="1"/>
  <c r="H172" i="1"/>
  <c r="H171" i="1"/>
  <c r="H170" i="1"/>
  <c r="G177" i="1"/>
  <c r="G176" i="1"/>
  <c r="G175" i="1"/>
  <c r="G174" i="1"/>
  <c r="G173" i="1"/>
  <c r="G172" i="1"/>
  <c r="G171" i="1"/>
  <c r="G170" i="1"/>
  <c r="F176" i="1"/>
  <c r="F175" i="1"/>
  <c r="F174" i="1"/>
  <c r="F173" i="1"/>
  <c r="F172" i="1"/>
  <c r="F171" i="1"/>
  <c r="F170" i="1"/>
  <c r="I161" i="1"/>
  <c r="I160" i="1"/>
  <c r="I159" i="1"/>
  <c r="I158" i="1"/>
  <c r="I157" i="1"/>
  <c r="I156" i="1"/>
  <c r="I155" i="1"/>
  <c r="I154" i="1"/>
  <c r="I153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H161" i="1"/>
  <c r="H160" i="1"/>
  <c r="H159" i="1"/>
  <c r="H158" i="1"/>
  <c r="H157" i="1"/>
  <c r="H156" i="1"/>
  <c r="H155" i="1"/>
  <c r="H154" i="1"/>
  <c r="H153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G161" i="1"/>
  <c r="G160" i="1"/>
  <c r="G159" i="1"/>
  <c r="G158" i="1"/>
  <c r="G157" i="1"/>
  <c r="G156" i="1"/>
  <c r="G155" i="1"/>
  <c r="G154" i="1"/>
  <c r="G153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F161" i="1"/>
  <c r="F160" i="1"/>
  <c r="F159" i="1"/>
  <c r="F158" i="1"/>
  <c r="F157" i="1"/>
  <c r="F156" i="1"/>
  <c r="F155" i="1"/>
  <c r="F154" i="1"/>
  <c r="F153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I125" i="1"/>
  <c r="I124" i="1"/>
  <c r="I123" i="1"/>
  <c r="I122" i="1"/>
  <c r="I121" i="1"/>
  <c r="I120" i="1"/>
  <c r="I119" i="1"/>
  <c r="I118" i="1"/>
  <c r="H125" i="1"/>
  <c r="H124" i="1"/>
  <c r="H123" i="1"/>
  <c r="H122" i="1"/>
  <c r="H121" i="1"/>
  <c r="H120" i="1"/>
  <c r="H119" i="1"/>
  <c r="H118" i="1"/>
  <c r="G125" i="1"/>
  <c r="G124" i="1"/>
  <c r="G123" i="1"/>
  <c r="G122" i="1"/>
  <c r="G121" i="1"/>
  <c r="G120" i="1"/>
  <c r="G119" i="1"/>
  <c r="G118" i="1"/>
  <c r="F125" i="1"/>
  <c r="F124" i="1"/>
  <c r="F123" i="1"/>
  <c r="F122" i="1"/>
  <c r="F121" i="1"/>
  <c r="F120" i="1"/>
  <c r="F119" i="1"/>
  <c r="F118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B162" i="1"/>
  <c r="B161" i="1"/>
  <c r="B160" i="1"/>
  <c r="B159" i="1"/>
  <c r="B158" i="1"/>
  <c r="B157" i="1"/>
  <c r="B156" i="1"/>
  <c r="B155" i="1"/>
  <c r="B154" i="1"/>
  <c r="B153" i="1"/>
  <c r="B151" i="1"/>
  <c r="B150" i="1"/>
  <c r="B149" i="1"/>
  <c r="B148" i="1"/>
  <c r="B147" i="1"/>
  <c r="B145" i="1"/>
  <c r="B143" i="1"/>
  <c r="B146" i="1"/>
  <c r="B144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A143" i="1"/>
  <c r="A162" i="1"/>
  <c r="A161" i="1"/>
  <c r="A160" i="1"/>
  <c r="A159" i="1"/>
  <c r="A158" i="1"/>
  <c r="A157" i="1"/>
  <c r="A156" i="1"/>
  <c r="A155" i="1"/>
  <c r="A154" i="1"/>
  <c r="A153" i="1"/>
  <c r="A151" i="1"/>
  <c r="A150" i="1"/>
  <c r="A149" i="1"/>
  <c r="A148" i="1"/>
  <c r="A147" i="1"/>
  <c r="A146" i="1"/>
  <c r="A145" i="1"/>
  <c r="A144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B91" i="1"/>
  <c r="B90" i="1"/>
  <c r="B89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5" i="1"/>
  <c r="I84" i="1"/>
  <c r="I83" i="1"/>
  <c r="I82" i="1"/>
  <c r="I81" i="1"/>
  <c r="I80" i="1"/>
  <c r="I79" i="1"/>
  <c r="I78" i="1"/>
  <c r="I76" i="1"/>
  <c r="I75" i="1"/>
  <c r="I74" i="1"/>
  <c r="I73" i="1"/>
  <c r="H109" i="1"/>
  <c r="H108" i="1"/>
  <c r="H107" i="1"/>
  <c r="H106" i="1"/>
  <c r="H105" i="1"/>
  <c r="H104" i="1"/>
  <c r="H103" i="1"/>
  <c r="H102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6" i="1"/>
  <c r="G75" i="1"/>
  <c r="G74" i="1"/>
  <c r="G73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6" i="1"/>
  <c r="F75" i="1"/>
  <c r="F74" i="1"/>
  <c r="F73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B125" i="1"/>
  <c r="B124" i="1"/>
  <c r="B123" i="1"/>
  <c r="B122" i="1"/>
  <c r="B121" i="1"/>
  <c r="B120" i="1"/>
  <c r="B119" i="1"/>
  <c r="B118" i="1"/>
  <c r="A127" i="1"/>
  <c r="A126" i="1"/>
  <c r="A125" i="1"/>
  <c r="A124" i="1"/>
  <c r="A123" i="1"/>
  <c r="A122" i="1"/>
  <c r="A121" i="1"/>
  <c r="A120" i="1"/>
  <c r="A119" i="1"/>
  <c r="A118" i="1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I72" i="1"/>
  <c r="I71" i="1"/>
  <c r="I70" i="1"/>
  <c r="I69" i="1"/>
  <c r="I68" i="1"/>
  <c r="I67" i="1"/>
  <c r="I66" i="1"/>
  <c r="I65" i="1"/>
  <c r="H72" i="1"/>
  <c r="H71" i="1"/>
  <c r="H70" i="1"/>
  <c r="H69" i="1"/>
  <c r="H68" i="1"/>
  <c r="H67" i="1"/>
  <c r="H66" i="1"/>
  <c r="H65" i="1"/>
  <c r="G72" i="1"/>
  <c r="G71" i="1"/>
  <c r="G70" i="1"/>
  <c r="G69" i="1"/>
  <c r="G68" i="1"/>
  <c r="G67" i="1"/>
  <c r="G66" i="1"/>
  <c r="G65" i="1"/>
  <c r="F72" i="1"/>
  <c r="F71" i="1"/>
  <c r="F70" i="1"/>
  <c r="F69" i="1"/>
  <c r="F68" i="1"/>
  <c r="F67" i="1"/>
  <c r="F66" i="1"/>
  <c r="F65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13" i="1"/>
  <c r="I12" i="1"/>
  <c r="I10" i="1"/>
  <c r="I9" i="1"/>
  <c r="H55" i="1"/>
  <c r="H54" i="1"/>
  <c r="H53" i="1"/>
  <c r="H52" i="1"/>
  <c r="H51" i="1"/>
  <c r="H50" i="1"/>
  <c r="H49" i="1"/>
  <c r="H48" i="1"/>
  <c r="H46" i="1"/>
  <c r="H45" i="1"/>
  <c r="H44" i="1"/>
  <c r="H43" i="1"/>
  <c r="H42" i="1"/>
  <c r="H41" i="1"/>
  <c r="H39" i="1"/>
  <c r="H38" i="1"/>
  <c r="H37" i="1"/>
  <c r="H36" i="1"/>
  <c r="H35" i="1"/>
  <c r="H33" i="1"/>
  <c r="H32" i="1"/>
  <c r="H31" i="1"/>
  <c r="H30" i="1"/>
  <c r="H13" i="1"/>
  <c r="H12" i="1"/>
  <c r="H10" i="1"/>
  <c r="H9" i="1"/>
  <c r="H7" i="1"/>
  <c r="G47" i="1"/>
  <c r="G13" i="1"/>
  <c r="G55" i="1"/>
  <c r="G54" i="1"/>
  <c r="G53" i="1"/>
  <c r="G52" i="1"/>
  <c r="G51" i="1"/>
  <c r="G50" i="1"/>
  <c r="G49" i="1"/>
  <c r="G48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12" i="1"/>
  <c r="G10" i="1"/>
  <c r="G9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0" i="1"/>
  <c r="F31" i="1"/>
  <c r="F13" i="1"/>
  <c r="F10" i="1"/>
  <c r="F9" i="1"/>
  <c r="B72" i="1"/>
  <c r="B71" i="1"/>
  <c r="B70" i="1"/>
  <c r="B69" i="1"/>
  <c r="B68" i="1"/>
  <c r="B67" i="1"/>
  <c r="B66" i="1"/>
  <c r="B65" i="1"/>
  <c r="A72" i="1"/>
  <c r="A71" i="1"/>
  <c r="A70" i="1"/>
  <c r="A69" i="1"/>
  <c r="A68" i="1"/>
  <c r="A67" i="1"/>
  <c r="A66" i="1"/>
  <c r="A65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8" i="1"/>
  <c r="A37" i="1"/>
  <c r="A36" i="1"/>
  <c r="A35" i="1"/>
  <c r="A34" i="1"/>
  <c r="A33" i="1"/>
  <c r="A32" i="1"/>
  <c r="A31" i="1"/>
  <c r="A30" i="1"/>
  <c r="B13" i="1"/>
  <c r="B12" i="1"/>
  <c r="A13" i="1"/>
  <c r="A12" i="1"/>
  <c r="B10" i="1"/>
  <c r="A10" i="1"/>
  <c r="A9" i="1"/>
  <c r="B9" i="1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76" i="4"/>
  <c r="B75" i="4"/>
  <c r="B74" i="4"/>
  <c r="B73" i="4"/>
  <c r="B72" i="4"/>
  <c r="B69" i="4"/>
  <c r="B71" i="4"/>
  <c r="B70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G7" i="1"/>
  <c r="I639" i="4"/>
  <c r="I596" i="4"/>
  <c r="I553" i="4"/>
  <c r="I509" i="4"/>
  <c r="I466" i="4"/>
  <c r="I37" i="4"/>
  <c r="I79" i="4"/>
  <c r="I163" i="4"/>
  <c r="I206" i="4"/>
  <c r="I249" i="4"/>
  <c r="I636" i="4"/>
  <c r="I635" i="4"/>
  <c r="D416" i="1" s="1"/>
  <c r="J416" i="1" s="1"/>
  <c r="I634" i="4"/>
  <c r="D415" i="1" s="1"/>
  <c r="J415" i="1" s="1"/>
  <c r="I633" i="4"/>
  <c r="D414" i="1" s="1"/>
  <c r="J414" i="1" s="1"/>
  <c r="I632" i="4"/>
  <c r="D413" i="1" s="1"/>
  <c r="J413" i="1" s="1"/>
  <c r="I631" i="4"/>
  <c r="D412" i="1" s="1"/>
  <c r="J412" i="1" s="1"/>
  <c r="I630" i="4"/>
  <c r="I629" i="4"/>
  <c r="D410" i="1" s="1"/>
  <c r="J410" i="1" s="1"/>
  <c r="I628" i="4"/>
  <c r="D409" i="1" s="1"/>
  <c r="J409" i="1" s="1"/>
  <c r="I627" i="4"/>
  <c r="I626" i="4"/>
  <c r="I625" i="4"/>
  <c r="D406" i="1" s="1"/>
  <c r="J406" i="1" s="1"/>
  <c r="I624" i="4"/>
  <c r="D405" i="1" s="1"/>
  <c r="J405" i="1" s="1"/>
  <c r="I623" i="4"/>
  <c r="D404" i="1" s="1"/>
  <c r="J404" i="1" s="1"/>
  <c r="I622" i="4"/>
  <c r="D403" i="1" s="1"/>
  <c r="J403" i="1" s="1"/>
  <c r="I621" i="4"/>
  <c r="D402" i="1" s="1"/>
  <c r="J402" i="1" s="1"/>
  <c r="I620" i="4"/>
  <c r="D401" i="1" s="1"/>
  <c r="J401" i="1" s="1"/>
  <c r="I619" i="4"/>
  <c r="I618" i="4"/>
  <c r="D399" i="1" s="1"/>
  <c r="J399" i="1" s="1"/>
  <c r="I617" i="4"/>
  <c r="I616" i="4"/>
  <c r="D397" i="1" s="1"/>
  <c r="J397" i="1" s="1"/>
  <c r="I615" i="4"/>
  <c r="D396" i="1" s="1"/>
  <c r="J396" i="1" s="1"/>
  <c r="I614" i="4"/>
  <c r="I613" i="4"/>
  <c r="I612" i="4"/>
  <c r="D393" i="1" s="1"/>
  <c r="J393" i="1" s="1"/>
  <c r="I611" i="4"/>
  <c r="D392" i="1" s="1"/>
  <c r="J392" i="1" s="1"/>
  <c r="I610" i="4"/>
  <c r="D391" i="1" s="1"/>
  <c r="J391" i="1" s="1"/>
  <c r="I593" i="4"/>
  <c r="I592" i="4"/>
  <c r="D389" i="1" s="1"/>
  <c r="J389" i="1" s="1"/>
  <c r="I591" i="4"/>
  <c r="I590" i="4"/>
  <c r="D387" i="1" s="1"/>
  <c r="J387" i="1" s="1"/>
  <c r="I589" i="4"/>
  <c r="D386" i="1" s="1"/>
  <c r="J386" i="1" s="1"/>
  <c r="I588" i="4"/>
  <c r="D385" i="1" s="1"/>
  <c r="J385" i="1" s="1"/>
  <c r="I587" i="4"/>
  <c r="D384" i="1" s="1"/>
  <c r="J384" i="1" s="1"/>
  <c r="I586" i="4"/>
  <c r="D383" i="1" s="1"/>
  <c r="J383" i="1" s="1"/>
  <c r="I585" i="4"/>
  <c r="D382" i="1" s="1"/>
  <c r="J382" i="1" s="1"/>
  <c r="I584" i="4"/>
  <c r="D373" i="1" s="1"/>
  <c r="J373" i="1" s="1"/>
  <c r="I583" i="4"/>
  <c r="D372" i="1" s="1"/>
  <c r="J372" i="1" s="1"/>
  <c r="I582" i="4"/>
  <c r="D371" i="1" s="1"/>
  <c r="J371" i="1" s="1"/>
  <c r="I581" i="4"/>
  <c r="D370" i="1" s="1"/>
  <c r="J370" i="1" s="1"/>
  <c r="I580" i="4"/>
  <c r="D369" i="1" s="1"/>
  <c r="J369" i="1" s="1"/>
  <c r="I579" i="4"/>
  <c r="I578" i="4"/>
  <c r="D367" i="1" s="1"/>
  <c r="J367" i="1" s="1"/>
  <c r="I577" i="4"/>
  <c r="D366" i="1" s="1"/>
  <c r="J366" i="1" s="1"/>
  <c r="I576" i="4"/>
  <c r="I575" i="4"/>
  <c r="D364" i="1" s="1"/>
  <c r="J364" i="1" s="1"/>
  <c r="I574" i="4"/>
  <c r="D363" i="1" s="1"/>
  <c r="J363" i="1" s="1"/>
  <c r="I573" i="4"/>
  <c r="I572" i="4"/>
  <c r="D361" i="1" s="1"/>
  <c r="J361" i="1" s="1"/>
  <c r="I571" i="4"/>
  <c r="D360" i="1" s="1"/>
  <c r="J360" i="1" s="1"/>
  <c r="I570" i="4"/>
  <c r="D359" i="1" s="1"/>
  <c r="J359" i="1" s="1"/>
  <c r="I569" i="4"/>
  <c r="D358" i="1" s="1"/>
  <c r="J358" i="1" s="1"/>
  <c r="I568" i="4"/>
  <c r="D357" i="1" s="1"/>
  <c r="J357" i="1" s="1"/>
  <c r="I567" i="4"/>
  <c r="D356" i="1" s="1"/>
  <c r="J356" i="1" s="1"/>
  <c r="I550" i="4"/>
  <c r="D355" i="1" s="1"/>
  <c r="J355" i="1" s="1"/>
  <c r="I549" i="4"/>
  <c r="I548" i="4"/>
  <c r="D353" i="1" s="1"/>
  <c r="J353" i="1" s="1"/>
  <c r="I547" i="4"/>
  <c r="D352" i="1" s="1"/>
  <c r="J352" i="1" s="1"/>
  <c r="I546" i="4"/>
  <c r="D351" i="1" s="1"/>
  <c r="J351" i="1" s="1"/>
  <c r="I545" i="4"/>
  <c r="D350" i="1" s="1"/>
  <c r="J350" i="1" s="1"/>
  <c r="I544" i="4"/>
  <c r="D349" i="1" s="1"/>
  <c r="J349" i="1" s="1"/>
  <c r="I543" i="4"/>
  <c r="I542" i="4"/>
  <c r="I541" i="4"/>
  <c r="I540" i="4"/>
  <c r="D345" i="1" s="1"/>
  <c r="J345" i="1" s="1"/>
  <c r="I539" i="4"/>
  <c r="D344" i="1" s="1"/>
  <c r="J344" i="1" s="1"/>
  <c r="I538" i="4"/>
  <c r="D343" i="1" s="1"/>
  <c r="J343" i="1" s="1"/>
  <c r="I537" i="4"/>
  <c r="D342" i="1" s="1"/>
  <c r="J342" i="1" s="1"/>
  <c r="I536" i="4"/>
  <c r="D341" i="1" s="1"/>
  <c r="J341" i="1" s="1"/>
  <c r="I535" i="4"/>
  <c r="D340" i="1" s="1"/>
  <c r="J340" i="1" s="1"/>
  <c r="I534" i="4"/>
  <c r="D339" i="1" s="1"/>
  <c r="J339" i="1" s="1"/>
  <c r="I533" i="4"/>
  <c r="D338" i="1" s="1"/>
  <c r="J338" i="1" s="1"/>
  <c r="I532" i="4"/>
  <c r="D337" i="1" s="1"/>
  <c r="J337" i="1" s="1"/>
  <c r="I531" i="4"/>
  <c r="D336" i="1" s="1"/>
  <c r="J336" i="1" s="1"/>
  <c r="I530" i="4"/>
  <c r="D335" i="1" s="1"/>
  <c r="J335" i="1" s="1"/>
  <c r="I529" i="4"/>
  <c r="D334" i="1" s="1"/>
  <c r="J334" i="1" s="1"/>
  <c r="I528" i="4"/>
  <c r="I527" i="4"/>
  <c r="D332" i="1" s="1"/>
  <c r="J332" i="1" s="1"/>
  <c r="I526" i="4"/>
  <c r="I525" i="4"/>
  <c r="I524" i="4"/>
  <c r="D329" i="1" s="1"/>
  <c r="J329" i="1" s="1"/>
  <c r="I506" i="4"/>
  <c r="D320" i="1" s="1"/>
  <c r="J320" i="1" s="1"/>
  <c r="I505" i="4"/>
  <c r="D319" i="1" s="1"/>
  <c r="J319" i="1" s="1"/>
  <c r="I504" i="4"/>
  <c r="I503" i="4"/>
  <c r="I502" i="4"/>
  <c r="D316" i="1" s="1"/>
  <c r="J316" i="1" s="1"/>
  <c r="I501" i="4"/>
  <c r="D315" i="1" s="1"/>
  <c r="J315" i="1" s="1"/>
  <c r="I500" i="4"/>
  <c r="D314" i="1" s="1"/>
  <c r="J314" i="1" s="1"/>
  <c r="I499" i="4"/>
  <c r="D313" i="1" s="1"/>
  <c r="J313" i="1" s="1"/>
  <c r="I498" i="4"/>
  <c r="D312" i="1" s="1"/>
  <c r="J312" i="1" s="1"/>
  <c r="I497" i="4"/>
  <c r="D311" i="1" s="1"/>
  <c r="J311" i="1" s="1"/>
  <c r="I496" i="4"/>
  <c r="D310" i="1" s="1"/>
  <c r="J310" i="1" s="1"/>
  <c r="I495" i="4"/>
  <c r="I494" i="4"/>
  <c r="I493" i="4"/>
  <c r="D307" i="1" s="1"/>
  <c r="J307" i="1" s="1"/>
  <c r="I492" i="4"/>
  <c r="D306" i="1" s="1"/>
  <c r="J306" i="1" s="1"/>
  <c r="I491" i="4"/>
  <c r="I490" i="4"/>
  <c r="D304" i="1" s="1"/>
  <c r="J304" i="1" s="1"/>
  <c r="I489" i="4"/>
  <c r="D303" i="1" s="1"/>
  <c r="J303" i="1" s="1"/>
  <c r="I488" i="4"/>
  <c r="D302" i="1" s="1"/>
  <c r="J302" i="1" s="1"/>
  <c r="I487" i="4"/>
  <c r="D301" i="1" s="1"/>
  <c r="J301" i="1" s="1"/>
  <c r="I486" i="4"/>
  <c r="I485" i="4"/>
  <c r="D299" i="1" s="1"/>
  <c r="J299" i="1" s="1"/>
  <c r="I484" i="4"/>
  <c r="D298" i="1" s="1"/>
  <c r="J298" i="1" s="1"/>
  <c r="I483" i="4"/>
  <c r="I482" i="4"/>
  <c r="D296" i="1" s="1"/>
  <c r="J296" i="1" s="1"/>
  <c r="I481" i="4"/>
  <c r="D295" i="1" s="1"/>
  <c r="J295" i="1" s="1"/>
  <c r="I480" i="4"/>
  <c r="D294" i="1" s="1"/>
  <c r="J294" i="1" s="1"/>
  <c r="I462" i="4"/>
  <c r="I460" i="4"/>
  <c r="I459" i="4"/>
  <c r="I458" i="4"/>
  <c r="D288" i="1" s="1"/>
  <c r="J288" i="1" s="1"/>
  <c r="I457" i="4"/>
  <c r="D287" i="1" s="1"/>
  <c r="J287" i="1" s="1"/>
  <c r="I456" i="4"/>
  <c r="D286" i="1" s="1"/>
  <c r="J286" i="1" s="1"/>
  <c r="I455" i="4"/>
  <c r="D285" i="1" s="1"/>
  <c r="J285" i="1" s="1"/>
  <c r="I454" i="4"/>
  <c r="D284" i="1" s="1"/>
  <c r="J284" i="1" s="1"/>
  <c r="I453" i="4"/>
  <c r="D283" i="1" s="1"/>
  <c r="J283" i="1" s="1"/>
  <c r="I452" i="4"/>
  <c r="D282" i="1" s="1"/>
  <c r="J282" i="1" s="1"/>
  <c r="I451" i="4"/>
  <c r="D281" i="1" s="1"/>
  <c r="J281" i="1" s="1"/>
  <c r="I450" i="4"/>
  <c r="I449" i="4"/>
  <c r="I448" i="4"/>
  <c r="I447" i="4"/>
  <c r="D277" i="1" s="1"/>
  <c r="J277" i="1" s="1"/>
  <c r="I446" i="4"/>
  <c r="D276" i="1" s="1"/>
  <c r="I445" i="4"/>
  <c r="D214" i="1" s="1"/>
  <c r="J214" i="1" s="1"/>
  <c r="I444" i="4"/>
  <c r="D213" i="1" s="1"/>
  <c r="J213" i="1" s="1"/>
  <c r="I443" i="4"/>
  <c r="I442" i="4"/>
  <c r="D211" i="1" s="1"/>
  <c r="J211" i="1" s="1"/>
  <c r="I439" i="4"/>
  <c r="D208" i="1" s="1"/>
  <c r="J208" i="1" s="1"/>
  <c r="I438" i="4"/>
  <c r="D207" i="1" s="1"/>
  <c r="J207" i="1" s="1"/>
  <c r="I437" i="4"/>
  <c r="D206" i="1" s="1"/>
  <c r="J206" i="1" s="1"/>
  <c r="I420" i="4"/>
  <c r="D205" i="1" s="1"/>
  <c r="J205" i="1" s="1"/>
  <c r="I419" i="4"/>
  <c r="D204" i="1" s="1"/>
  <c r="J204" i="1" s="1"/>
  <c r="I418" i="4"/>
  <c r="D203" i="1" s="1"/>
  <c r="J203" i="1" s="1"/>
  <c r="I417" i="4"/>
  <c r="I416" i="4"/>
  <c r="D201" i="1" s="1"/>
  <c r="J201" i="1" s="1"/>
  <c r="I415" i="4"/>
  <c r="I414" i="4"/>
  <c r="I413" i="4"/>
  <c r="D198" i="1" s="1"/>
  <c r="J198" i="1" s="1"/>
  <c r="I412" i="4"/>
  <c r="D197" i="1" s="1"/>
  <c r="J197" i="1" s="1"/>
  <c r="I411" i="4"/>
  <c r="D196" i="1" s="1"/>
  <c r="J196" i="1" s="1"/>
  <c r="I410" i="4"/>
  <c r="I409" i="4"/>
  <c r="D194" i="1" s="1"/>
  <c r="J194" i="1" s="1"/>
  <c r="I408" i="4"/>
  <c r="D193" i="1" s="1"/>
  <c r="J193" i="1" s="1"/>
  <c r="I407" i="4"/>
  <c r="I406" i="4"/>
  <c r="D191" i="1" s="1"/>
  <c r="J191" i="1" s="1"/>
  <c r="I405" i="4"/>
  <c r="D190" i="1" s="1"/>
  <c r="J190" i="1" s="1"/>
  <c r="I404" i="4"/>
  <c r="D189" i="1" s="1"/>
  <c r="J189" i="1" s="1"/>
  <c r="I403" i="4"/>
  <c r="D188" i="1" s="1"/>
  <c r="J188" i="1" s="1"/>
  <c r="I402" i="4"/>
  <c r="D187" i="1" s="1"/>
  <c r="J187" i="1" s="1"/>
  <c r="I401" i="4"/>
  <c r="D186" i="1" s="1"/>
  <c r="J186" i="1" s="1"/>
  <c r="I400" i="4"/>
  <c r="D185" i="1" s="1"/>
  <c r="J185" i="1" s="1"/>
  <c r="I399" i="4"/>
  <c r="I398" i="4"/>
  <c r="I397" i="4"/>
  <c r="D182" i="1" s="1"/>
  <c r="J182" i="1" s="1"/>
  <c r="I396" i="4"/>
  <c r="D181" i="1" s="1"/>
  <c r="J181" i="1" s="1"/>
  <c r="I395" i="4"/>
  <c r="D180" i="1" s="1"/>
  <c r="J180" i="1" s="1"/>
  <c r="I394" i="4"/>
  <c r="D179" i="1" s="1"/>
  <c r="J179" i="1" s="1"/>
  <c r="I378" i="4"/>
  <c r="I377" i="4"/>
  <c r="D177" i="1" s="1"/>
  <c r="J177" i="1" s="1"/>
  <c r="I376" i="4"/>
  <c r="I375" i="4"/>
  <c r="D175" i="1" s="1"/>
  <c r="J175" i="1" s="1"/>
  <c r="I374" i="4"/>
  <c r="D174" i="1" s="1"/>
  <c r="J174" i="1" s="1"/>
  <c r="I373" i="4"/>
  <c r="D173" i="1" s="1"/>
  <c r="J173" i="1" s="1"/>
  <c r="I372" i="4"/>
  <c r="D172" i="1" s="1"/>
  <c r="J172" i="1" s="1"/>
  <c r="I371" i="4"/>
  <c r="I370" i="4"/>
  <c r="D170" i="1" s="1"/>
  <c r="I369" i="4"/>
  <c r="I368" i="4"/>
  <c r="D161" i="1" s="1"/>
  <c r="J161" i="1" s="1"/>
  <c r="I367" i="4"/>
  <c r="I366" i="4"/>
  <c r="D159" i="1" s="1"/>
  <c r="J159" i="1" s="1"/>
  <c r="I365" i="4"/>
  <c r="I364" i="4"/>
  <c r="D157" i="1" s="1"/>
  <c r="J157" i="1" s="1"/>
  <c r="I363" i="4"/>
  <c r="I362" i="4"/>
  <c r="D155" i="1" s="1"/>
  <c r="J155" i="1" s="1"/>
  <c r="I361" i="4"/>
  <c r="I360" i="4"/>
  <c r="D153" i="1" s="1"/>
  <c r="J153" i="1" s="1"/>
  <c r="I359" i="4"/>
  <c r="O276" i="1" s="1"/>
  <c r="U276" i="1" s="1"/>
  <c r="I358" i="4"/>
  <c r="D151" i="1" s="1"/>
  <c r="J151" i="1" s="1"/>
  <c r="I357" i="4"/>
  <c r="D150" i="1" s="1"/>
  <c r="J150" i="1" s="1"/>
  <c r="I356" i="4"/>
  <c r="I355" i="4"/>
  <c r="D148" i="1" s="1"/>
  <c r="J148" i="1" s="1"/>
  <c r="I354" i="4"/>
  <c r="D147" i="1" s="1"/>
  <c r="J147" i="1" s="1"/>
  <c r="I353" i="4"/>
  <c r="D146" i="1" s="1"/>
  <c r="J146" i="1" s="1"/>
  <c r="I352" i="4"/>
  <c r="D145" i="1" s="1"/>
  <c r="J145" i="1" s="1"/>
  <c r="D138" i="1"/>
  <c r="J138" i="1" s="1"/>
  <c r="D132" i="1"/>
  <c r="J132" i="1" s="1"/>
  <c r="D126" i="1"/>
  <c r="J126" i="1" s="1"/>
  <c r="D122" i="1"/>
  <c r="J122" i="1" s="1"/>
  <c r="H637" i="4"/>
  <c r="H641" i="4" s="1"/>
  <c r="G637" i="4"/>
  <c r="G641" i="4" s="1"/>
  <c r="F637" i="4"/>
  <c r="F641" i="4" s="1"/>
  <c r="E637" i="4"/>
  <c r="E641" i="4" s="1"/>
  <c r="D637" i="4"/>
  <c r="D641" i="4" s="1"/>
  <c r="C637" i="4"/>
  <c r="C641" i="4" s="1"/>
  <c r="H421" i="4"/>
  <c r="H425" i="4" s="1"/>
  <c r="G421" i="4"/>
  <c r="G425" i="4" s="1"/>
  <c r="F421" i="4"/>
  <c r="F425" i="4" s="1"/>
  <c r="E421" i="4"/>
  <c r="E425" i="4" s="1"/>
  <c r="D421" i="4"/>
  <c r="D425" i="4" s="1"/>
  <c r="C421" i="4"/>
  <c r="H379" i="4"/>
  <c r="H383" i="4" s="1"/>
  <c r="G379" i="4"/>
  <c r="G383" i="4" s="1"/>
  <c r="F379" i="4"/>
  <c r="F383" i="4" s="1"/>
  <c r="E379" i="4"/>
  <c r="E383" i="4" s="1"/>
  <c r="D379" i="4"/>
  <c r="D383" i="4" s="1"/>
  <c r="C379" i="4"/>
  <c r="C383" i="4" s="1"/>
  <c r="H594" i="4"/>
  <c r="H598" i="4" s="1"/>
  <c r="G594" i="4"/>
  <c r="G598" i="4" s="1"/>
  <c r="F594" i="4"/>
  <c r="F598" i="4" s="1"/>
  <c r="E594" i="4"/>
  <c r="E598" i="4" s="1"/>
  <c r="D594" i="4"/>
  <c r="D598" i="4" s="1"/>
  <c r="C594" i="4"/>
  <c r="H551" i="4"/>
  <c r="H555" i="4" s="1"/>
  <c r="H507" i="4"/>
  <c r="H511" i="4" s="1"/>
  <c r="G507" i="4"/>
  <c r="G511" i="4" s="1"/>
  <c r="F507" i="4"/>
  <c r="F511" i="4" s="1"/>
  <c r="E507" i="4"/>
  <c r="E511" i="4" s="1"/>
  <c r="D507" i="4"/>
  <c r="D511" i="4" s="1"/>
  <c r="C507" i="4"/>
  <c r="C511" i="4" s="1"/>
  <c r="H464" i="4"/>
  <c r="H468" i="4" s="1"/>
  <c r="G464" i="4"/>
  <c r="G468" i="4" s="1"/>
  <c r="F464" i="4"/>
  <c r="F468" i="4" s="1"/>
  <c r="E464" i="4"/>
  <c r="E468" i="4" s="1"/>
  <c r="D464" i="4"/>
  <c r="D468" i="4" s="1"/>
  <c r="C464" i="4"/>
  <c r="C468" i="4" s="1"/>
  <c r="H119" i="4"/>
  <c r="H123" i="4" s="1"/>
  <c r="G119" i="4"/>
  <c r="G123" i="4" s="1"/>
  <c r="F119" i="4"/>
  <c r="F123" i="4" s="1"/>
  <c r="E119" i="4"/>
  <c r="E123" i="4" s="1"/>
  <c r="D119" i="4"/>
  <c r="D123" i="4" s="1"/>
  <c r="H292" i="4"/>
  <c r="H296" i="4" s="1"/>
  <c r="G292" i="4"/>
  <c r="G296" i="4" s="1"/>
  <c r="F292" i="4"/>
  <c r="F296" i="4" s="1"/>
  <c r="E292" i="4"/>
  <c r="E296" i="4" s="1"/>
  <c r="D292" i="4"/>
  <c r="D296" i="4" s="1"/>
  <c r="C292" i="4"/>
  <c r="C296" i="4" s="1"/>
  <c r="H247" i="4"/>
  <c r="H251" i="4" s="1"/>
  <c r="G247" i="4"/>
  <c r="G251" i="4" s="1"/>
  <c r="C247" i="4"/>
  <c r="C251" i="4" s="1"/>
  <c r="H204" i="4"/>
  <c r="H208" i="4" s="1"/>
  <c r="G204" i="4"/>
  <c r="G208" i="4" s="1"/>
  <c r="F204" i="4"/>
  <c r="F208" i="4" s="1"/>
  <c r="E204" i="4"/>
  <c r="E208" i="4" s="1"/>
  <c r="D204" i="4"/>
  <c r="D208" i="4" s="1"/>
  <c r="C204" i="4"/>
  <c r="C208" i="4" s="1"/>
  <c r="H161" i="4"/>
  <c r="H165" i="4" s="1"/>
  <c r="G161" i="4"/>
  <c r="G165" i="4" s="1"/>
  <c r="F161" i="4"/>
  <c r="F165" i="4" s="1"/>
  <c r="E161" i="4"/>
  <c r="E165" i="4" s="1"/>
  <c r="D161" i="4"/>
  <c r="D165" i="4" s="1"/>
  <c r="C161" i="4"/>
  <c r="C165" i="4" s="1"/>
  <c r="I121" i="4"/>
  <c r="H77" i="4"/>
  <c r="H81" i="4" s="1"/>
  <c r="G77" i="4"/>
  <c r="G81" i="4" s="1"/>
  <c r="F77" i="4"/>
  <c r="F81" i="4" s="1"/>
  <c r="E77" i="4"/>
  <c r="E81" i="4" s="1"/>
  <c r="D77" i="4"/>
  <c r="D81" i="4" s="1"/>
  <c r="C77" i="4"/>
  <c r="C81" i="4" s="1"/>
  <c r="C35" i="4"/>
  <c r="C39" i="4" s="1"/>
  <c r="I25" i="1"/>
  <c r="B539" i="4"/>
  <c r="B550" i="4"/>
  <c r="B549" i="4"/>
  <c r="B548" i="4"/>
  <c r="B547" i="4"/>
  <c r="B546" i="4"/>
  <c r="B545" i="4"/>
  <c r="B544" i="4"/>
  <c r="B543" i="4"/>
  <c r="B542" i="4"/>
  <c r="B541" i="4"/>
  <c r="B540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7" i="1"/>
  <c r="F7" i="1"/>
  <c r="I7" i="1"/>
  <c r="B25" i="1"/>
  <c r="F25" i="1"/>
  <c r="G25" i="1"/>
  <c r="H25" i="1"/>
  <c r="I28" i="1"/>
  <c r="I27" i="1"/>
  <c r="I26" i="1"/>
  <c r="I24" i="1"/>
  <c r="I23" i="1"/>
  <c r="I22" i="1"/>
  <c r="I21" i="1"/>
  <c r="I20" i="1"/>
  <c r="I19" i="1"/>
  <c r="I18" i="1"/>
  <c r="I17" i="1"/>
  <c r="I16" i="1"/>
  <c r="I15" i="1"/>
  <c r="I14" i="1"/>
  <c r="I11" i="1"/>
  <c r="I8" i="1"/>
  <c r="H29" i="1"/>
  <c r="H28" i="1"/>
  <c r="H27" i="1"/>
  <c r="H24" i="1"/>
  <c r="H23" i="1"/>
  <c r="H22" i="1"/>
  <c r="H21" i="1"/>
  <c r="H20" i="1"/>
  <c r="H19" i="1"/>
  <c r="H18" i="1"/>
  <c r="H17" i="1"/>
  <c r="H16" i="1"/>
  <c r="H15" i="1"/>
  <c r="H14" i="1"/>
  <c r="H11" i="1"/>
  <c r="H8" i="1"/>
  <c r="G29" i="1"/>
  <c r="G28" i="1"/>
  <c r="G27" i="1"/>
  <c r="G26" i="1"/>
  <c r="G24" i="1"/>
  <c r="G23" i="1"/>
  <c r="G22" i="1"/>
  <c r="G21" i="1"/>
  <c r="G20" i="1"/>
  <c r="G19" i="1"/>
  <c r="G18" i="1"/>
  <c r="G17" i="1"/>
  <c r="G16" i="1"/>
  <c r="G15" i="1"/>
  <c r="G14" i="1"/>
  <c r="G11" i="1"/>
  <c r="G8" i="1"/>
  <c r="F8" i="1"/>
  <c r="F11" i="1"/>
  <c r="F15" i="1"/>
  <c r="F16" i="1"/>
  <c r="F18" i="1"/>
  <c r="F19" i="1"/>
  <c r="F20" i="1"/>
  <c r="F21" i="1"/>
  <c r="F22" i="1"/>
  <c r="F23" i="1"/>
  <c r="F24" i="1"/>
  <c r="F26" i="1"/>
  <c r="F27" i="1"/>
  <c r="F28" i="1"/>
  <c r="F29" i="1"/>
  <c r="B8" i="1"/>
  <c r="B9" i="4"/>
  <c r="B8" i="4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8" i="1"/>
  <c r="A7" i="1"/>
  <c r="B28" i="1"/>
  <c r="B27" i="1"/>
  <c r="B26" i="1"/>
  <c r="B24" i="1"/>
  <c r="B23" i="1"/>
  <c r="B22" i="1"/>
  <c r="B21" i="1"/>
  <c r="B20" i="1"/>
  <c r="B19" i="1"/>
  <c r="B18" i="1"/>
  <c r="B17" i="1"/>
  <c r="B16" i="1"/>
  <c r="B15" i="1"/>
  <c r="B14" i="1"/>
  <c r="B11" i="1"/>
  <c r="D279" i="1" l="1"/>
  <c r="J279" i="1" s="1"/>
  <c r="O427" i="1"/>
  <c r="U427" i="1" s="1"/>
  <c r="D362" i="1"/>
  <c r="J362" i="1" s="1"/>
  <c r="O18" i="1"/>
  <c r="U18" i="1" s="1"/>
  <c r="U383" i="1"/>
  <c r="O428" i="1"/>
  <c r="D623" i="1"/>
  <c r="J623" i="1" s="1"/>
  <c r="O26" i="1"/>
  <c r="U26" i="1" s="1"/>
  <c r="U56" i="1" s="1"/>
  <c r="D104" i="1"/>
  <c r="J104" i="1" s="1"/>
  <c r="D390" i="1"/>
  <c r="J390" i="1" s="1"/>
  <c r="D449" i="1"/>
  <c r="J449" i="1" s="1"/>
  <c r="D292" i="1"/>
  <c r="J292" i="1" s="1"/>
  <c r="D101" i="1"/>
  <c r="J101" i="1" s="1"/>
  <c r="J1291" i="1"/>
  <c r="J1322" i="1" s="1"/>
  <c r="D1322" i="1"/>
  <c r="D158" i="1"/>
  <c r="J158" i="1" s="1"/>
  <c r="D223" i="1"/>
  <c r="J223" i="1" s="1"/>
  <c r="D30" i="1"/>
  <c r="J30" i="1" s="1"/>
  <c r="D29" i="1"/>
  <c r="J29" i="1" s="1"/>
  <c r="D347" i="1"/>
  <c r="J347" i="1" s="1"/>
  <c r="O321" i="1"/>
  <c r="D453" i="1"/>
  <c r="J453" i="1" s="1"/>
  <c r="D134" i="1"/>
  <c r="J134" i="1" s="1"/>
  <c r="D125" i="1"/>
  <c r="J125" i="1" s="1"/>
  <c r="D289" i="1"/>
  <c r="J289" i="1" s="1"/>
  <c r="D184" i="1"/>
  <c r="J184" i="1" s="1"/>
  <c r="D1270" i="1"/>
  <c r="D667" i="1"/>
  <c r="J667" i="1" s="1"/>
  <c r="J1270" i="1"/>
  <c r="D394" i="1"/>
  <c r="J394" i="1" s="1"/>
  <c r="D426" i="1"/>
  <c r="J426" i="1" s="1"/>
  <c r="D568" i="1"/>
  <c r="J568" i="1" s="1"/>
  <c r="D411" i="1"/>
  <c r="J411" i="1" s="1"/>
  <c r="D14" i="1"/>
  <c r="J14" i="1" s="1"/>
  <c r="D400" i="1"/>
  <c r="J400" i="1" s="1"/>
  <c r="D1218" i="1"/>
  <c r="J1218" i="1"/>
  <c r="D17" i="1"/>
  <c r="J17" i="1" s="1"/>
  <c r="D160" i="1"/>
  <c r="J160" i="1" s="1"/>
  <c r="D171" i="1"/>
  <c r="J171" i="1" s="1"/>
  <c r="D611" i="1"/>
  <c r="J611" i="1" s="1"/>
  <c r="J1166" i="1"/>
  <c r="D702" i="1"/>
  <c r="J702" i="1" s="1"/>
  <c r="D1166" i="1"/>
  <c r="D576" i="1"/>
  <c r="J576" i="1" s="1"/>
  <c r="J1114" i="1"/>
  <c r="D521" i="1"/>
  <c r="J521" i="1" s="1"/>
  <c r="D1114" i="1"/>
  <c r="D704" i="1"/>
  <c r="J704" i="1" s="1"/>
  <c r="D176" i="1"/>
  <c r="J176" i="1" s="1"/>
  <c r="D529" i="1"/>
  <c r="J529" i="1" s="1"/>
  <c r="J1062" i="1"/>
  <c r="D38" i="1"/>
  <c r="J38" i="1" s="1"/>
  <c r="D192" i="1"/>
  <c r="J192" i="1" s="1"/>
  <c r="D1062" i="1"/>
  <c r="D674" i="1"/>
  <c r="J674" i="1" s="1"/>
  <c r="D290" i="1"/>
  <c r="J290" i="1" s="1"/>
  <c r="D183" i="1"/>
  <c r="J183" i="1" s="1"/>
  <c r="D438" i="1"/>
  <c r="J438" i="1" s="1"/>
  <c r="D491" i="1"/>
  <c r="J491" i="1" s="1"/>
  <c r="D119" i="1"/>
  <c r="J119" i="1" s="1"/>
  <c r="D129" i="1"/>
  <c r="J129" i="1" s="1"/>
  <c r="D439" i="1"/>
  <c r="J439" i="1" s="1"/>
  <c r="D395" i="1"/>
  <c r="J395" i="1" s="1"/>
  <c r="D330" i="1"/>
  <c r="J330" i="1" s="1"/>
  <c r="D653" i="1"/>
  <c r="J653" i="1" s="1"/>
  <c r="D1009" i="1"/>
  <c r="J1009" i="1"/>
  <c r="D575" i="1"/>
  <c r="J575" i="1" s="1"/>
  <c r="D445" i="1"/>
  <c r="J445" i="1" s="1"/>
  <c r="D470" i="1"/>
  <c r="J470" i="1" s="1"/>
  <c r="D663" i="1"/>
  <c r="J663" i="1" s="1"/>
  <c r="D607" i="1"/>
  <c r="J607" i="1" s="1"/>
  <c r="D450" i="1"/>
  <c r="J450" i="1" s="1"/>
  <c r="D507" i="1"/>
  <c r="J507" i="1" s="1"/>
  <c r="D955" i="1"/>
  <c r="J955" i="1"/>
  <c r="D647" i="1"/>
  <c r="J647" i="1" s="1"/>
  <c r="D559" i="1"/>
  <c r="J559" i="1" s="1"/>
  <c r="D407" i="1"/>
  <c r="J407" i="1" s="1"/>
  <c r="D346" i="1"/>
  <c r="J346" i="1" s="1"/>
  <c r="D317" i="1"/>
  <c r="J317" i="1" s="1"/>
  <c r="D518" i="1"/>
  <c r="J518" i="1" s="1"/>
  <c r="D500" i="1"/>
  <c r="J500" i="1" s="1"/>
  <c r="D656" i="1"/>
  <c r="J656" i="1" s="1"/>
  <c r="D417" i="1"/>
  <c r="J417" i="1" s="1"/>
  <c r="D408" i="1"/>
  <c r="J408" i="1" s="1"/>
  <c r="D398" i="1"/>
  <c r="J398" i="1" s="1"/>
  <c r="D156" i="1"/>
  <c r="J156" i="1" s="1"/>
  <c r="D135" i="1"/>
  <c r="J135" i="1" s="1"/>
  <c r="D127" i="1"/>
  <c r="J127" i="1" s="1"/>
  <c r="D571" i="1"/>
  <c r="J571" i="1" s="1"/>
  <c r="D463" i="1"/>
  <c r="J463" i="1" s="1"/>
  <c r="D668" i="1"/>
  <c r="J668" i="1" s="1"/>
  <c r="D479" i="1"/>
  <c r="J479" i="1" s="1"/>
  <c r="D293" i="1"/>
  <c r="J293" i="1" s="1"/>
  <c r="D736" i="1"/>
  <c r="J736" i="1" s="1"/>
  <c r="D809" i="1"/>
  <c r="J809" i="1" s="1"/>
  <c r="D300" i="1"/>
  <c r="J300" i="1" s="1"/>
  <c r="D331" i="1"/>
  <c r="J331" i="1" s="1"/>
  <c r="D826" i="1"/>
  <c r="J826" i="1" s="1"/>
  <c r="D719" i="1"/>
  <c r="J719" i="1" s="1"/>
  <c r="D687" i="1"/>
  <c r="J687" i="1" s="1"/>
  <c r="D688" i="1"/>
  <c r="J688" i="1" s="1"/>
  <c r="D443" i="1"/>
  <c r="J443" i="1" s="1"/>
  <c r="D297" i="1"/>
  <c r="J297" i="1" s="1"/>
  <c r="D199" i="1"/>
  <c r="J199" i="1" s="1"/>
  <c r="D734" i="1"/>
  <c r="J734" i="1" s="1"/>
  <c r="D627" i="1"/>
  <c r="J627" i="1" s="1"/>
  <c r="D602" i="1"/>
  <c r="J602" i="1" s="1"/>
  <c r="D458" i="1"/>
  <c r="J458" i="1" s="1"/>
  <c r="D365" i="1"/>
  <c r="J365" i="1" s="1"/>
  <c r="D305" i="1"/>
  <c r="J305" i="1" s="1"/>
  <c r="D200" i="1"/>
  <c r="J200" i="1" s="1"/>
  <c r="D154" i="1"/>
  <c r="J154" i="1" s="1"/>
  <c r="D149" i="1"/>
  <c r="J149" i="1" s="1"/>
  <c r="D845" i="1"/>
  <c r="J845" i="1" s="1"/>
  <c r="D778" i="1"/>
  <c r="J778" i="1" s="1"/>
  <c r="D528" i="1"/>
  <c r="J528" i="1" s="1"/>
  <c r="D515" i="1"/>
  <c r="J515" i="1" s="1"/>
  <c r="D103" i="1"/>
  <c r="J103" i="1" s="1"/>
  <c r="D792" i="1"/>
  <c r="J792" i="1" s="1"/>
  <c r="D784" i="1"/>
  <c r="J784" i="1" s="1"/>
  <c r="D779" i="1"/>
  <c r="J779" i="1" s="1"/>
  <c r="D669" i="1"/>
  <c r="J669" i="1" s="1"/>
  <c r="D658" i="1"/>
  <c r="J658" i="1" s="1"/>
  <c r="D564" i="1"/>
  <c r="J564" i="1" s="1"/>
  <c r="D368" i="1"/>
  <c r="J368" i="1" s="1"/>
  <c r="D308" i="1"/>
  <c r="J308" i="1" s="1"/>
  <c r="D209" i="1"/>
  <c r="J209" i="1" s="1"/>
  <c r="D202" i="1"/>
  <c r="J202" i="1" s="1"/>
  <c r="D497" i="1"/>
  <c r="J497" i="1" s="1"/>
  <c r="D844" i="1"/>
  <c r="J844" i="1" s="1"/>
  <c r="D843" i="1"/>
  <c r="J843" i="1" s="1"/>
  <c r="D829" i="1"/>
  <c r="J829" i="1" s="1"/>
  <c r="D212" i="1"/>
  <c r="J212" i="1" s="1"/>
  <c r="D152" i="1"/>
  <c r="J152" i="1" s="1"/>
  <c r="D820" i="1"/>
  <c r="J820" i="1" s="1"/>
  <c r="D840" i="1"/>
  <c r="J840" i="1" s="1"/>
  <c r="D842" i="1"/>
  <c r="J842" i="1" s="1"/>
  <c r="D841" i="1"/>
  <c r="J841" i="1" s="1"/>
  <c r="D741" i="1"/>
  <c r="J741" i="1" s="1"/>
  <c r="D862" i="1"/>
  <c r="J862" i="1" s="1"/>
  <c r="D866" i="1"/>
  <c r="J866" i="1" s="1"/>
  <c r="D865" i="1"/>
  <c r="J865" i="1" s="1"/>
  <c r="D743" i="1"/>
  <c r="J743" i="1" s="1"/>
  <c r="D860" i="1"/>
  <c r="J860" i="1" s="1"/>
  <c r="D864" i="1"/>
  <c r="J864" i="1" s="1"/>
  <c r="D744" i="1"/>
  <c r="J744" i="1" s="1"/>
  <c r="D861" i="1"/>
  <c r="J861" i="1" s="1"/>
  <c r="D742" i="1"/>
  <c r="J742" i="1" s="1"/>
  <c r="D863" i="1"/>
  <c r="J863" i="1" s="1"/>
  <c r="D813" i="1"/>
  <c r="J813" i="1" s="1"/>
  <c r="D815" i="1"/>
  <c r="J815" i="1" s="1"/>
  <c r="D690" i="1"/>
  <c r="J690" i="1" s="1"/>
  <c r="D675" i="1"/>
  <c r="J675" i="1" s="1"/>
  <c r="D648" i="1"/>
  <c r="J648" i="1" s="1"/>
  <c r="D563" i="1"/>
  <c r="J563" i="1" s="1"/>
  <c r="D354" i="1"/>
  <c r="J354" i="1" s="1"/>
  <c r="D318" i="1"/>
  <c r="J318" i="1" s="1"/>
  <c r="D309" i="1"/>
  <c r="J309" i="1" s="1"/>
  <c r="D280" i="1"/>
  <c r="J280" i="1" s="1"/>
  <c r="D195" i="1"/>
  <c r="J195" i="1" s="1"/>
  <c r="D517" i="1"/>
  <c r="J517" i="1" s="1"/>
  <c r="D525" i="1"/>
  <c r="J525" i="1" s="1"/>
  <c r="D532" i="1"/>
  <c r="J532" i="1" s="1"/>
  <c r="D519" i="1"/>
  <c r="J519" i="1" s="1"/>
  <c r="D522" i="1"/>
  <c r="J522" i="1" s="1"/>
  <c r="D754" i="1"/>
  <c r="J754" i="1" s="1"/>
  <c r="D493" i="1"/>
  <c r="J493" i="1" s="1"/>
  <c r="D492" i="1"/>
  <c r="J492" i="1" s="1"/>
  <c r="D495" i="1"/>
  <c r="J495" i="1" s="1"/>
  <c r="D228" i="1"/>
  <c r="J228" i="1" s="1"/>
  <c r="D226" i="1"/>
  <c r="J226" i="1" s="1"/>
  <c r="D75" i="1"/>
  <c r="J75" i="1" s="1"/>
  <c r="D84" i="1"/>
  <c r="J84" i="1" s="1"/>
  <c r="D52" i="1"/>
  <c r="J52" i="1" s="1"/>
  <c r="D28" i="1"/>
  <c r="J28" i="1" s="1"/>
  <c r="D821" i="1"/>
  <c r="J821" i="1" s="1"/>
  <c r="D825" i="1"/>
  <c r="J825" i="1" s="1"/>
  <c r="D837" i="1"/>
  <c r="J837" i="1" s="1"/>
  <c r="D828" i="1"/>
  <c r="J828" i="1" s="1"/>
  <c r="D832" i="1"/>
  <c r="J832" i="1" s="1"/>
  <c r="D836" i="1"/>
  <c r="J836" i="1" s="1"/>
  <c r="D823" i="1"/>
  <c r="J823" i="1" s="1"/>
  <c r="D827" i="1"/>
  <c r="J827" i="1" s="1"/>
  <c r="D831" i="1"/>
  <c r="J831" i="1" s="1"/>
  <c r="D835" i="1"/>
  <c r="J835" i="1" s="1"/>
  <c r="D839" i="1"/>
  <c r="J839" i="1" s="1"/>
  <c r="D830" i="1"/>
  <c r="J830" i="1" s="1"/>
  <c r="D834" i="1"/>
  <c r="J834" i="1" s="1"/>
  <c r="D838" i="1"/>
  <c r="J838" i="1" s="1"/>
  <c r="D728" i="1"/>
  <c r="J728" i="1" s="1"/>
  <c r="D740" i="1"/>
  <c r="J740" i="1" s="1"/>
  <c r="D735" i="1"/>
  <c r="J735" i="1" s="1"/>
  <c r="D811" i="1"/>
  <c r="J811" i="1" s="1"/>
  <c r="D788" i="1"/>
  <c r="J788" i="1" s="1"/>
  <c r="D786" i="1"/>
  <c r="J786" i="1" s="1"/>
  <c r="D812" i="1"/>
  <c r="J812" i="1" s="1"/>
  <c r="D808" i="1"/>
  <c r="J808" i="1" s="1"/>
  <c r="D793" i="1"/>
  <c r="J793" i="1" s="1"/>
  <c r="D817" i="1"/>
  <c r="J817" i="1" s="1"/>
  <c r="D794" i="1"/>
  <c r="J794" i="1" s="1"/>
  <c r="D790" i="1"/>
  <c r="J790" i="1" s="1"/>
  <c r="D785" i="1"/>
  <c r="J785" i="1" s="1"/>
  <c r="D814" i="1"/>
  <c r="J814" i="1" s="1"/>
  <c r="D810" i="1"/>
  <c r="J810" i="1" s="1"/>
  <c r="D795" i="1"/>
  <c r="J795" i="1" s="1"/>
  <c r="D764" i="1"/>
  <c r="J764" i="1" s="1"/>
  <c r="D768" i="1"/>
  <c r="J768" i="1" s="1"/>
  <c r="D772" i="1"/>
  <c r="J772" i="1" s="1"/>
  <c r="D776" i="1"/>
  <c r="J776" i="1" s="1"/>
  <c r="D763" i="1"/>
  <c r="J763" i="1" s="1"/>
  <c r="D770" i="1"/>
  <c r="J770" i="1" s="1"/>
  <c r="D759" i="1"/>
  <c r="J759" i="1" s="1"/>
  <c r="D761" i="1"/>
  <c r="J761" i="1" s="1"/>
  <c r="D700" i="1"/>
  <c r="J700" i="1" s="1"/>
  <c r="D712" i="1"/>
  <c r="J712" i="1" s="1"/>
  <c r="D716" i="1"/>
  <c r="J716" i="1" s="1"/>
  <c r="D724" i="1"/>
  <c r="J724" i="1" s="1"/>
  <c r="D723" i="1"/>
  <c r="J723" i="1" s="1"/>
  <c r="D718" i="1"/>
  <c r="J718" i="1" s="1"/>
  <c r="D705" i="1"/>
  <c r="J705" i="1" s="1"/>
  <c r="D713" i="1"/>
  <c r="J713" i="1" s="1"/>
  <c r="D717" i="1"/>
  <c r="J717" i="1" s="1"/>
  <c r="D673" i="1"/>
  <c r="J673" i="1" s="1"/>
  <c r="D685" i="1"/>
  <c r="J685" i="1" s="1"/>
  <c r="D672" i="1"/>
  <c r="J672" i="1" s="1"/>
  <c r="D680" i="1"/>
  <c r="J680" i="1" s="1"/>
  <c r="D683" i="1"/>
  <c r="J683" i="1" s="1"/>
  <c r="D682" i="1"/>
  <c r="J682" i="1" s="1"/>
  <c r="D664" i="1"/>
  <c r="J664" i="1" s="1"/>
  <c r="D616" i="1"/>
  <c r="J616" i="1" s="1"/>
  <c r="D531" i="1"/>
  <c r="J531" i="1" s="1"/>
  <c r="D530" i="1"/>
  <c r="J530" i="1" s="1"/>
  <c r="D516" i="1"/>
  <c r="J516" i="1" s="1"/>
  <c r="D520" i="1"/>
  <c r="J520" i="1" s="1"/>
  <c r="D524" i="1"/>
  <c r="J524" i="1" s="1"/>
  <c r="D502" i="1"/>
  <c r="J502" i="1" s="1"/>
  <c r="D267" i="1"/>
  <c r="J267" i="1" s="1"/>
  <c r="D499" i="1"/>
  <c r="J499" i="1" s="1"/>
  <c r="D503" i="1"/>
  <c r="J503" i="1" s="1"/>
  <c r="D265" i="1"/>
  <c r="J265" i="1" s="1"/>
  <c r="D504" i="1"/>
  <c r="J504" i="1" s="1"/>
  <c r="D241" i="1"/>
  <c r="J241" i="1" s="1"/>
  <c r="D258" i="1"/>
  <c r="J258" i="1" s="1"/>
  <c r="D243" i="1"/>
  <c r="J243" i="1" s="1"/>
  <c r="D230" i="1"/>
  <c r="J230" i="1" s="1"/>
  <c r="D102" i="1"/>
  <c r="J102" i="1" s="1"/>
  <c r="D79" i="1"/>
  <c r="J79" i="1" s="1"/>
  <c r="D87" i="1"/>
  <c r="J87" i="1" s="1"/>
  <c r="D78" i="1"/>
  <c r="J78" i="1" s="1"/>
  <c r="D90" i="1"/>
  <c r="J90" i="1" s="1"/>
  <c r="D36" i="1"/>
  <c r="J36" i="1" s="1"/>
  <c r="D43" i="1"/>
  <c r="J43" i="1" s="1"/>
  <c r="D46" i="1"/>
  <c r="J46" i="1" s="1"/>
  <c r="D54" i="1"/>
  <c r="J54" i="1" s="1"/>
  <c r="D31" i="1"/>
  <c r="J31" i="1" s="1"/>
  <c r="D26" i="1"/>
  <c r="J26" i="1" s="1"/>
  <c r="D824" i="1"/>
  <c r="J824" i="1" s="1"/>
  <c r="I1153" i="4"/>
  <c r="D833" i="1"/>
  <c r="J833" i="1" s="1"/>
  <c r="D738" i="1"/>
  <c r="J738" i="1" s="1"/>
  <c r="D727" i="1"/>
  <c r="J727" i="1" s="1"/>
  <c r="I1110" i="4"/>
  <c r="D819" i="1"/>
  <c r="J819" i="1" s="1"/>
  <c r="D787" i="1"/>
  <c r="J787" i="1" s="1"/>
  <c r="D806" i="1"/>
  <c r="J806" i="1" s="1"/>
  <c r="D721" i="1"/>
  <c r="J721" i="1" s="1"/>
  <c r="D755" i="1"/>
  <c r="J755" i="1" s="1"/>
  <c r="D756" i="1"/>
  <c r="J756" i="1" s="1"/>
  <c r="I1067" i="4"/>
  <c r="I336" i="4"/>
  <c r="I1024" i="4"/>
  <c r="D758" i="1"/>
  <c r="J758" i="1" s="1"/>
  <c r="D703" i="1"/>
  <c r="J703" i="1" s="1"/>
  <c r="I292" i="4"/>
  <c r="D689" i="1"/>
  <c r="J689" i="1" s="1"/>
  <c r="I981" i="4"/>
  <c r="D162" i="1"/>
  <c r="J162" i="1" s="1"/>
  <c r="D671" i="1"/>
  <c r="J671" i="1" s="1"/>
  <c r="D662" i="1"/>
  <c r="J662" i="1" s="1"/>
  <c r="I938" i="4"/>
  <c r="D665" i="1"/>
  <c r="J665" i="1" s="1"/>
  <c r="D8" i="1"/>
  <c r="J8" i="1" s="1"/>
  <c r="D633" i="1"/>
  <c r="J633" i="1" s="1"/>
  <c r="I895" i="4"/>
  <c r="D543" i="1"/>
  <c r="J543" i="1" s="1"/>
  <c r="D603" i="1"/>
  <c r="J603" i="1" s="1"/>
  <c r="I852" i="4"/>
  <c r="D605" i="1"/>
  <c r="J605" i="1" s="1"/>
  <c r="D581" i="1"/>
  <c r="J581" i="1" s="1"/>
  <c r="I809" i="4"/>
  <c r="I680" i="4"/>
  <c r="D569" i="1"/>
  <c r="J569" i="1" s="1"/>
  <c r="D545" i="1"/>
  <c r="J545" i="1" s="1"/>
  <c r="D549" i="1"/>
  <c r="J549" i="1" s="1"/>
  <c r="D560" i="1"/>
  <c r="J560" i="1" s="1"/>
  <c r="D554" i="1"/>
  <c r="J554" i="1" s="1"/>
  <c r="D561" i="1"/>
  <c r="J561" i="1" s="1"/>
  <c r="D251" i="1"/>
  <c r="J251" i="1" s="1"/>
  <c r="D50" i="1"/>
  <c r="J50" i="1" s="1"/>
  <c r="I766" i="4"/>
  <c r="D541" i="1"/>
  <c r="J541" i="1" s="1"/>
  <c r="I723" i="4"/>
  <c r="D460" i="1"/>
  <c r="J460" i="1" s="1"/>
  <c r="D459" i="1"/>
  <c r="J459" i="1" s="1"/>
  <c r="D454" i="1"/>
  <c r="J454" i="1" s="1"/>
  <c r="D425" i="1"/>
  <c r="J425" i="1" s="1"/>
  <c r="D15" i="1"/>
  <c r="J15" i="1" s="1"/>
  <c r="D13" i="1"/>
  <c r="J13" i="1" s="1"/>
  <c r="D259" i="1"/>
  <c r="J259" i="1" s="1"/>
  <c r="D39" i="1"/>
  <c r="J39" i="1" s="1"/>
  <c r="D18" i="1"/>
  <c r="J18" i="1" s="1"/>
  <c r="D423" i="1"/>
  <c r="J423" i="1" s="1"/>
  <c r="D435" i="1"/>
  <c r="C684" i="4"/>
  <c r="D388" i="1"/>
  <c r="J388" i="1" s="1"/>
  <c r="D94" i="1"/>
  <c r="J94" i="1" s="1"/>
  <c r="I594" i="4"/>
  <c r="C598" i="4"/>
  <c r="D348" i="1"/>
  <c r="J348" i="1" s="1"/>
  <c r="D333" i="1"/>
  <c r="J333" i="1" s="1"/>
  <c r="I247" i="4"/>
  <c r="D34" i="1"/>
  <c r="J34" i="1" s="1"/>
  <c r="D9" i="1"/>
  <c r="J9" i="1" s="1"/>
  <c r="D83" i="1"/>
  <c r="J83" i="1" s="1"/>
  <c r="I551" i="4"/>
  <c r="D24" i="1"/>
  <c r="J24" i="1" s="1"/>
  <c r="D11" i="1"/>
  <c r="J11" i="1" s="1"/>
  <c r="D47" i="1"/>
  <c r="J47" i="1" s="1"/>
  <c r="D55" i="1"/>
  <c r="J55" i="1" s="1"/>
  <c r="D278" i="1"/>
  <c r="J278" i="1" s="1"/>
  <c r="J276" i="1"/>
  <c r="D238" i="1"/>
  <c r="J238" i="1" s="1"/>
  <c r="D253" i="1"/>
  <c r="J253" i="1" s="1"/>
  <c r="D240" i="1"/>
  <c r="J240" i="1" s="1"/>
  <c r="D233" i="1"/>
  <c r="J233" i="1" s="1"/>
  <c r="D105" i="1"/>
  <c r="J105" i="1" s="1"/>
  <c r="D235" i="1"/>
  <c r="J235" i="1" s="1"/>
  <c r="I204" i="4"/>
  <c r="I161" i="4"/>
  <c r="D178" i="1"/>
  <c r="J178" i="1" s="1"/>
  <c r="J118" i="1"/>
  <c r="J170" i="1"/>
  <c r="D68" i="1"/>
  <c r="J68" i="1" s="1"/>
  <c r="D71" i="1"/>
  <c r="J71" i="1" s="1"/>
  <c r="D70" i="1"/>
  <c r="J70" i="1" s="1"/>
  <c r="D69" i="1"/>
  <c r="J69" i="1" s="1"/>
  <c r="D66" i="1"/>
  <c r="J66" i="1" s="1"/>
  <c r="D65" i="1"/>
  <c r="I637" i="4"/>
  <c r="C555" i="4"/>
  <c r="I507" i="4"/>
  <c r="I464" i="4"/>
  <c r="I421" i="4"/>
  <c r="C425" i="4"/>
  <c r="I379" i="4"/>
  <c r="I119" i="4"/>
  <c r="I77" i="4"/>
  <c r="I35" i="4"/>
  <c r="D7" i="1"/>
  <c r="U428" i="1" l="1"/>
  <c r="D56" i="1"/>
  <c r="O56" i="1"/>
  <c r="J903" i="1"/>
  <c r="D903" i="1"/>
  <c r="D533" i="1"/>
  <c r="J533" i="1"/>
  <c r="O110" i="1"/>
  <c r="J850" i="1"/>
  <c r="D374" i="1"/>
  <c r="D692" i="1"/>
  <c r="D639" i="1"/>
  <c r="D586" i="1"/>
  <c r="D321" i="1"/>
  <c r="D163" i="1"/>
  <c r="D850" i="1"/>
  <c r="D215" i="1"/>
  <c r="D480" i="1"/>
  <c r="D745" i="1"/>
  <c r="J427" i="1"/>
  <c r="D427" i="1"/>
  <c r="D798" i="1"/>
  <c r="U110" i="1"/>
  <c r="D268" i="1"/>
  <c r="U267" i="1"/>
  <c r="O267" i="1"/>
  <c r="D110" i="1"/>
  <c r="J745" i="1"/>
  <c r="J753" i="1"/>
  <c r="J692" i="1"/>
  <c r="O215" i="1"/>
  <c r="J639" i="1"/>
  <c r="U321" i="1"/>
  <c r="J586" i="1"/>
  <c r="J435" i="1"/>
  <c r="J480" i="1" s="1"/>
  <c r="J374" i="1"/>
  <c r="U215" i="1"/>
  <c r="J321" i="1"/>
  <c r="J268" i="1"/>
  <c r="J215" i="1"/>
  <c r="J163" i="1"/>
  <c r="J65" i="1"/>
  <c r="J7" i="1"/>
  <c r="J110" i="1" l="1"/>
  <c r="J56" i="1"/>
  <c r="J798" i="1"/>
  <c r="C309" i="10" l="1"/>
</calcChain>
</file>

<file path=xl/sharedStrings.xml><?xml version="1.0" encoding="utf-8"?>
<sst xmlns="http://schemas.openxmlformats.org/spreadsheetml/2006/main" count="11756" uniqueCount="5327">
  <si>
    <t>ID</t>
  </si>
  <si>
    <t>BENEFICIÁRIOS</t>
  </si>
  <si>
    <t>CPF</t>
  </si>
  <si>
    <t>Banco</t>
  </si>
  <si>
    <t>Ag.</t>
  </si>
  <si>
    <t>OP.</t>
  </si>
  <si>
    <t>Nº Conta</t>
  </si>
  <si>
    <t>Região</t>
  </si>
  <si>
    <t>Rosangela Campos</t>
  </si>
  <si>
    <t>Cx. Econômica</t>
  </si>
  <si>
    <t>00104350-1</t>
  </si>
  <si>
    <t>Tamires Lima de Jesus</t>
  </si>
  <si>
    <t>00022280-0</t>
  </si>
  <si>
    <t>Laede Andrade Reis</t>
  </si>
  <si>
    <t>00005763-0</t>
  </si>
  <si>
    <t>Pedro Gomes Lima</t>
  </si>
  <si>
    <t>00008464-4</t>
  </si>
  <si>
    <t>Itala Diane Lopes de Oliveira</t>
  </si>
  <si>
    <t>025.086.495-97</t>
  </si>
  <si>
    <t>835383045-9</t>
  </si>
  <si>
    <t>Luciana Lopes dos Santos</t>
  </si>
  <si>
    <t>Bradesco</t>
  </si>
  <si>
    <t>c/corr</t>
  </si>
  <si>
    <t>0001786-8</t>
  </si>
  <si>
    <t>João Florencio dos Santos</t>
  </si>
  <si>
    <t>834865481-8</t>
  </si>
  <si>
    <t>Adimaura Pires Alves</t>
  </si>
  <si>
    <t>009.336.445-82</t>
  </si>
  <si>
    <t>834387733-9</t>
  </si>
  <si>
    <t>Railda Borges dos Santos</t>
  </si>
  <si>
    <t>00014686-0</t>
  </si>
  <si>
    <t>Isabel Martins de Araújo</t>
  </si>
  <si>
    <t>00067922-8</t>
  </si>
  <si>
    <t>Carlos Machado Gonçalves</t>
  </si>
  <si>
    <t>025.150.735-14</t>
  </si>
  <si>
    <t>Banco do Brasil</t>
  </si>
  <si>
    <t>2760-X</t>
  </si>
  <si>
    <t>poup</t>
  </si>
  <si>
    <t>21.346-2</t>
  </si>
  <si>
    <t>Laura Mª de Jesus</t>
  </si>
  <si>
    <t>858060344-5</t>
  </si>
  <si>
    <t>Agamenon de Sousa Teixeira</t>
  </si>
  <si>
    <t>0799579-2</t>
  </si>
  <si>
    <t>Gabriel Souza dos Santos</t>
  </si>
  <si>
    <t>3801-6</t>
  </si>
  <si>
    <t>0003748-6</t>
  </si>
  <si>
    <t>Maurivalda O Santana</t>
  </si>
  <si>
    <t>00063978-0</t>
  </si>
  <si>
    <t>Mª da Conceição P Silva</t>
  </si>
  <si>
    <t>00011696-2</t>
  </si>
  <si>
    <t>Juliana Soares Silva</t>
  </si>
  <si>
    <t>Sincoob</t>
  </si>
  <si>
    <t>Elixandra Paiva de Souza</t>
  </si>
  <si>
    <t>833543019-3</t>
  </si>
  <si>
    <t>Eletícia Rodrigues Oliveira</t>
  </si>
  <si>
    <t>835383228-1</t>
  </si>
  <si>
    <t>Patrícia Santos dos Anjos</t>
  </si>
  <si>
    <t>849661684-1</t>
  </si>
  <si>
    <t>Leonete Santiago dos Santos</t>
  </si>
  <si>
    <t>0373-7</t>
  </si>
  <si>
    <t>0241766-9</t>
  </si>
  <si>
    <t>Joelma Mª de Jesus</t>
  </si>
  <si>
    <t>00009523-1</t>
  </si>
  <si>
    <t>Adriana Silva da Cruz</t>
  </si>
  <si>
    <t>802856816-3</t>
  </si>
  <si>
    <t>Neusvaldo Ferreira Miranda</t>
  </si>
  <si>
    <t>1958-5</t>
  </si>
  <si>
    <t>0033847-8</t>
  </si>
  <si>
    <t>Silvania Conceição Cedro</t>
  </si>
  <si>
    <t>Jeane Boaventura de Carvalho</t>
  </si>
  <si>
    <t>834462003-0</t>
  </si>
  <si>
    <t>Anisia Teles dos Santos</t>
  </si>
  <si>
    <t>3655-2</t>
  </si>
  <si>
    <t>0521664-8</t>
  </si>
  <si>
    <t>Evani Claudina de Oliveira</t>
  </si>
  <si>
    <t>875903347-7</t>
  </si>
  <si>
    <t>Eugênio Sérgio dos S Pereira</t>
  </si>
  <si>
    <t>00003737-9</t>
  </si>
  <si>
    <t>Sirleide Miranda D Santos</t>
  </si>
  <si>
    <t>00009065-2</t>
  </si>
  <si>
    <t>Neuraci Marques Ramos</t>
  </si>
  <si>
    <t>00011578-0</t>
  </si>
  <si>
    <t>Uilson José de Miranda</t>
  </si>
  <si>
    <t>00011073-5</t>
  </si>
  <si>
    <t>Daniela da Silva Lima</t>
  </si>
  <si>
    <t>857552296-3</t>
  </si>
  <si>
    <t>Verônica Jesus Damasceno</t>
  </si>
  <si>
    <t>c/poup</t>
  </si>
  <si>
    <t>14.735-4</t>
  </si>
  <si>
    <t>Gabriela de Jesus Silva</t>
  </si>
  <si>
    <t>00028689-5</t>
  </si>
  <si>
    <t>Luiz Sérgio Rosa de Jesus</t>
  </si>
  <si>
    <t>00018957-8</t>
  </si>
  <si>
    <t>Silvana Lima Nascimento</t>
  </si>
  <si>
    <t>0003098-8</t>
  </si>
  <si>
    <t>Mateus Andrade de Jesus</t>
  </si>
  <si>
    <t>00008447-4</t>
  </si>
  <si>
    <t>Luiz Fernando P de  Jesus</t>
  </si>
  <si>
    <t>849591946-8</t>
  </si>
  <si>
    <t>Leonardo Santos Ribeiro</t>
  </si>
  <si>
    <t>0005051-2</t>
  </si>
  <si>
    <t>Alane Nascimento dos Santos</t>
  </si>
  <si>
    <t>0286381-2</t>
  </si>
  <si>
    <t>Melecio Neto Santos de Oliveira</t>
  </si>
  <si>
    <t>000849879738-0</t>
  </si>
  <si>
    <t>Henoc Marques de Souza</t>
  </si>
  <si>
    <t>00090891-0</t>
  </si>
  <si>
    <t>Irislene de Novais</t>
  </si>
  <si>
    <t>7802-6</t>
  </si>
  <si>
    <t>0016827-0</t>
  </si>
  <si>
    <t>Isabel Souza de Oliveira</t>
  </si>
  <si>
    <t>00081892-7</t>
  </si>
  <si>
    <t>Naiara Mª de Oliveira</t>
  </si>
  <si>
    <t>00024009-3</t>
  </si>
  <si>
    <t>Roseli Souza Braga</t>
  </si>
  <si>
    <t>00016384-9</t>
  </si>
  <si>
    <t>Jeicion Almeida de Miranda</t>
  </si>
  <si>
    <t>00022181-1</t>
  </si>
  <si>
    <t>Luciana Rodrigues Santos</t>
  </si>
  <si>
    <t>834387358-9</t>
  </si>
  <si>
    <t>Anatilde Saturniz de Souza</t>
  </si>
  <si>
    <t>0640007-8</t>
  </si>
  <si>
    <t>Maria Nilza Alves Maciel</t>
  </si>
  <si>
    <t>00017286-1</t>
  </si>
  <si>
    <t>Angela Mª Pereira dos Anjos</t>
  </si>
  <si>
    <t>005.876.775-46</t>
  </si>
  <si>
    <t>1000425-0</t>
  </si>
  <si>
    <t>Cristiane Sousa Santos</t>
  </si>
  <si>
    <t>035.336.775-32</t>
  </si>
  <si>
    <t>000787323035-0</t>
  </si>
  <si>
    <t>Paulo de Oliveira</t>
  </si>
  <si>
    <t>011.586.545-45</t>
  </si>
  <si>
    <t>1000115-3</t>
  </si>
  <si>
    <t>Domingos Marques Borges</t>
  </si>
  <si>
    <t>866520615-7</t>
  </si>
  <si>
    <t>Evanilza Miranda Araújo</t>
  </si>
  <si>
    <t>00005233-5</t>
  </si>
  <si>
    <t>Adelcione Cruz Damasceno</t>
  </si>
  <si>
    <t>00015832-0</t>
  </si>
  <si>
    <t>Sandra Santos Gabriel</t>
  </si>
  <si>
    <t>7320-2</t>
  </si>
  <si>
    <t>0483865-3</t>
  </si>
  <si>
    <t>Delmiro Silva de Oliveira</t>
  </si>
  <si>
    <t>00013233-0</t>
  </si>
  <si>
    <t>Geane Barauna de Oliveira</t>
  </si>
  <si>
    <t>00008649-3</t>
  </si>
  <si>
    <t>Tássio Oliveira Pires</t>
  </si>
  <si>
    <t>00037202-8</t>
  </si>
  <si>
    <t>Mª da Paz G dos Santos Silva</t>
  </si>
  <si>
    <t>017.700.145.35</t>
  </si>
  <si>
    <t>871262564-5</t>
  </si>
  <si>
    <t>Jarmiro Rodrigues Dias</t>
  </si>
  <si>
    <t>808619053-4</t>
  </si>
  <si>
    <t>Valéria Martins Santos</t>
  </si>
  <si>
    <t>00022281-9</t>
  </si>
  <si>
    <t>Mª da Paixão M de Oliveira</t>
  </si>
  <si>
    <t>860392658-0</t>
  </si>
  <si>
    <t>Graziele Jesus Santos</t>
  </si>
  <si>
    <t>00023889-0</t>
  </si>
  <si>
    <t>Maycon Santos de Freitas</t>
  </si>
  <si>
    <t>00066301-9</t>
  </si>
  <si>
    <t>Cirlene Cruz Santos</t>
  </si>
  <si>
    <t>22.421-9</t>
  </si>
  <si>
    <t>Sebastião Quirino dos Anjos</t>
  </si>
  <si>
    <t>00019693-0</t>
  </si>
  <si>
    <t>Juareis Rosa Pires</t>
  </si>
  <si>
    <t>793554812-0</t>
  </si>
  <si>
    <t>Livia Silva dos Anjos</t>
  </si>
  <si>
    <t>00023558-8</t>
  </si>
  <si>
    <t>Francisco Gomes</t>
  </si>
  <si>
    <t>795179461-0</t>
  </si>
  <si>
    <t>José Deodato Ferreira</t>
  </si>
  <si>
    <t>979.041.395-53</t>
  </si>
  <si>
    <t>24.372-8</t>
  </si>
  <si>
    <t>Eliene Sousa dos Santos</t>
  </si>
  <si>
    <t>839007913-3</t>
  </si>
  <si>
    <t>Anízio Pereira Neto</t>
  </si>
  <si>
    <t>00015062-2</t>
  </si>
  <si>
    <t>Edna Brito Paixão de Sousa</t>
  </si>
  <si>
    <t>053.529.515-45</t>
  </si>
  <si>
    <t>00022875-2</t>
  </si>
  <si>
    <t>José Eduardo Sousa</t>
  </si>
  <si>
    <t>14.579-3</t>
  </si>
  <si>
    <t>Isamara Oliveira S Santos</t>
  </si>
  <si>
    <t>00080372-5</t>
  </si>
  <si>
    <t>Sirlene Rosa dos Santos</t>
  </si>
  <si>
    <t>012.947.065-19</t>
  </si>
  <si>
    <t>00036096-8</t>
  </si>
  <si>
    <t>Esmeralda Martins da Silva</t>
  </si>
  <si>
    <t>140085-1</t>
  </si>
  <si>
    <t>Jailzan Mª de Oliveira</t>
  </si>
  <si>
    <t>024.286.965-30</t>
  </si>
  <si>
    <t>00023903-6</t>
  </si>
  <si>
    <t>Janicleide Alves de Brito</t>
  </si>
  <si>
    <t>867522332-1</t>
  </si>
  <si>
    <t>Josenilton de Jesus Moreira</t>
  </si>
  <si>
    <t>020.215.825-07</t>
  </si>
  <si>
    <t>00016616-0</t>
  </si>
  <si>
    <t>Liene Bezerra Alves de Souza</t>
  </si>
  <si>
    <t>00011165-2</t>
  </si>
  <si>
    <t>Janete de Jesus Maciel</t>
  </si>
  <si>
    <t>1000053-0</t>
  </si>
  <si>
    <t>Roseli dos Anjos Rocha</t>
  </si>
  <si>
    <t>858860243-0</t>
  </si>
  <si>
    <t>Vilma Souza Santos</t>
  </si>
  <si>
    <t>040.439.885-59</t>
  </si>
  <si>
    <t>000757769231-0</t>
  </si>
  <si>
    <t>Izabel Rosa de Oliveira</t>
  </si>
  <si>
    <t>022.318.045-90</t>
  </si>
  <si>
    <t>000859660495-0</t>
  </si>
  <si>
    <t>Marivani Cruz Damasceno</t>
  </si>
  <si>
    <t>00012098-8</t>
  </si>
  <si>
    <t>Cleonice Aguida de Souza</t>
  </si>
  <si>
    <t>071.372.855-89</t>
  </si>
  <si>
    <t>0006926-4</t>
  </si>
  <si>
    <t>Maurilia E Nascimento</t>
  </si>
  <si>
    <t>736722362-4</t>
  </si>
  <si>
    <t>Itamilton Araújo Rocha</t>
  </si>
  <si>
    <t>074.082.975-02</t>
  </si>
  <si>
    <t>0218202-5</t>
  </si>
  <si>
    <t>Kelvin Félix da Silva</t>
  </si>
  <si>
    <t>0501766-1</t>
  </si>
  <si>
    <t>João Batista Calisto de Olivera</t>
  </si>
  <si>
    <t>00007997-7</t>
  </si>
  <si>
    <t>José Luis Pereira Santos</t>
  </si>
  <si>
    <t>00001734-7</t>
  </si>
  <si>
    <t>Solange Alves Torres Novais</t>
  </si>
  <si>
    <t>834037088-8</t>
  </si>
  <si>
    <t>Tamires Carlos da Silva</t>
  </si>
  <si>
    <t>00023453-0</t>
  </si>
  <si>
    <t>Adilson Brito de Souza</t>
  </si>
  <si>
    <t>00011627-0</t>
  </si>
  <si>
    <t>Denaize de Jesus Silva</t>
  </si>
  <si>
    <t>000851100159-8</t>
  </si>
  <si>
    <t>Marineide Cruz Damasceno</t>
  </si>
  <si>
    <t>Maria Ires Pereira da Silva</t>
  </si>
  <si>
    <t>00008938-8</t>
  </si>
  <si>
    <t>Elenice Almeida Santos</t>
  </si>
  <si>
    <t>00014282-4</t>
  </si>
  <si>
    <t>Jucelina Santos Santana</t>
  </si>
  <si>
    <t>00024124-3</t>
  </si>
  <si>
    <t>Adelandia Mª de Oliveira</t>
  </si>
  <si>
    <t>800125357-9</t>
  </si>
  <si>
    <t>Geisa Barrada Macedo</t>
  </si>
  <si>
    <t>0383755-6</t>
  </si>
  <si>
    <t>Reinivaldo Dutra do Nascimento</t>
  </si>
  <si>
    <t>18.481-0</t>
  </si>
  <si>
    <t>Eliene Nunes da Cruz</t>
  </si>
  <si>
    <t>007.356.285-80</t>
  </si>
  <si>
    <t>000793774064-8</t>
  </si>
  <si>
    <t>Wanderson Santos Santana</t>
  </si>
  <si>
    <t>113.447.605-11</t>
  </si>
  <si>
    <t>000796061637-0</t>
  </si>
  <si>
    <t>Janailson Sousa Santana</t>
  </si>
  <si>
    <t>006.937.885-18</t>
  </si>
  <si>
    <t>00015193-9</t>
  </si>
  <si>
    <t>Izoraide Souza Santos Fernandes</t>
  </si>
  <si>
    <t>028.136.715-92</t>
  </si>
  <si>
    <t>00023101-0</t>
  </si>
  <si>
    <t>Anderson de Jesus Santos</t>
  </si>
  <si>
    <t>00157216-8</t>
  </si>
  <si>
    <t>Evani de Lima</t>
  </si>
  <si>
    <t>000793134375-2</t>
  </si>
  <si>
    <t>Miralva de Jesus Batista</t>
  </si>
  <si>
    <t>3616-1</t>
  </si>
  <si>
    <t>1001294-5</t>
  </si>
  <si>
    <t>José Silva Bispo</t>
  </si>
  <si>
    <t>060.072.635-50</t>
  </si>
  <si>
    <t>000798925343-8</t>
  </si>
  <si>
    <t>Leandro de Jesus Cruz</t>
  </si>
  <si>
    <t>036.581.165-36</t>
  </si>
  <si>
    <t>11.457-X</t>
  </si>
  <si>
    <t>Alailson Almeida de Souza</t>
  </si>
  <si>
    <t>00007988-8</t>
  </si>
  <si>
    <t>Emanuel Salomão de Jesus</t>
  </si>
  <si>
    <t>051.583.665-60</t>
  </si>
  <si>
    <t>000870343625-8</t>
  </si>
  <si>
    <t>Sirlaine Sousa da Silva</t>
  </si>
  <si>
    <t>059.980.625-74</t>
  </si>
  <si>
    <t>976900093-6</t>
  </si>
  <si>
    <t>Juliana Costa Silva</t>
  </si>
  <si>
    <t>865.416.715-75</t>
  </si>
  <si>
    <t>807029513-7</t>
  </si>
  <si>
    <t>Enesio Maria Alves</t>
  </si>
  <si>
    <t>0350193-0</t>
  </si>
  <si>
    <t>Jurandi Alves de Sousa</t>
  </si>
  <si>
    <t>007.918.955-56</t>
  </si>
  <si>
    <t>000858060627-4</t>
  </si>
  <si>
    <t>Ronaldo da Silva Bispo</t>
  </si>
  <si>
    <t>072.674.205-83</t>
  </si>
  <si>
    <t>000802529873-4</t>
  </si>
  <si>
    <t>Girlene Alves Damasceno</t>
  </si>
  <si>
    <t>065.225.195-18</t>
  </si>
  <si>
    <t>7615-5</t>
  </si>
  <si>
    <t>0341404-3</t>
  </si>
  <si>
    <t>Eliana Santos Matos</t>
  </si>
  <si>
    <t>044.538.475-13</t>
  </si>
  <si>
    <t>000839007604-5</t>
  </si>
  <si>
    <t>Miralva de Souza Andrade</t>
  </si>
  <si>
    <t>611.291.945-15</t>
  </si>
  <si>
    <t>000838081242-3</t>
  </si>
  <si>
    <t>Cleuza Souza Nascimento</t>
  </si>
  <si>
    <t>055.698.741.19</t>
  </si>
  <si>
    <t>c/ corr</t>
  </si>
  <si>
    <t>23.696-9</t>
  </si>
  <si>
    <t>Dalton de Oliveira de Souza</t>
  </si>
  <si>
    <t>00156507-9</t>
  </si>
  <si>
    <t>Vanilde Goncalves da Silva</t>
  </si>
  <si>
    <t>036.925.575-58</t>
  </si>
  <si>
    <t>15.080-0</t>
  </si>
  <si>
    <t>Marcos Cesar Santos de Araújo</t>
  </si>
  <si>
    <t>041.474.205-24</t>
  </si>
  <si>
    <t>00007978-2</t>
  </si>
  <si>
    <t>Jaciana Oliveira de Souza</t>
  </si>
  <si>
    <t>074.686.125-79</t>
  </si>
  <si>
    <t>0006967-1</t>
  </si>
  <si>
    <t>Eduarda Pires Brandão</t>
  </si>
  <si>
    <t>736859092-2</t>
  </si>
  <si>
    <t>Elisangela Bispo da Silva</t>
  </si>
  <si>
    <t>000762609905-3</t>
  </si>
  <si>
    <t>Robson Miranda Santos</t>
  </si>
  <si>
    <t>00028737-9</t>
  </si>
  <si>
    <t>Rita de Cássia Lisboa da Silva</t>
  </si>
  <si>
    <t>037.794.365-74</t>
  </si>
  <si>
    <t>21.289-x</t>
  </si>
  <si>
    <t>Eliene Oliveira Moraes</t>
  </si>
  <si>
    <t>00087590-4</t>
  </si>
  <si>
    <t>Elias Dantas Moura</t>
  </si>
  <si>
    <t>611.229.555-53</t>
  </si>
  <si>
    <t>000796035761-8</t>
  </si>
  <si>
    <t>José Santos Souza</t>
  </si>
  <si>
    <t>890.275.745-53</t>
  </si>
  <si>
    <t>20.579-6</t>
  </si>
  <si>
    <t>Ailton Souza Pereira</t>
  </si>
  <si>
    <t>058.610.935-80</t>
  </si>
  <si>
    <t>2041-9</t>
  </si>
  <si>
    <t>0020514-1</t>
  </si>
  <si>
    <t>Elielma da Silva Nunes</t>
  </si>
  <si>
    <t>853.065.505-25</t>
  </si>
  <si>
    <t>00014798-2</t>
  </si>
  <si>
    <t>Jurandir Silva Oliveira</t>
  </si>
  <si>
    <t>968.847.385-53</t>
  </si>
  <si>
    <t>0006823-3</t>
  </si>
  <si>
    <t>Luziene Silva de Souza</t>
  </si>
  <si>
    <t>000796525302-0</t>
  </si>
  <si>
    <t>Natiele do Espírito Santo</t>
  </si>
  <si>
    <t>120.011.785-90</t>
  </si>
  <si>
    <t>000792802703-9</t>
  </si>
  <si>
    <t>Elizabete Santos da Cruz</t>
  </si>
  <si>
    <t>028.889.495-20</t>
  </si>
  <si>
    <t>612277-9</t>
  </si>
  <si>
    <t>Valdinei Araújo Gomes</t>
  </si>
  <si>
    <t>043.185.395-98</t>
  </si>
  <si>
    <t>23.565-2</t>
  </si>
  <si>
    <t>Noelma Novais Carvalho</t>
  </si>
  <si>
    <t>073.104.275-13</t>
  </si>
  <si>
    <t>710340-9</t>
  </si>
  <si>
    <t>Evando Oliveira Medrado</t>
  </si>
  <si>
    <t>086.310.905-57</t>
  </si>
  <si>
    <t>260-X</t>
  </si>
  <si>
    <t>24.162-8</t>
  </si>
  <si>
    <t>Gilberto de Souza Viana</t>
  </si>
  <si>
    <t>444.964.828-51</t>
  </si>
  <si>
    <t>0112-0</t>
  </si>
  <si>
    <t>0003081-3</t>
  </si>
  <si>
    <t>Gilberto Carlos Sousa Santana</t>
  </si>
  <si>
    <t>117.802.358-36</t>
  </si>
  <si>
    <t>00149509-7</t>
  </si>
  <si>
    <t>José Antônio Silva de Oliveira</t>
  </si>
  <si>
    <t>060.626.325-02</t>
  </si>
  <si>
    <t>000976892402-6</t>
  </si>
  <si>
    <t>Edvaldo Brito da Silva</t>
  </si>
  <si>
    <t>145.265.998-24</t>
  </si>
  <si>
    <t>000754626166-0</t>
  </si>
  <si>
    <t>Jéssica Santos Costa</t>
  </si>
  <si>
    <t>861.801.615-26</t>
  </si>
  <si>
    <t>000858861696-1</t>
  </si>
  <si>
    <t>Eunice Jesus Santos</t>
  </si>
  <si>
    <t>586.935.055-72</t>
  </si>
  <si>
    <t>1099-5</t>
  </si>
  <si>
    <t>26.784-8</t>
  </si>
  <si>
    <t>Flávio de Sousa Santos</t>
  </si>
  <si>
    <t>065.087.215-00</t>
  </si>
  <si>
    <t>00010178-8</t>
  </si>
  <si>
    <t>Paulo Cesar dos Santos</t>
  </si>
  <si>
    <t>000866690714-0</t>
  </si>
  <si>
    <t>Adailton Sabino da Silva</t>
  </si>
  <si>
    <t>0237917-1</t>
  </si>
  <si>
    <t>Laelson Sateles Neves</t>
  </si>
  <si>
    <t>860216297-7</t>
  </si>
  <si>
    <t>Vivaldo Bispo de Almeida</t>
  </si>
  <si>
    <t>850020733-5</t>
  </si>
  <si>
    <t>Antônio C Costa</t>
  </si>
  <si>
    <t>Gleide Brito da Silva</t>
  </si>
  <si>
    <t>030.893.755-40</t>
  </si>
  <si>
    <t>837154504-3</t>
  </si>
  <si>
    <t>Sandra Miranda de Souza</t>
  </si>
  <si>
    <t>00003091-0</t>
  </si>
  <si>
    <t>Maridete Lino dos Santos</t>
  </si>
  <si>
    <t>029.667.415-03</t>
  </si>
  <si>
    <t>00001083-7</t>
  </si>
  <si>
    <t>Nedian Hilário Rodrigues</t>
  </si>
  <si>
    <t>00018208-5</t>
  </si>
  <si>
    <t>Ideiblem de Santana Lima</t>
  </si>
  <si>
    <t>067.598.605-27</t>
  </si>
  <si>
    <t>0448496-7</t>
  </si>
  <si>
    <t>Romeilton de Jesus Souza</t>
  </si>
  <si>
    <t>871263092-4</t>
  </si>
  <si>
    <t>Lucas Pereira Gomes</t>
  </si>
  <si>
    <t>00010049-6</t>
  </si>
  <si>
    <t>Erivaldo Souza da Silva</t>
  </si>
  <si>
    <t>797725457-4</t>
  </si>
  <si>
    <t>Marilene de Araújo Souza</t>
  </si>
  <si>
    <t>011.546.345-31</t>
  </si>
  <si>
    <t>000803734273-3</t>
  </si>
  <si>
    <t>Leonardo da Silva Moura</t>
  </si>
  <si>
    <t>00015112-2</t>
  </si>
  <si>
    <t>Jaelson Araújo dos Anjos</t>
  </si>
  <si>
    <t>0004348-6</t>
  </si>
  <si>
    <t>Welton Araújo dos Anjos</t>
  </si>
  <si>
    <t>801327813-0</t>
  </si>
  <si>
    <t>Evanildo Souza de Oliveira</t>
  </si>
  <si>
    <t>00008902-8</t>
  </si>
  <si>
    <t>Reinan Maciel Pinto</t>
  </si>
  <si>
    <t>0001764-7</t>
  </si>
  <si>
    <t>Sirleide da Silva Santana</t>
  </si>
  <si>
    <t>059.443.315-00</t>
  </si>
  <si>
    <t>853253581-8</t>
  </si>
  <si>
    <t>Iranilda M Souza</t>
  </si>
  <si>
    <t>22.200-3</t>
  </si>
  <si>
    <t>Hildete Rosa da Silva</t>
  </si>
  <si>
    <t>3532-7</t>
  </si>
  <si>
    <t>0011766-8</t>
  </si>
  <si>
    <t>João Batista Rocha</t>
  </si>
  <si>
    <t>00039225-5</t>
  </si>
  <si>
    <t>Juciel S. França</t>
  </si>
  <si>
    <t>23.411-7</t>
  </si>
  <si>
    <t>Joilson Alves de Oliveira</t>
  </si>
  <si>
    <t>885913939-0</t>
  </si>
  <si>
    <t>Josiane Alves de Oliveira</t>
  </si>
  <si>
    <t>00004685-8</t>
  </si>
  <si>
    <t>Marcos Souza Carneiro</t>
  </si>
  <si>
    <t>00014925-0</t>
  </si>
  <si>
    <t>Normeide Santos Almeida</t>
  </si>
  <si>
    <t>027.350.955-17</t>
  </si>
  <si>
    <t>859802632-6</t>
  </si>
  <si>
    <t>Laese Souza Silva</t>
  </si>
  <si>
    <t>896963435-3</t>
  </si>
  <si>
    <t>Roseni Rodrigues Lopes</t>
  </si>
  <si>
    <t>00019405-9</t>
  </si>
  <si>
    <t>João Lopes do Nascimento Filho</t>
  </si>
  <si>
    <t>021.710.135-67</t>
  </si>
  <si>
    <t>1696-9</t>
  </si>
  <si>
    <t>11.350-6</t>
  </si>
  <si>
    <t>Adilton Souza dos Anjos</t>
  </si>
  <si>
    <t>000802530606-0</t>
  </si>
  <si>
    <t>Rosineia das Virgens de Souza</t>
  </si>
  <si>
    <t>013.025.675-78</t>
  </si>
  <si>
    <t>000854853221-0</t>
  </si>
  <si>
    <t>Claudia Ribeiro de Jesus</t>
  </si>
  <si>
    <t>015.759.425-42</t>
  </si>
  <si>
    <t>407327-4</t>
  </si>
  <si>
    <t>Claudio Pires dos Santos</t>
  </si>
  <si>
    <t>381.768.518-17</t>
  </si>
  <si>
    <t>0006521-8</t>
  </si>
  <si>
    <t>José de Jesus Santos</t>
  </si>
  <si>
    <t>143.998.328-35</t>
  </si>
  <si>
    <t>000736148455-8</t>
  </si>
  <si>
    <t>Irailde Mª de Jesus</t>
  </si>
  <si>
    <t>00015384-0</t>
  </si>
  <si>
    <t>Cezar Silva Santos</t>
  </si>
  <si>
    <t>059.743.975-33</t>
  </si>
  <si>
    <t>24.111-3</t>
  </si>
  <si>
    <t>Edvan Silva de Jesus</t>
  </si>
  <si>
    <t>047.144.265-83</t>
  </si>
  <si>
    <t>0002601-8</t>
  </si>
  <si>
    <t>Cariza Silva Pereira</t>
  </si>
  <si>
    <t>080.733.125-22</t>
  </si>
  <si>
    <t>0007181-1</t>
  </si>
  <si>
    <t>Jaine da Cruz Almeida</t>
  </si>
  <si>
    <t>110.098.905-65</t>
  </si>
  <si>
    <t>863399925-9</t>
  </si>
  <si>
    <t>Juliana Dos Anjos Oliveira</t>
  </si>
  <si>
    <t>080.203.645-79</t>
  </si>
  <si>
    <t>238428-0</t>
  </si>
  <si>
    <t>Jocelma Costa dos Santos</t>
  </si>
  <si>
    <t>035.269.775-00</t>
  </si>
  <si>
    <t>000836229187-5</t>
  </si>
  <si>
    <t>Barbara Rosa de Miranda</t>
  </si>
  <si>
    <t>071.828.205-10</t>
  </si>
  <si>
    <t>00009288-6</t>
  </si>
  <si>
    <t>Gelsione Silva Lima</t>
  </si>
  <si>
    <t>072.399.625-39</t>
  </si>
  <si>
    <t>0012699-3</t>
  </si>
  <si>
    <t>Jocileide Silva Caldeiras</t>
  </si>
  <si>
    <t>027.070.005-66</t>
  </si>
  <si>
    <t>000838080148-0</t>
  </si>
  <si>
    <t>Guiomar Silva Santos</t>
  </si>
  <si>
    <t>025.741.075-94</t>
  </si>
  <si>
    <t>000748445157-7</t>
  </si>
  <si>
    <t>Cleia Rosa de Souza</t>
  </si>
  <si>
    <t>028.464.445-52</t>
  </si>
  <si>
    <t>000800926054-0</t>
  </si>
  <si>
    <t>Evelyn Gomes Santos</t>
  </si>
  <si>
    <t>714.439.341-35</t>
  </si>
  <si>
    <t>23.922-4</t>
  </si>
  <si>
    <t>Bruno Souza Novais</t>
  </si>
  <si>
    <t>055.405.805-75</t>
  </si>
  <si>
    <t>Robson Bispo dos Santos</t>
  </si>
  <si>
    <t>076.081.725-17</t>
  </si>
  <si>
    <t>000751068995-4</t>
  </si>
  <si>
    <t>Marenice Souza Lomes</t>
  </si>
  <si>
    <t>023.130.915-54</t>
  </si>
  <si>
    <t>883747-3</t>
  </si>
  <si>
    <t>Sandro Rodrigues do Nascimento</t>
  </si>
  <si>
    <t>011.858.495-21</t>
  </si>
  <si>
    <t>640109-0</t>
  </si>
  <si>
    <t>Elizabete Francisco</t>
  </si>
  <si>
    <t>113.506.928-08</t>
  </si>
  <si>
    <t>00017762-6</t>
  </si>
  <si>
    <t>Florisvaldo Silva Campos</t>
  </si>
  <si>
    <t>029.358.925-93</t>
  </si>
  <si>
    <t>00118594-5</t>
  </si>
  <si>
    <t>Emerson Matos Lima</t>
  </si>
  <si>
    <t>107.560.545-83</t>
  </si>
  <si>
    <t>251-8</t>
  </si>
  <si>
    <t>18893-X</t>
  </si>
  <si>
    <t>Roque Moreira Silva</t>
  </si>
  <si>
    <t>878.071.575-34</t>
  </si>
  <si>
    <t>421-9</t>
  </si>
  <si>
    <t>Edelvan Laranjeira</t>
  </si>
  <si>
    <t>047.147.705-27</t>
  </si>
  <si>
    <t>0595-9</t>
  </si>
  <si>
    <t>22.933-4</t>
  </si>
  <si>
    <t>Marcos Antônio Rodrigues de Oliveira</t>
  </si>
  <si>
    <t>086.302.645-19</t>
  </si>
  <si>
    <t>000794828205-0</t>
  </si>
  <si>
    <t>Mª A. B. Oliveira</t>
  </si>
  <si>
    <t>00024133-3</t>
  </si>
  <si>
    <t>Rozeli Das Virgens de Souza</t>
  </si>
  <si>
    <t>085.939.005-50</t>
  </si>
  <si>
    <t>470201-8</t>
  </si>
  <si>
    <t>Daniel de Souza Andrade</t>
  </si>
  <si>
    <t>547.107.665-68</t>
  </si>
  <si>
    <t>00025774-0</t>
  </si>
  <si>
    <t>Antônio Pereira Damasceno</t>
  </si>
  <si>
    <t>033.662.815-37</t>
  </si>
  <si>
    <t>00015100-9</t>
  </si>
  <si>
    <t>Samara Silva de Sena</t>
  </si>
  <si>
    <t>00027311-1</t>
  </si>
  <si>
    <t>Maria do Carmo Sousa Santos</t>
  </si>
  <si>
    <t>036.941.455-16</t>
  </si>
  <si>
    <t>000876014361-2</t>
  </si>
  <si>
    <t>Diana Sousa Lima</t>
  </si>
  <si>
    <t>054.116.725-11</t>
  </si>
  <si>
    <t>000839007613-4</t>
  </si>
  <si>
    <t>Andreane Souza Batista</t>
  </si>
  <si>
    <t>0302858-5</t>
  </si>
  <si>
    <t>Naili Oliveira de Souza</t>
  </si>
  <si>
    <t>0521619-2</t>
  </si>
  <si>
    <t>Valtei Jesus de Sousa</t>
  </si>
  <si>
    <t>762490404-8</t>
  </si>
  <si>
    <t>Desiane M Jesus dos Santos</t>
  </si>
  <si>
    <t>0400579-1</t>
  </si>
  <si>
    <t>Noires de Jesus Moreira</t>
  </si>
  <si>
    <t>00006593-4</t>
  </si>
  <si>
    <t>Rita de Cássia J Souza</t>
  </si>
  <si>
    <t>1000224-9</t>
  </si>
  <si>
    <t>Jeferson de Souza Pires</t>
  </si>
  <si>
    <t>0007670-8</t>
  </si>
  <si>
    <t>Geisa Costa Silva</t>
  </si>
  <si>
    <t>087.991.175-17</t>
  </si>
  <si>
    <t>000860461909-5</t>
  </si>
  <si>
    <t>José Paulo  Medrado Souza</t>
  </si>
  <si>
    <t>18.175-7</t>
  </si>
  <si>
    <t>Gleivison Lima dos Santos</t>
  </si>
  <si>
    <t>00014185-2</t>
  </si>
  <si>
    <t>Mª Cleuma R Souza</t>
  </si>
  <si>
    <t>875976856-6</t>
  </si>
  <si>
    <t>Josevaldo N de Souza</t>
  </si>
  <si>
    <t>00017203-1</t>
  </si>
  <si>
    <t>Noelio Ferreira dos Santos</t>
  </si>
  <si>
    <t>1003101-0</t>
  </si>
  <si>
    <t>João Cruz dos Santos</t>
  </si>
  <si>
    <t>00025775-5</t>
  </si>
  <si>
    <t>Viviane Alves de Souza</t>
  </si>
  <si>
    <t>00008888-8</t>
  </si>
  <si>
    <t>Luiz Meira Almeida</t>
  </si>
  <si>
    <t>828071428-4</t>
  </si>
  <si>
    <t>Iraildes Calixto Alves</t>
  </si>
  <si>
    <t>00020063-6</t>
  </si>
  <si>
    <t>Janio Souza de Jesus</t>
  </si>
  <si>
    <t>279.881.538-03</t>
  </si>
  <si>
    <t>0523840-4</t>
  </si>
  <si>
    <t>Taciana Longim do Nascimento</t>
  </si>
  <si>
    <t>866690712-4</t>
  </si>
  <si>
    <t>Edivan Morais de Oliveira</t>
  </si>
  <si>
    <t>0600677-9</t>
  </si>
  <si>
    <t>Carlos Araújo</t>
  </si>
  <si>
    <t>786734723-3</t>
  </si>
  <si>
    <t>Mª Nalva Jesus de Souza</t>
  </si>
  <si>
    <t>00008261-9</t>
  </si>
  <si>
    <t>Wesley Gonçalves Rios</t>
  </si>
  <si>
    <t>0240237-8</t>
  </si>
  <si>
    <t>Gleide Celma Jesus Santos</t>
  </si>
  <si>
    <t>c/Poup</t>
  </si>
  <si>
    <t>16.296-5</t>
  </si>
  <si>
    <t>Maicom Souza de Oliveira</t>
  </si>
  <si>
    <t>0213706-2</t>
  </si>
  <si>
    <t>Sandro Morais de Oliveira</t>
  </si>
  <si>
    <t>042.078.895-66</t>
  </si>
  <si>
    <t>0032442-6</t>
  </si>
  <si>
    <t>Amauri Dutra do Nascimento</t>
  </si>
  <si>
    <t>0523672-0</t>
  </si>
  <si>
    <t>Edemir Jesus de Oliveira</t>
  </si>
  <si>
    <t>1001749-1</t>
  </si>
  <si>
    <t>Divina dos Anjos Souza</t>
  </si>
  <si>
    <t>792839719-7</t>
  </si>
  <si>
    <t>Jane Maria de Jesus</t>
  </si>
  <si>
    <t>960185798-8</t>
  </si>
  <si>
    <t>João de  Jesus S Junior</t>
  </si>
  <si>
    <t>00029934-1</t>
  </si>
  <si>
    <t>Tânia Martinha Santos Machado Sousa</t>
  </si>
  <si>
    <t>980818031-6</t>
  </si>
  <si>
    <t>Mª Aparecida F. dos Santos</t>
  </si>
  <si>
    <t>013.437.485-18</t>
  </si>
  <si>
    <t>836229188-3</t>
  </si>
  <si>
    <t>José Morais de Oliveira</t>
  </si>
  <si>
    <t>0000098-1</t>
  </si>
  <si>
    <t>Marcílio Ramos de Souza</t>
  </si>
  <si>
    <t>00007902-0</t>
  </si>
  <si>
    <t>Elton Conceição dos Santos</t>
  </si>
  <si>
    <t>0395914-7</t>
  </si>
  <si>
    <t>Paula Renata Ferreira Silva</t>
  </si>
  <si>
    <t>0002405-8</t>
  </si>
  <si>
    <t>Vanderlei dos Santos</t>
  </si>
  <si>
    <t>782592305-8</t>
  </si>
  <si>
    <t>Odivanio de Barros Cruz</t>
  </si>
  <si>
    <t>00014146-0</t>
  </si>
  <si>
    <t>Mª Bastos da Silva</t>
  </si>
  <si>
    <t>0010126-5</t>
  </si>
  <si>
    <t>Clécio C. Santos</t>
  </si>
  <si>
    <t>27.348-1</t>
  </si>
  <si>
    <t>Patrícia A. Souza</t>
  </si>
  <si>
    <t>17.529-3</t>
  </si>
  <si>
    <t>Alexsandro Alves Gaspar</t>
  </si>
  <si>
    <t>800126037-0</t>
  </si>
  <si>
    <t>Edvania de Souza Silva</t>
  </si>
  <si>
    <t>0003619-6</t>
  </si>
  <si>
    <t>Dionei Ferreira Calado</t>
  </si>
  <si>
    <t>0316996-0</t>
  </si>
  <si>
    <t>Benedito José Miranda</t>
  </si>
  <si>
    <t>00022586-8</t>
  </si>
  <si>
    <t>Noemia Conceição Araújo</t>
  </si>
  <si>
    <t>00011563-9</t>
  </si>
  <si>
    <t>André Costa Pires</t>
  </si>
  <si>
    <t>070.837.735-13</t>
  </si>
  <si>
    <t>979011661-1</t>
  </si>
  <si>
    <t>Elias dos Santos Ferreira</t>
  </si>
  <si>
    <t>067.659.565-06</t>
  </si>
  <si>
    <t>868729809-7</t>
  </si>
  <si>
    <t>Reizania Rosa de Souza</t>
  </si>
  <si>
    <t>1000045-9</t>
  </si>
  <si>
    <t>Terezinha Jesus de Souza</t>
  </si>
  <si>
    <t>0006056-9</t>
  </si>
  <si>
    <t>Edileusa Souza Costa</t>
  </si>
  <si>
    <t>832289131-6</t>
  </si>
  <si>
    <t>Jaiara Moreira da Silva</t>
  </si>
  <si>
    <t>00035664-2</t>
  </si>
  <si>
    <t>Marone José de Souza</t>
  </si>
  <si>
    <t>3833-4</t>
  </si>
  <si>
    <t>14.058-9</t>
  </si>
  <si>
    <t>Augusto F. M. Almeida</t>
  </si>
  <si>
    <t>2876-2</t>
  </si>
  <si>
    <t>120.563-3</t>
  </si>
  <si>
    <t>Damiana dos Santos</t>
  </si>
  <si>
    <t>00008970-0</t>
  </si>
  <si>
    <t>Luzimar dos Santos Lima</t>
  </si>
  <si>
    <t>00020435-6</t>
  </si>
  <si>
    <t>Girlane Fernandes dos Santos</t>
  </si>
  <si>
    <t>848409646-5</t>
  </si>
  <si>
    <t>Lusivete Soares Passos</t>
  </si>
  <si>
    <t>072.527.845-50</t>
  </si>
  <si>
    <t>24.104-0</t>
  </si>
  <si>
    <t>Luciana Lopes de Jesus</t>
  </si>
  <si>
    <t>0061228-6</t>
  </si>
  <si>
    <t>Antoniel Oliveira Barreto</t>
  </si>
  <si>
    <t>864.135.325-99</t>
  </si>
  <si>
    <t>13638-7</t>
  </si>
  <si>
    <t>Ailton Sateles Barreto</t>
  </si>
  <si>
    <t>00057966-0</t>
  </si>
  <si>
    <t>Edilson Souza Lima</t>
  </si>
  <si>
    <t>073.558.955-08</t>
  </si>
  <si>
    <t>764459955-0</t>
  </si>
  <si>
    <t>Simone Ferreira Silva</t>
  </si>
  <si>
    <t>00020728-2</t>
  </si>
  <si>
    <t>Reini Rosa A. Souza</t>
  </si>
  <si>
    <t>1025-1</t>
  </si>
  <si>
    <t>14.851-2</t>
  </si>
  <si>
    <t>Tais Pinheiro Dourado</t>
  </si>
  <si>
    <t>849661842-9</t>
  </si>
  <si>
    <t>Laiane Sampaio Santos</t>
  </si>
  <si>
    <t>054.723.095-81</t>
  </si>
  <si>
    <t>743997438-8</t>
  </si>
  <si>
    <t>Rosileide Andrade Araújo</t>
  </si>
  <si>
    <t>00013252-6</t>
  </si>
  <si>
    <t>Lusinete Oliveira de Sousa</t>
  </si>
  <si>
    <t>7.366-0</t>
  </si>
  <si>
    <t>Mª Aparecida Brandão de Oliveira</t>
  </si>
  <si>
    <t>020.653.765-46</t>
  </si>
  <si>
    <t>Juliano Renato F. Soares</t>
  </si>
  <si>
    <t>Aux.Bras</t>
  </si>
  <si>
    <t>963925876-3</t>
  </si>
  <si>
    <t>Alex Souza Campos</t>
  </si>
  <si>
    <t>100.611.035-60</t>
  </si>
  <si>
    <t>846280171-9</t>
  </si>
  <si>
    <t>Zeilda Alves Souza Filha</t>
  </si>
  <si>
    <t>11.684-X</t>
  </si>
  <si>
    <t>Manoel de Souza Moraes</t>
  </si>
  <si>
    <t>036.733.875-02</t>
  </si>
  <si>
    <t>013</t>
  </si>
  <si>
    <t>00008008-0</t>
  </si>
  <si>
    <t>Sueli Santana Santos</t>
  </si>
  <si>
    <t>839938025-1</t>
  </si>
  <si>
    <t>Mª de Lurdes dos  R. de Oliveira</t>
  </si>
  <si>
    <t>871268882-5</t>
  </si>
  <si>
    <t>Selma Oliveira Farias</t>
  </si>
  <si>
    <t>00078841-6</t>
  </si>
  <si>
    <t>Lusmar Ribeiro dos Santos</t>
  </si>
  <si>
    <t>1001358-5</t>
  </si>
  <si>
    <t>Simone Miranda de Souza</t>
  </si>
  <si>
    <t>023</t>
  </si>
  <si>
    <t>00024149-0</t>
  </si>
  <si>
    <t>José Ferreira Alves</t>
  </si>
  <si>
    <t>0604098-5</t>
  </si>
  <si>
    <t>Daniel Santos Ferreira</t>
  </si>
  <si>
    <t>00004628-9</t>
  </si>
  <si>
    <t>Geová dos Santos</t>
  </si>
  <si>
    <t>00012602-9</t>
  </si>
  <si>
    <t>Manoel Domingos S. Jesus</t>
  </si>
  <si>
    <t>00006952-1</t>
  </si>
  <si>
    <t>Leandro José dos Santos</t>
  </si>
  <si>
    <t>024.881.875-93</t>
  </si>
  <si>
    <t>00008909-3</t>
  </si>
  <si>
    <t>Edivânia Pereira dos Santos</t>
  </si>
  <si>
    <t>00018526-2</t>
  </si>
  <si>
    <t>Rita de Cássia Lima de Sousa</t>
  </si>
  <si>
    <t>804939303-6</t>
  </si>
  <si>
    <t>Eliana Souza da Cruz</t>
  </si>
  <si>
    <t>0350169-8</t>
  </si>
  <si>
    <t>Antônia de Jesus Carvalho</t>
  </si>
  <si>
    <t>015.852.085-82</t>
  </si>
  <si>
    <t>000836305637-3</t>
  </si>
  <si>
    <t>Arlinda Santana Guimarães</t>
  </si>
  <si>
    <t>0522862-0</t>
  </si>
  <si>
    <t>Leila Sena Boaventura</t>
  </si>
  <si>
    <t>024.056.245-32</t>
  </si>
  <si>
    <t>000796526333-6</t>
  </si>
  <si>
    <t>Ediney Xavier Alves</t>
  </si>
  <si>
    <t>00066359-3</t>
  </si>
  <si>
    <t>Antônio Eudes A Silva</t>
  </si>
  <si>
    <t>2997-1</t>
  </si>
  <si>
    <t>6.090-9</t>
  </si>
  <si>
    <t>Leonice Silva Santos</t>
  </si>
  <si>
    <t>00011645-0</t>
  </si>
  <si>
    <t>Marenilde Soares Silva</t>
  </si>
  <si>
    <t>0064316-5</t>
  </si>
  <si>
    <t>Lucas Cruz Carvalho</t>
  </si>
  <si>
    <t>00008154-8</t>
  </si>
  <si>
    <t>Lindacir M. J. da Silva</t>
  </si>
  <si>
    <t>Edineia M. dos Santos</t>
  </si>
  <si>
    <t>Margarida Agda de Jesus</t>
  </si>
  <si>
    <t>00000119-1</t>
  </si>
  <si>
    <t>Alcinei Jesus da Silva</t>
  </si>
  <si>
    <t>1384-6</t>
  </si>
  <si>
    <t>1001010-1</t>
  </si>
  <si>
    <t>Orivaldo Bispo Gama</t>
  </si>
  <si>
    <t>00012658-7</t>
  </si>
  <si>
    <t>Valdenice Santana de Gois</t>
  </si>
  <si>
    <t>0060283-3</t>
  </si>
  <si>
    <t xml:space="preserve">Sergio Neto da Cruz </t>
  </si>
  <si>
    <t>007.306.575-74</t>
  </si>
  <si>
    <t>00068800-6</t>
  </si>
  <si>
    <t>Alcione Jesus Silva</t>
  </si>
  <si>
    <t>1288</t>
  </si>
  <si>
    <t>854853243-0</t>
  </si>
  <si>
    <t>Luana Marcos S. Silva</t>
  </si>
  <si>
    <t>Gislândia Silva de Oliveira</t>
  </si>
  <si>
    <t>00010045-6</t>
  </si>
  <si>
    <t>Edvan S. de Jesus</t>
  </si>
  <si>
    <t>00003047-1</t>
  </si>
  <si>
    <t>Valdineide Silva Araújo</t>
  </si>
  <si>
    <t>1004000-0</t>
  </si>
  <si>
    <t>Maria de Fátima da Silva</t>
  </si>
  <si>
    <t>00007920-9</t>
  </si>
  <si>
    <t>Lucineide da Silva Valeir</t>
  </si>
  <si>
    <t>00003371-3</t>
  </si>
  <si>
    <t>Maciel S Macedo</t>
  </si>
  <si>
    <t>Maria Anunciação Pereira dos Santos</t>
  </si>
  <si>
    <t>1001039-0</t>
  </si>
  <si>
    <t>Antônia dos Anjos Pereira</t>
  </si>
  <si>
    <t>0000756-0</t>
  </si>
  <si>
    <t>Marlene Evangelista Nascimento</t>
  </si>
  <si>
    <t>00016500-8</t>
  </si>
  <si>
    <t>Anacélia Alves</t>
  </si>
  <si>
    <t>Silane Alves Martins</t>
  </si>
  <si>
    <t>Lindinalva Rosa Santos</t>
  </si>
  <si>
    <t>00009087-6</t>
  </si>
  <si>
    <t>Daniel Santana Carvalho</t>
  </si>
  <si>
    <t>00012833-1</t>
  </si>
  <si>
    <t>Adriano da Silva</t>
  </si>
  <si>
    <t>Fabio Miranda Fernandes</t>
  </si>
  <si>
    <t>00143435-7</t>
  </si>
  <si>
    <t>Maria de Jesus de Moura</t>
  </si>
  <si>
    <t>00005079-0</t>
  </si>
  <si>
    <t>José Roberto de Souza Almeida</t>
  </si>
  <si>
    <t>00005429-0</t>
  </si>
  <si>
    <t>Maria das Graças S Nascimento</t>
  </si>
  <si>
    <t>00024457-0</t>
  </si>
  <si>
    <t>Joelma Paixão Lopes</t>
  </si>
  <si>
    <t>00023089-7</t>
  </si>
  <si>
    <t>Patrícia França</t>
  </si>
  <si>
    <t>Joelza Pinheiro dos Santos</t>
  </si>
  <si>
    <t>005.366.685-23</t>
  </si>
  <si>
    <t>000832996286-3</t>
  </si>
  <si>
    <t>Mariene de Jesus Rodrigues</t>
  </si>
  <si>
    <t>00014049-9</t>
  </si>
  <si>
    <t>Geniclézia Almeida Silva</t>
  </si>
  <si>
    <t>Jaciene Rodrigues Silva</t>
  </si>
  <si>
    <t>Cosme</t>
  </si>
  <si>
    <t>Silvaneide Oliveira Souza</t>
  </si>
  <si>
    <t>00009892-2</t>
  </si>
  <si>
    <t>Eloizio Cruz da Silva</t>
  </si>
  <si>
    <t>Vando Welton Lima Dantas</t>
  </si>
  <si>
    <t>10.089-7</t>
  </si>
  <si>
    <t>Maria Madalena Lima Santos</t>
  </si>
  <si>
    <t>00006551-4</t>
  </si>
  <si>
    <t>Dalvaires A de Souza</t>
  </si>
  <si>
    <t>2360-X</t>
  </si>
  <si>
    <t>10.025-0</t>
  </si>
  <si>
    <t>Juliana Alves de Souza</t>
  </si>
  <si>
    <t>00004290-0</t>
  </si>
  <si>
    <t>Tatiana Alves de Souza</t>
  </si>
  <si>
    <t>22.260-7</t>
  </si>
  <si>
    <t>Maria Aparecida Leoncio Pires</t>
  </si>
  <si>
    <t>00024118-0</t>
  </si>
  <si>
    <t>Noelma Oliveira Santana</t>
  </si>
  <si>
    <t>00007240-0</t>
  </si>
  <si>
    <t>Bruno Moreira da Silva</t>
  </si>
  <si>
    <t>00019873-5</t>
  </si>
  <si>
    <t>Juarez de Souza</t>
  </si>
  <si>
    <t>00070599-5</t>
  </si>
  <si>
    <t>Elvis Alves dos Santos</t>
  </si>
  <si>
    <t>14.992-6</t>
  </si>
  <si>
    <t>Simone Melo Silva</t>
  </si>
  <si>
    <t>00015856-8</t>
  </si>
  <si>
    <t>Marivalda Oliveira Santana</t>
  </si>
  <si>
    <t>000.312.505-05</t>
  </si>
  <si>
    <t>Jandira de Jesus Pires</t>
  </si>
  <si>
    <t>00007361-9</t>
  </si>
  <si>
    <t>Ildete Silva Inacio</t>
  </si>
  <si>
    <t>006.475.485-50</t>
  </si>
  <si>
    <t>960432855-2</t>
  </si>
  <si>
    <t>Jaíne Inácio da Silva</t>
  </si>
  <si>
    <t>069.356.895-03</t>
  </si>
  <si>
    <t>00009393-9</t>
  </si>
  <si>
    <t>Ivone Oliveira da Silva</t>
  </si>
  <si>
    <t>0006028-3</t>
  </si>
  <si>
    <t>Evanilson Silva Barbosa</t>
  </si>
  <si>
    <t>00009854-0</t>
  </si>
  <si>
    <t>Luis Carlos dos Santos</t>
  </si>
  <si>
    <t>14.016-3</t>
  </si>
  <si>
    <t>Vanderleia Moreira da Silva</t>
  </si>
  <si>
    <t>058.300.045-26</t>
  </si>
  <si>
    <t>00086871-1</t>
  </si>
  <si>
    <t>Evanilce Bispo dos Santos</t>
  </si>
  <si>
    <t>00059649-5</t>
  </si>
  <si>
    <t>Etelvina Rodrigues de Souza</t>
  </si>
  <si>
    <t>00007107-1</t>
  </si>
  <si>
    <t>José Rodrigues de Souza</t>
  </si>
  <si>
    <t>00034243-1</t>
  </si>
  <si>
    <t>Alberto Souza da Rocha</t>
  </si>
  <si>
    <t>6683-4</t>
  </si>
  <si>
    <t>198.264-8</t>
  </si>
  <si>
    <t>Simone de Jesus Brito</t>
  </si>
  <si>
    <t>00014887-2</t>
  </si>
  <si>
    <t>Gilderlan Moreira Souza</t>
  </si>
  <si>
    <t>00002223-3</t>
  </si>
  <si>
    <t>Eliene Lomes da Silva</t>
  </si>
  <si>
    <t>00008751-3</t>
  </si>
  <si>
    <t>Cleia Silva Santos</t>
  </si>
  <si>
    <t>Maria Rodrigues de Sousa</t>
  </si>
  <si>
    <t>00006481-4</t>
  </si>
  <si>
    <t>Inácio Antônio C Cavalcante</t>
  </si>
  <si>
    <t>Jane Cleide Brandão Oliveira</t>
  </si>
  <si>
    <t>066.388.155-20</t>
  </si>
  <si>
    <t>00005838-4</t>
  </si>
  <si>
    <t>Sandreane N Soares</t>
  </si>
  <si>
    <t>00012508-2</t>
  </si>
  <si>
    <t>Vanuza Machado Farias</t>
  </si>
  <si>
    <t>00020430-6</t>
  </si>
  <si>
    <t>Jeane Soares Santos</t>
  </si>
  <si>
    <t>Guiomar S Santos</t>
  </si>
  <si>
    <t>Nondas E Conceição</t>
  </si>
  <si>
    <t>Jailson S Oliveira</t>
  </si>
  <si>
    <t>Sílvio F de Oliveira</t>
  </si>
  <si>
    <t>Ires Pereira de Souza</t>
  </si>
  <si>
    <t>00023901-0</t>
  </si>
  <si>
    <t>Monica Santos de Sena</t>
  </si>
  <si>
    <t>00021690-0</t>
  </si>
  <si>
    <t>Edenilson F de Souza</t>
  </si>
  <si>
    <t>Ariosmar Souza Almeida</t>
  </si>
  <si>
    <t>Janice Dantas Moura</t>
  </si>
  <si>
    <t>Ana Paula Ferreira dos Santos</t>
  </si>
  <si>
    <t>00001000-3</t>
  </si>
  <si>
    <t>Janileide Oliveira Silva</t>
  </si>
  <si>
    <t>804942438-1</t>
  </si>
  <si>
    <t>Eunice Ferreira de Jesus</t>
  </si>
  <si>
    <t>029.922.145-82</t>
  </si>
  <si>
    <t>0003881-4</t>
  </si>
  <si>
    <t>Antônio Conceição da Costa</t>
  </si>
  <si>
    <t>Maria Núbia Fernandes da Silva</t>
  </si>
  <si>
    <t>025.138.135-88</t>
  </si>
  <si>
    <t>00012471-1</t>
  </si>
  <si>
    <t>Silene F da Silva</t>
  </si>
  <si>
    <t>00009126-3</t>
  </si>
  <si>
    <t>Marivalda</t>
  </si>
  <si>
    <t>Etevaldo B de Oliveira</t>
  </si>
  <si>
    <t>0523137-0</t>
  </si>
  <si>
    <t>Lindinalva Oliveira Souza</t>
  </si>
  <si>
    <t>0904-0</t>
  </si>
  <si>
    <t>55.775-7</t>
  </si>
  <si>
    <t>Santa Maria de Morais</t>
  </si>
  <si>
    <t>00008882-9</t>
  </si>
  <si>
    <t>Edva Reis dos Santos</t>
  </si>
  <si>
    <t>00007242-6</t>
  </si>
  <si>
    <t>Paulo Ferreira dos Santos</t>
  </si>
  <si>
    <t>00007925-1</t>
  </si>
  <si>
    <t>Luzineide Pires de Souza</t>
  </si>
  <si>
    <t>00028208-0</t>
  </si>
  <si>
    <t>Aline Damasceno Silva</t>
  </si>
  <si>
    <t>00033489-0</t>
  </si>
  <si>
    <t>00002554-7</t>
  </si>
  <si>
    <t>Maria José R Oliveira</t>
  </si>
  <si>
    <t>13.787-1</t>
  </si>
  <si>
    <t>Maria da Conceição Silva</t>
  </si>
  <si>
    <t>010.602.665-80</t>
  </si>
  <si>
    <t>000859662303-3</t>
  </si>
  <si>
    <t>Samar Bonifácio de Souza</t>
  </si>
  <si>
    <t>00011220-6</t>
  </si>
  <si>
    <t>Ednalva Moreira da Silva</t>
  </si>
  <si>
    <t>860460796-8</t>
  </si>
  <si>
    <t>Alexandra Mariano Lima</t>
  </si>
  <si>
    <t>00008297-8</t>
  </si>
  <si>
    <t>Ednéia Moreira dos Santos</t>
  </si>
  <si>
    <t>00004229-1</t>
  </si>
  <si>
    <t>Márcia Pinto Santana</t>
  </si>
  <si>
    <t>038.051.965-80</t>
  </si>
  <si>
    <t>000839007924-9</t>
  </si>
  <si>
    <t>Reginaldo S Gonçalves</t>
  </si>
  <si>
    <t>00012583-9</t>
  </si>
  <si>
    <t>Anacelia A dos Santos</t>
  </si>
  <si>
    <t>061422-0</t>
  </si>
  <si>
    <t>Elizangela Amaral</t>
  </si>
  <si>
    <t>00011534-8</t>
  </si>
  <si>
    <t>Adailza Oliveira Viana</t>
  </si>
  <si>
    <t>00007678-1</t>
  </si>
  <si>
    <t>Zilda Santos Gonçalves</t>
  </si>
  <si>
    <t>00013887-6</t>
  </si>
  <si>
    <t>Sandra Santos Gonçalves</t>
  </si>
  <si>
    <t>00013884-1</t>
  </si>
  <si>
    <t>Damião Teles de Souza</t>
  </si>
  <si>
    <t>00005713-2</t>
  </si>
  <si>
    <t>Vanderlei P de Souza</t>
  </si>
  <si>
    <t>0001805-8</t>
  </si>
  <si>
    <t>Gisélia A. Barros</t>
  </si>
  <si>
    <t>C/poup</t>
  </si>
  <si>
    <t>17.338-X</t>
  </si>
  <si>
    <t>Juliana S Santos</t>
  </si>
  <si>
    <t>101996-1</t>
  </si>
  <si>
    <t>Arão Pinheiro de Barros</t>
  </si>
  <si>
    <t>00005587-5</t>
  </si>
  <si>
    <t>Jandirleide Maria da Silva</t>
  </si>
  <si>
    <t>00012388-7</t>
  </si>
  <si>
    <t>Manoel João dos Santos</t>
  </si>
  <si>
    <t>00009910-4</t>
  </si>
  <si>
    <t>João de Jesus Santos</t>
  </si>
  <si>
    <t>00003652-1</t>
  </si>
  <si>
    <t>Luana Marques da Silva</t>
  </si>
  <si>
    <t>00008399-0</t>
  </si>
  <si>
    <t>Mailton de Jesus Silva</t>
  </si>
  <si>
    <t>00010827-6</t>
  </si>
  <si>
    <t>Joelma Pereira Amaral</t>
  </si>
  <si>
    <t>00004936-4</t>
  </si>
  <si>
    <t>Edneide Oliveira Santos</t>
  </si>
  <si>
    <t>00009162-0</t>
  </si>
  <si>
    <t>Jessica Lima Barros</t>
  </si>
  <si>
    <t>00004429-4</t>
  </si>
  <si>
    <t>Antônio Carlos Almeida</t>
  </si>
  <si>
    <t>00009082-2</t>
  </si>
  <si>
    <t>Iara Alves de Miranda</t>
  </si>
  <si>
    <t>00012672-0</t>
  </si>
  <si>
    <t>Antônio José Evangelista Sampaio</t>
  </si>
  <si>
    <t>00064306-0</t>
  </si>
  <si>
    <t>Rozana Santana de Assunção</t>
  </si>
  <si>
    <t>00000202-5</t>
  </si>
  <si>
    <t>Olivia dos Anjos Oliveira</t>
  </si>
  <si>
    <t>00001085-3</t>
  </si>
  <si>
    <t>Alfredo Oliveira Matos</t>
  </si>
  <si>
    <t>806145106-7</t>
  </si>
  <si>
    <t>Marco Antônio José dos Santos</t>
  </si>
  <si>
    <t>00055119-1</t>
  </si>
  <si>
    <t>Josemar José dos Santos</t>
  </si>
  <si>
    <t>00008523-3</t>
  </si>
  <si>
    <t>Eutácio Silva de Oliveira</t>
  </si>
  <si>
    <t>00004832-0</t>
  </si>
  <si>
    <t>Tainá Rosa de Souza</t>
  </si>
  <si>
    <t>00012530-8</t>
  </si>
  <si>
    <t>Ivanilton Soares da Silva</t>
  </si>
  <si>
    <t>20963393884-01</t>
  </si>
  <si>
    <t>Maria Miranda dos Santos</t>
  </si>
  <si>
    <t>00016667-5</t>
  </si>
  <si>
    <t>Marleide de Jesus Carvalho</t>
  </si>
  <si>
    <t>067.628.495-71</t>
  </si>
  <si>
    <t>796526228-3</t>
  </si>
  <si>
    <t>Cícero de Oliveira Santos</t>
  </si>
  <si>
    <t>00004218-6</t>
  </si>
  <si>
    <t>Flávio Antônio Bezerra de Sá</t>
  </si>
  <si>
    <t>1000354-7</t>
  </si>
  <si>
    <t>Célia Pereira dos Santos</t>
  </si>
  <si>
    <t>00002507-9</t>
  </si>
  <si>
    <t>Mariazinha de Jesus</t>
  </si>
  <si>
    <t>00012127-5</t>
  </si>
  <si>
    <t>Aucicléia de Jesus Silva</t>
  </si>
  <si>
    <t>00002048-4</t>
  </si>
  <si>
    <t>Eliene Jesus Souza Pinto</t>
  </si>
  <si>
    <t>00003530-4</t>
  </si>
  <si>
    <t>Ilmara Soares de Souza</t>
  </si>
  <si>
    <t>00013741-4</t>
  </si>
  <si>
    <t>Joscilene Silva de Oliveira</t>
  </si>
  <si>
    <t>00010044-8</t>
  </si>
  <si>
    <t>Silvania da Silva Santos</t>
  </si>
  <si>
    <t>00014432-1</t>
  </si>
  <si>
    <t>Joselita Brito Santos</t>
  </si>
  <si>
    <t>00008399-2</t>
  </si>
  <si>
    <t>Vilma Lucia Lobo da Silva</t>
  </si>
  <si>
    <t>00023332-2</t>
  </si>
  <si>
    <t>Edivaldo de Jesus Alves</t>
  </si>
  <si>
    <t>0004694-9</t>
  </si>
  <si>
    <t>Cosme Santana Oliveira</t>
  </si>
  <si>
    <t>6.389-4</t>
  </si>
  <si>
    <t>Clenilson Santos Alves</t>
  </si>
  <si>
    <t>063.737.085-60</t>
  </si>
  <si>
    <t>00029983-0</t>
  </si>
  <si>
    <t>José Nilton A Araújo</t>
  </si>
  <si>
    <t>13.328-0</t>
  </si>
  <si>
    <t>Marleide Rosa Soares</t>
  </si>
  <si>
    <t>00015461-9</t>
  </si>
  <si>
    <t>Clécia Paes da Silva</t>
  </si>
  <si>
    <t>00027269-7</t>
  </si>
  <si>
    <t>Sandra Ferreira da Silva</t>
  </si>
  <si>
    <t>00003040-4</t>
  </si>
  <si>
    <t>Eliones Melo Silva</t>
  </si>
  <si>
    <t>00006475-0</t>
  </si>
  <si>
    <t>Maria Pereira de Brito</t>
  </si>
  <si>
    <t>401.473.985-68</t>
  </si>
  <si>
    <t>00067750-0</t>
  </si>
  <si>
    <t>Gildeon Sena de Lisboa</t>
  </si>
  <si>
    <t>0079341-8</t>
  </si>
  <si>
    <t>Paulo Santos Oliveira</t>
  </si>
  <si>
    <t>00001670-5</t>
  </si>
  <si>
    <t>Jazon Dias Damasceno</t>
  </si>
  <si>
    <t>00010722-0</t>
  </si>
  <si>
    <t>José Luiz Santos da Silva</t>
  </si>
  <si>
    <t>19.340-2</t>
  </si>
  <si>
    <t>Givaneide Cortes de Oliveira</t>
  </si>
  <si>
    <t>00007239-6</t>
  </si>
  <si>
    <t>Maria Aparecida Sousa</t>
  </si>
  <si>
    <t>15.818-6</t>
  </si>
  <si>
    <t>Rodrigo Santos Machado</t>
  </si>
  <si>
    <t>00016051-0</t>
  </si>
  <si>
    <t>00005824-6</t>
  </si>
  <si>
    <t>Eduelton Pires Santos</t>
  </si>
  <si>
    <t>Jeane Paixão da Silva</t>
  </si>
  <si>
    <t>Leandro Ferreira Salvador</t>
  </si>
  <si>
    <t>00006205-7</t>
  </si>
  <si>
    <t>João Batista Conceição de Jesus</t>
  </si>
  <si>
    <t>00000968-4</t>
  </si>
  <si>
    <t>Ana Maria Souza Ferreira</t>
  </si>
  <si>
    <t>00008274-0</t>
  </si>
  <si>
    <t>Eliene Cesar dos Santos</t>
  </si>
  <si>
    <t>875882167-6</t>
  </si>
  <si>
    <t>Josinei Sousa Silva</t>
  </si>
  <si>
    <t>00005636-7</t>
  </si>
  <si>
    <t>Patrícia Alves de França Vieira</t>
  </si>
  <si>
    <t>00007619-8</t>
  </si>
  <si>
    <t>Jorge Elcivan Filho</t>
  </si>
  <si>
    <t>00017633-0</t>
  </si>
  <si>
    <t>Vilma Damasceno Silva</t>
  </si>
  <si>
    <t>00021783-1</t>
  </si>
  <si>
    <t>Ivanilda Conceição Leite</t>
  </si>
  <si>
    <t>033.929.815-40</t>
  </si>
  <si>
    <t>00022081-6</t>
  </si>
  <si>
    <t>Samuel Monteiro da Cruz</t>
  </si>
  <si>
    <t>00007273-7</t>
  </si>
  <si>
    <t>Girlande Sampaio dos Santos</t>
  </si>
  <si>
    <t>00007272-9</t>
  </si>
  <si>
    <t>Gessirlande Silva de Oliveira</t>
  </si>
  <si>
    <t>00006396-7</t>
  </si>
  <si>
    <t>Lucas Moraes de Souza</t>
  </si>
  <si>
    <t>00000657-0</t>
  </si>
  <si>
    <t>Dirlene de Arruda Santos</t>
  </si>
  <si>
    <t>00004743-0</t>
  </si>
  <si>
    <t>Ueliton Silva</t>
  </si>
  <si>
    <t>000.088.295-00</t>
  </si>
  <si>
    <t>Gildélia Pires de Souza</t>
  </si>
  <si>
    <t>027.278.165-70</t>
  </si>
  <si>
    <t>000960431431-4</t>
  </si>
  <si>
    <t>Ebilisária de Almeida Silva</t>
  </si>
  <si>
    <t>00008324-0</t>
  </si>
  <si>
    <t>Fernando Moreira da Silva</t>
  </si>
  <si>
    <t>15.244-7</t>
  </si>
  <si>
    <t>Dhenif Freitas Araújo</t>
  </si>
  <si>
    <t>00009876-0</t>
  </si>
  <si>
    <t>Ilzete Pereira C Macedo</t>
  </si>
  <si>
    <t>12.936-4</t>
  </si>
  <si>
    <t>Maria de Almeida</t>
  </si>
  <si>
    <t>00024202-0</t>
  </si>
  <si>
    <t>Maria Fonseca de Oliveira</t>
  </si>
  <si>
    <t>00014508-8</t>
  </si>
  <si>
    <t>Edson Andrade dos Santos</t>
  </si>
  <si>
    <t>00067764-0</t>
  </si>
  <si>
    <t>Adriana Souza dos Anjos</t>
  </si>
  <si>
    <t>00001824-2</t>
  </si>
  <si>
    <t>Jaime Aguida de Souza</t>
  </si>
  <si>
    <t>091.650.075-65</t>
  </si>
  <si>
    <t>737742476-2</t>
  </si>
  <si>
    <t>Joselito Lima de Souza</t>
  </si>
  <si>
    <t>3516-5</t>
  </si>
  <si>
    <t>0062207-9</t>
  </si>
  <si>
    <t>Vanuza Martins Pereira</t>
  </si>
  <si>
    <t>851819096-5</t>
  </si>
  <si>
    <t>Maria das Graças Pereira Moreira</t>
  </si>
  <si>
    <t>00017775-1</t>
  </si>
  <si>
    <t>Adailton Barbosa dos Santos</t>
  </si>
  <si>
    <t>00073797-6</t>
  </si>
  <si>
    <t>Carlinho Pereira dos Santos</t>
  </si>
  <si>
    <t>00000932-7</t>
  </si>
  <si>
    <t>Regilandia Pereira dos Santos</t>
  </si>
  <si>
    <t>00024416-4</t>
  </si>
  <si>
    <t>Roseli Lima de Oliveira</t>
  </si>
  <si>
    <t>00012811-0</t>
  </si>
  <si>
    <t>Adriana Alcanja Santos</t>
  </si>
  <si>
    <t>00011059-9</t>
  </si>
  <si>
    <t>Romário Nascimento dos Santos</t>
  </si>
  <si>
    <t>00005082-0</t>
  </si>
  <si>
    <t>Adriana Carlos da Silva</t>
  </si>
  <si>
    <t>000851819062-0</t>
  </si>
  <si>
    <t>Maria José Alves de Souza</t>
  </si>
  <si>
    <t>00008629-1</t>
  </si>
  <si>
    <t>Albino Joaquim da Silva</t>
  </si>
  <si>
    <t>0520834-3</t>
  </si>
  <si>
    <t>Raimundo R Oliveira</t>
  </si>
  <si>
    <t>00010490-4</t>
  </si>
  <si>
    <t>Graciene Maria Gabriel</t>
  </si>
  <si>
    <t>011.513.665-79</t>
  </si>
  <si>
    <t>687625-0</t>
  </si>
  <si>
    <t>Mirian Jorge dos Santos</t>
  </si>
  <si>
    <t>11.297-6</t>
  </si>
  <si>
    <t>Gilmacio Santos Oliveira</t>
  </si>
  <si>
    <t>14.282-4</t>
  </si>
  <si>
    <t>Roberto A Fernandes</t>
  </si>
  <si>
    <t>00017454-6</t>
  </si>
  <si>
    <t>Zenaide Souza</t>
  </si>
  <si>
    <t>00007229-9</t>
  </si>
  <si>
    <t>Leda Marcia Rosa Santos</t>
  </si>
  <si>
    <t>00000538-4</t>
  </si>
  <si>
    <t>Valter Pereira Alves</t>
  </si>
  <si>
    <t>00007732-8</t>
  </si>
  <si>
    <t>Sebastião Almeida da Cruz</t>
  </si>
  <si>
    <t>00005832-7</t>
  </si>
  <si>
    <t>Ana Rita Santos de Souza</t>
  </si>
  <si>
    <t>00011013-3</t>
  </si>
  <si>
    <t>Luana Conceição Santos</t>
  </si>
  <si>
    <t>00022914-1</t>
  </si>
  <si>
    <t>Aldenir Marques de Souza</t>
  </si>
  <si>
    <t>00009870-0</t>
  </si>
  <si>
    <t>Neilton de Oliveira Mendes</t>
  </si>
  <si>
    <t>00016622-5</t>
  </si>
  <si>
    <t>00000302-4</t>
  </si>
  <si>
    <t>Nilza Bispo Ferreira</t>
  </si>
  <si>
    <t>1000291-5</t>
  </si>
  <si>
    <t>Alcilene Jesus da Silva</t>
  </si>
  <si>
    <t>00002573-7</t>
  </si>
  <si>
    <t>Mariazinha de Jesus Silva</t>
  </si>
  <si>
    <t>Maria José Alves da Silva</t>
  </si>
  <si>
    <t>00076845-0</t>
  </si>
  <si>
    <t>Adenilson Amaral</t>
  </si>
  <si>
    <t>00003769-7</t>
  </si>
  <si>
    <t>Girleide Jesus da Silva</t>
  </si>
  <si>
    <t>00007269-0</t>
  </si>
  <si>
    <t>Edvan Brito Santos</t>
  </si>
  <si>
    <t>00011834-8</t>
  </si>
  <si>
    <t>Agda M de Souza Cruz</t>
  </si>
  <si>
    <t>Marlene Rosa de Jesus</t>
  </si>
  <si>
    <t>0520371-6</t>
  </si>
  <si>
    <t>Maria Nilma S Oliveira</t>
  </si>
  <si>
    <t>00009496-0</t>
  </si>
  <si>
    <t>Lisete Araújos dos Santos</t>
  </si>
  <si>
    <t>00012071-9</t>
  </si>
  <si>
    <t>Francineide Sabino da Silva</t>
  </si>
  <si>
    <t>00019870-1</t>
  </si>
  <si>
    <t>Lucidalva S Gonçaves</t>
  </si>
  <si>
    <t>00005000-1</t>
  </si>
  <si>
    <t>Sandoval Francisco de Souza</t>
  </si>
  <si>
    <t>00014546-5</t>
  </si>
  <si>
    <t>Damare Santana Passos</t>
  </si>
  <si>
    <t>00008695-7</t>
  </si>
  <si>
    <t>Noelma Araújo dos Santos</t>
  </si>
  <si>
    <t>00067520-6</t>
  </si>
  <si>
    <t>Zilnei Fernandes da Silva</t>
  </si>
  <si>
    <t>00007932-2</t>
  </si>
  <si>
    <t>Floraci Maria Fidelis</t>
  </si>
  <si>
    <t>00030636-4</t>
  </si>
  <si>
    <t>Gersivan Santos Gonçalves</t>
  </si>
  <si>
    <t>00010471-8</t>
  </si>
  <si>
    <t>Ivanilde Barbosa Viana</t>
  </si>
  <si>
    <t>1000414-4</t>
  </si>
  <si>
    <t>Cassio Jesus Silva</t>
  </si>
  <si>
    <t>00007127-7</t>
  </si>
  <si>
    <t>Eciene Pereira da Silva</t>
  </si>
  <si>
    <t>0064300-9</t>
  </si>
  <si>
    <t>Ronaldo Souza da Cruz</t>
  </si>
  <si>
    <t>0001619-5</t>
  </si>
  <si>
    <t>Maria Paula de Jesus Matos</t>
  </si>
  <si>
    <t>1000156-0</t>
  </si>
  <si>
    <t>Lucas Fernandes B Santos</t>
  </si>
  <si>
    <t>00012756-4</t>
  </si>
  <si>
    <t>Leandro Souza dos Santos</t>
  </si>
  <si>
    <t>00011956-1</t>
  </si>
  <si>
    <t>Alex Silva dos Santos</t>
  </si>
  <si>
    <t>00009132-2</t>
  </si>
  <si>
    <t>Nilzete de Jesus Santos</t>
  </si>
  <si>
    <t>00015735-8</t>
  </si>
  <si>
    <t>Maria de Fátima Teles de Oliveira</t>
  </si>
  <si>
    <t>015.426.095-93</t>
  </si>
  <si>
    <t>0002131-8</t>
  </si>
  <si>
    <t>Elvismaria Santos dos Anjos</t>
  </si>
  <si>
    <t>871262371-5</t>
  </si>
  <si>
    <t>Evanessa Santos Oliveira</t>
  </si>
  <si>
    <t>00012988-5</t>
  </si>
  <si>
    <t>Lucimar Rosa do Nascimento</t>
  </si>
  <si>
    <t>1464-8</t>
  </si>
  <si>
    <t>1022138-2</t>
  </si>
  <si>
    <t>Ilza Matos S Santos</t>
  </si>
  <si>
    <t>9.846-0</t>
  </si>
  <si>
    <t>Lucineide da Silva Veleiro</t>
  </si>
  <si>
    <t>0002128-8</t>
  </si>
  <si>
    <t>Realdo Santos Oliveira</t>
  </si>
  <si>
    <t>00005228-9</t>
  </si>
  <si>
    <t>Morgana Dias de Araújo</t>
  </si>
  <si>
    <t>00009239-6</t>
  </si>
  <si>
    <t>Quitéria Jesus da Silva</t>
  </si>
  <si>
    <t>00008908-8</t>
  </si>
  <si>
    <t>Sirlandia Alves dos Santos</t>
  </si>
  <si>
    <t>00017672-1</t>
  </si>
  <si>
    <t>Eulalia Oliveira Costa</t>
  </si>
  <si>
    <t>00010598-6</t>
  </si>
  <si>
    <t>Flaudemir F Fonseca</t>
  </si>
  <si>
    <t>00084157-5</t>
  </si>
  <si>
    <t>João Marcos M Alcantara</t>
  </si>
  <si>
    <t>00119374-0</t>
  </si>
  <si>
    <t>Deleon de Jesus Souza</t>
  </si>
  <si>
    <t>0001459-1</t>
  </si>
  <si>
    <t>Jorge Ferreira Lopes</t>
  </si>
  <si>
    <t>00006028-7</t>
  </si>
  <si>
    <t>Gracinelia Rosa de Oliveira</t>
  </si>
  <si>
    <t>12.758-2</t>
  </si>
  <si>
    <t>Elissandro Lopes de Souza</t>
  </si>
  <si>
    <t>00055191-9</t>
  </si>
  <si>
    <t>Gilverson Costa de Souza</t>
  </si>
  <si>
    <t>00016886-4</t>
  </si>
  <si>
    <t>Maria Augusta Sales dos Santos</t>
  </si>
  <si>
    <t>0002415-5</t>
  </si>
  <si>
    <t>Márcio Santana dos Santos</t>
  </si>
  <si>
    <t>00003890-1</t>
  </si>
  <si>
    <t>Lidiane Jesus da Cruz</t>
  </si>
  <si>
    <t>00012991-0</t>
  </si>
  <si>
    <t>Marinalva de Oliveira</t>
  </si>
  <si>
    <t>Carlos Cruz Almeida</t>
  </si>
  <si>
    <t>00021240-9</t>
  </si>
  <si>
    <t>Darleide Santana de Aandrade</t>
  </si>
  <si>
    <t>1002383-1</t>
  </si>
  <si>
    <t>Vailson Magno dos Anjos</t>
  </si>
  <si>
    <t>0613246-4</t>
  </si>
  <si>
    <t>Carlos Santana da Silva</t>
  </si>
  <si>
    <t>00018078-3</t>
  </si>
  <si>
    <t>Gerivan G. Ferreira</t>
  </si>
  <si>
    <t>00007532-9</t>
  </si>
  <si>
    <t>Juciara Oliveira Vieira</t>
  </si>
  <si>
    <t>00037856-0</t>
  </si>
  <si>
    <t>Ana Lucia Santana Souza</t>
  </si>
  <si>
    <t>00023188-5</t>
  </si>
  <si>
    <t>Marcos Cesar Araújo</t>
  </si>
  <si>
    <t>Edimar Araújo da Silva</t>
  </si>
  <si>
    <t>00038071-9</t>
  </si>
  <si>
    <t>Cosme Miranda de Andrade</t>
  </si>
  <si>
    <t>00029519-0</t>
  </si>
  <si>
    <t>Luis Inácio Souza Santos</t>
  </si>
  <si>
    <t>00008271-6</t>
  </si>
  <si>
    <t>Claudinei Baraúna Souza</t>
  </si>
  <si>
    <t>00063967-5</t>
  </si>
  <si>
    <t>Maria Edileusa O Souza</t>
  </si>
  <si>
    <t>00003221-0</t>
  </si>
  <si>
    <t>Tereza Sena dos Santos</t>
  </si>
  <si>
    <t>00024713-9</t>
  </si>
  <si>
    <t>Zilda de Souza Dias</t>
  </si>
  <si>
    <t>798925888-0</t>
  </si>
  <si>
    <t>Patrícia Barauna Oliveira</t>
  </si>
  <si>
    <t>00015213-5</t>
  </si>
  <si>
    <t>Raquel Oliveira Santos</t>
  </si>
  <si>
    <t>043.471.485-26</t>
  </si>
  <si>
    <t>00012208-5</t>
  </si>
  <si>
    <t>Ednalva Soares de Lima</t>
  </si>
  <si>
    <t>00012401-8</t>
  </si>
  <si>
    <t>Gesiana de Oliveira Souza</t>
  </si>
  <si>
    <t>00012319-7</t>
  </si>
  <si>
    <t>Janete de Souza</t>
  </si>
  <si>
    <t>009.545.035-11</t>
  </si>
  <si>
    <t>588355-5</t>
  </si>
  <si>
    <t>Paula dos Reis Silva</t>
  </si>
  <si>
    <t>00011960-0</t>
  </si>
  <si>
    <t>Marivania Teles de Oliveira</t>
  </si>
  <si>
    <t>00011412-0</t>
  </si>
  <si>
    <t xml:space="preserve">Aristides F Sena </t>
  </si>
  <si>
    <t>5.673-1</t>
  </si>
  <si>
    <t>Ademilson Maria Oliveira</t>
  </si>
  <si>
    <t>22.791-9</t>
  </si>
  <si>
    <t>Edna Rosa da Fonseca</t>
  </si>
  <si>
    <t>00017306-0</t>
  </si>
  <si>
    <t>Rosimeire Oliveira Jesus</t>
  </si>
  <si>
    <t>00015732-4</t>
  </si>
  <si>
    <t>Ana Gleide Rosa Sateles</t>
  </si>
  <si>
    <t>00004236-4</t>
  </si>
  <si>
    <t>Lindinalva J Fernandes</t>
  </si>
  <si>
    <t>00002047-6</t>
  </si>
  <si>
    <t>Glecione de Novais Anjos</t>
  </si>
  <si>
    <t>00011188-9</t>
  </si>
  <si>
    <t>José Romilton M da Silva</t>
  </si>
  <si>
    <t>00016872-4</t>
  </si>
  <si>
    <t>Sorlete Rodrigues Almeida</t>
  </si>
  <si>
    <t>00011696-4</t>
  </si>
  <si>
    <t>Marizete Francisco de Oliveira</t>
  </si>
  <si>
    <t>1880-5</t>
  </si>
  <si>
    <t>1007096-1</t>
  </si>
  <si>
    <t>Ronaldo Souza Santos</t>
  </si>
  <si>
    <t>071.910.425-40</t>
  </si>
  <si>
    <t>00005551-2</t>
  </si>
  <si>
    <t>Lindaci Santana Lopes</t>
  </si>
  <si>
    <t>00015151-1</t>
  </si>
  <si>
    <t>Lidiane Teles Miranda</t>
  </si>
  <si>
    <t>00011409-0</t>
  </si>
  <si>
    <t>Geiciane Mendes da Silva</t>
  </si>
  <si>
    <t>00010218-4</t>
  </si>
  <si>
    <t>Zenaide de Jesus Santos</t>
  </si>
  <si>
    <t>00011884-0</t>
  </si>
  <si>
    <t>Marivalda Souza Corte</t>
  </si>
  <si>
    <t>00011140-7</t>
  </si>
  <si>
    <t>Eva Maria de Souza</t>
  </si>
  <si>
    <t>00012191-7</t>
  </si>
  <si>
    <t>José Luiz Pereira Santos</t>
  </si>
  <si>
    <t>Maria Aparecida S Nascimento</t>
  </si>
  <si>
    <t>00036167-1</t>
  </si>
  <si>
    <t>Emerson Alves da Silva</t>
  </si>
  <si>
    <t>Antônio Rosa dos Santos</t>
  </si>
  <si>
    <t>00027073-2</t>
  </si>
  <si>
    <t>Josivan Santos Ferreira</t>
  </si>
  <si>
    <t>00008423-7</t>
  </si>
  <si>
    <t>Gessi Maria de Jesus</t>
  </si>
  <si>
    <t>00027646-5</t>
  </si>
  <si>
    <t>Lucas Miranda Pereira</t>
  </si>
  <si>
    <t>00012643-6</t>
  </si>
  <si>
    <t>Ivan de Jesus Santos</t>
  </si>
  <si>
    <t>00124148-8</t>
  </si>
  <si>
    <t>Renilda Pereira Lima</t>
  </si>
  <si>
    <t>00018963-9</t>
  </si>
  <si>
    <t>Antônio dos Anjos Souza</t>
  </si>
  <si>
    <t>069.890.065-01</t>
  </si>
  <si>
    <t>0000746-3</t>
  </si>
  <si>
    <t>Ailton Bispo de Souza</t>
  </si>
  <si>
    <t>00009445-3</t>
  </si>
  <si>
    <t>Irineu Marcal de Oliveira</t>
  </si>
  <si>
    <t>Ana Maria dos Santos</t>
  </si>
  <si>
    <t>00031990-6</t>
  </si>
  <si>
    <t>Edileuza Rosa de Souza</t>
  </si>
  <si>
    <t>00009022-9</t>
  </si>
  <si>
    <t>Eliana Ribeiro Boaventura</t>
  </si>
  <si>
    <t>028.810.375-00</t>
  </si>
  <si>
    <t>113250-4</t>
  </si>
  <si>
    <t>Ailton da Cruz Lima</t>
  </si>
  <si>
    <t>039.122.025-08</t>
  </si>
  <si>
    <t>00001328-3</t>
  </si>
  <si>
    <t>Maria Silva S Oliveira</t>
  </si>
  <si>
    <t>00010444-3</t>
  </si>
  <si>
    <t>Rosivan Pereira Santos</t>
  </si>
  <si>
    <t>00003571-6</t>
  </si>
  <si>
    <t>Lourisvaldo Brito Silva</t>
  </si>
  <si>
    <t>00005919-6</t>
  </si>
  <si>
    <t>Valderico J da Silva</t>
  </si>
  <si>
    <t>8.376-3</t>
  </si>
  <si>
    <t>Robenilton Paixão Nago</t>
  </si>
  <si>
    <t>00059835-4</t>
  </si>
  <si>
    <t>Eloísio Cruz da Silva</t>
  </si>
  <si>
    <t>00010689-5</t>
  </si>
  <si>
    <t>00028643-7</t>
  </si>
  <si>
    <t>Vera Lúcia F Silva</t>
  </si>
  <si>
    <t>00007422-3</t>
  </si>
  <si>
    <t>Rosemeire Paraguai Pereira</t>
  </si>
  <si>
    <t>00036378-0</t>
  </si>
  <si>
    <t>Joseane de Jesus Moreira</t>
  </si>
  <si>
    <t>00009916-7</t>
  </si>
  <si>
    <t>Eliana Lima Nascimento</t>
  </si>
  <si>
    <t>00019611-0</t>
  </si>
  <si>
    <t>Carlos Candido Profeta</t>
  </si>
  <si>
    <t>00014917-7</t>
  </si>
  <si>
    <t>Ronivaldo Sousa Santos</t>
  </si>
  <si>
    <t>00009036-9</t>
  </si>
  <si>
    <t>Mauricio F Silva</t>
  </si>
  <si>
    <t>16.455-0</t>
  </si>
  <si>
    <t>Robertania Mª de Queiróz</t>
  </si>
  <si>
    <t>00014749-2</t>
  </si>
  <si>
    <t>Romário Cruz Carvalho</t>
  </si>
  <si>
    <t>00005394-3</t>
  </si>
  <si>
    <t>Robério P Santos</t>
  </si>
  <si>
    <t>16.867-X</t>
  </si>
  <si>
    <t>Gilzene A Borges</t>
  </si>
  <si>
    <t>00016673-0</t>
  </si>
  <si>
    <t>Ailson Oliveira dos Santos</t>
  </si>
  <si>
    <t>00012369-0</t>
  </si>
  <si>
    <t>Ilzaene F Souza</t>
  </si>
  <si>
    <t>00027657-0</t>
  </si>
  <si>
    <t>00006992-6</t>
  </si>
  <si>
    <t>Florisvaldo R. da Silva</t>
  </si>
  <si>
    <t>00004839-7</t>
  </si>
  <si>
    <t>João Batista C de Jesus</t>
  </si>
  <si>
    <t>Ivanilson de Sousa Pinto</t>
  </si>
  <si>
    <t>00009553-0</t>
  </si>
  <si>
    <t>Janete da Silva Gonçalves</t>
  </si>
  <si>
    <t>019.496.005-64</t>
  </si>
  <si>
    <t>000837229866-0</t>
  </si>
  <si>
    <t>Ademilton Oliveira Santos</t>
  </si>
  <si>
    <t>00001793-2</t>
  </si>
  <si>
    <t>Denize Baraúna de Souza</t>
  </si>
  <si>
    <t>00000610-6</t>
  </si>
  <si>
    <t>Gelson Pereira dos Santos</t>
  </si>
  <si>
    <t>00001737-1</t>
  </si>
  <si>
    <t>Francisco Fracion M SI</t>
  </si>
  <si>
    <t>00000470-7</t>
  </si>
  <si>
    <t>Gerônimo Alves de Jesus</t>
  </si>
  <si>
    <t>00000431-6</t>
  </si>
  <si>
    <t>João Batista da Silva</t>
  </si>
  <si>
    <t>00027483-7</t>
  </si>
  <si>
    <t>Mirian de Souza Barbosa</t>
  </si>
  <si>
    <t>00010485-8</t>
  </si>
  <si>
    <t>Roziane Conceição de Mendes</t>
  </si>
  <si>
    <t>00006391-4</t>
  </si>
  <si>
    <t>Vigínia Silva S Pereira</t>
  </si>
  <si>
    <t>00006087-7</t>
  </si>
  <si>
    <t>Alex Sandro Rosa de Souza</t>
  </si>
  <si>
    <t>00004040-0</t>
  </si>
  <si>
    <t>Nair Oliveira dos Santos</t>
  </si>
  <si>
    <t>00007432-0</t>
  </si>
  <si>
    <t>Márcio Antônio Hora Cavalcante</t>
  </si>
  <si>
    <t>385.278.125.68</t>
  </si>
  <si>
    <t>9.983-x</t>
  </si>
  <si>
    <t>Aenio Gonzaga de Oliveira</t>
  </si>
  <si>
    <t>833542725-7</t>
  </si>
  <si>
    <t>Rozeli dos Anjos Rocha</t>
  </si>
  <si>
    <t>00011524-8</t>
  </si>
  <si>
    <t>Graciene Araújo Silva</t>
  </si>
  <si>
    <t>00007275-1</t>
  </si>
  <si>
    <t>Carlos Cardoso dos Santos</t>
  </si>
  <si>
    <t>00002854-1</t>
  </si>
  <si>
    <t>Ivonete de Arruda Santos</t>
  </si>
  <si>
    <t>00020438-1</t>
  </si>
  <si>
    <t>Direne Rodrigues de Oliveira</t>
  </si>
  <si>
    <t>00012780-7</t>
  </si>
  <si>
    <t>Maria Evangelista Bahia dos Santos</t>
  </si>
  <si>
    <t>1000029-7</t>
  </si>
  <si>
    <t>Bernadete Rodrigues Oliveira</t>
  </si>
  <si>
    <t>00011859-0</t>
  </si>
  <si>
    <t>Roziane Teles de Oliveira</t>
  </si>
  <si>
    <t>00012978-8</t>
  </si>
  <si>
    <t>Aline Santos Cruz</t>
  </si>
  <si>
    <t>00008616-7</t>
  </si>
  <si>
    <t>Odacir Ribeiro</t>
  </si>
  <si>
    <t>00005733-7</t>
  </si>
  <si>
    <t>Wilton Guimarães de Lima</t>
  </si>
  <si>
    <t>00009958-7</t>
  </si>
  <si>
    <t>Edivan Baraúna de Oliveira</t>
  </si>
  <si>
    <t>00003360-4</t>
  </si>
  <si>
    <t>Adenildo Alves de Oliveira</t>
  </si>
  <si>
    <t>00018740-0</t>
  </si>
  <si>
    <t>Alvanice Lima Lopes</t>
  </si>
  <si>
    <t>00009193-4</t>
  </si>
  <si>
    <t>Maria Aparecida Paixão</t>
  </si>
  <si>
    <t>00011658-0</t>
  </si>
  <si>
    <t>Leandro Jesus de Souza</t>
  </si>
  <si>
    <t>00004682-3</t>
  </si>
  <si>
    <t>André Jesus de Souza</t>
  </si>
  <si>
    <t>00026991-8</t>
  </si>
  <si>
    <t>Joceir Pereira de Souza</t>
  </si>
  <si>
    <t>0000850-8</t>
  </si>
  <si>
    <t>Lucas Souza dos Anjos</t>
  </si>
  <si>
    <t>00009027-0</t>
  </si>
  <si>
    <t>Cristina da Silva Dourado</t>
  </si>
  <si>
    <t>00008477-6</t>
  </si>
  <si>
    <t>André S. Fernandes</t>
  </si>
  <si>
    <t>12.844-9</t>
  </si>
  <si>
    <t>Petrucia R Oliveira</t>
  </si>
  <si>
    <t>804939037-1</t>
  </si>
  <si>
    <t>Renilton da Silva Lopes</t>
  </si>
  <si>
    <t>00015644-0</t>
  </si>
  <si>
    <t>Joelma Maria de Jesus</t>
  </si>
  <si>
    <t>Zenilde Pereira da Cruz</t>
  </si>
  <si>
    <t>00016309-9</t>
  </si>
  <si>
    <t>Tatiane Jesus de Souza</t>
  </si>
  <si>
    <t>00008513-6</t>
  </si>
  <si>
    <t>Edileuza Rosa da Silva</t>
  </si>
  <si>
    <t>00071635-2</t>
  </si>
  <si>
    <t>Valdionor Caetano de Souza</t>
  </si>
  <si>
    <t>00009893-4</t>
  </si>
  <si>
    <t>00012280-5</t>
  </si>
  <si>
    <t>Leonardo Jesus Souza</t>
  </si>
  <si>
    <t>Adilton Souza dos Santos</t>
  </si>
  <si>
    <t>00005148-7</t>
  </si>
  <si>
    <t>João Paulo S de Souza</t>
  </si>
  <si>
    <t>00006453-8</t>
  </si>
  <si>
    <t>Luciede Rosa Baraúna</t>
  </si>
  <si>
    <t>00002265-7</t>
  </si>
  <si>
    <t>Vilma Marcia Sá T de Oliveira</t>
  </si>
  <si>
    <t>004.964.815-25</t>
  </si>
  <si>
    <t>0061268-5</t>
  </si>
  <si>
    <t>Abenilton M de Oliveira</t>
  </si>
  <si>
    <t>00003375-2</t>
  </si>
  <si>
    <t>Anita de Souza Santana</t>
  </si>
  <si>
    <t>00012073-5</t>
  </si>
  <si>
    <t>Marcionaria A de Oliveira</t>
  </si>
  <si>
    <t>00005426-5</t>
  </si>
  <si>
    <t>Marcos Antonio Ribeiro</t>
  </si>
  <si>
    <t>00018541-6</t>
  </si>
  <si>
    <t>José Rosa Pereira</t>
  </si>
  <si>
    <t>014.375.055-03</t>
  </si>
  <si>
    <t>000871264393-7</t>
  </si>
  <si>
    <t>Avani Jesus de Souza</t>
  </si>
  <si>
    <t>00000318-0</t>
  </si>
  <si>
    <t>Zilma Pio Barbosa de Jesus</t>
  </si>
  <si>
    <t>002.869.785-55</t>
  </si>
  <si>
    <t>00015339-8</t>
  </si>
  <si>
    <t>Maria Madalena L Santos</t>
  </si>
  <si>
    <t>Ana Lucia das Neves</t>
  </si>
  <si>
    <t>19.273-2</t>
  </si>
  <si>
    <t>Valdir Ferreira Pinto</t>
  </si>
  <si>
    <t>00025483-3</t>
  </si>
  <si>
    <t>Rogério Enrique de Souza</t>
  </si>
  <si>
    <t>00015565-7</t>
  </si>
  <si>
    <t>Edileuza Teles Maciel</t>
  </si>
  <si>
    <t>00004762-5</t>
  </si>
  <si>
    <t>Rosimere Souza da Silva</t>
  </si>
  <si>
    <t>00011167-6</t>
  </si>
  <si>
    <t>Gilsinei Barbosa de Souza</t>
  </si>
  <si>
    <t>00015801-0</t>
  </si>
  <si>
    <t>Roque Rodrigues Dias</t>
  </si>
  <si>
    <t>00007016-3</t>
  </si>
  <si>
    <t>Valdenete Miranda Souza</t>
  </si>
  <si>
    <t>00003863-4</t>
  </si>
  <si>
    <t>Maria Cleide Santana Silva</t>
  </si>
  <si>
    <t>00016698-5</t>
  </si>
  <si>
    <t>Marlei Alves de Souza</t>
  </si>
  <si>
    <t>00002701-2</t>
  </si>
  <si>
    <t>Gideon Cesar dos Santos</t>
  </si>
  <si>
    <t>00018248-0</t>
  </si>
  <si>
    <t>Eldinei da Silva Oliveira</t>
  </si>
  <si>
    <t>00012893-5</t>
  </si>
  <si>
    <t>Alcides Rocha da Silva</t>
  </si>
  <si>
    <t>00018417-7</t>
  </si>
  <si>
    <t>Gesilda Vieira da Silva</t>
  </si>
  <si>
    <t>00009964-4</t>
  </si>
  <si>
    <t>Francinalda C Souza</t>
  </si>
  <si>
    <t>00026837-6</t>
  </si>
  <si>
    <t>Ildecir Jesus de Oliveira</t>
  </si>
  <si>
    <t>00008632-9</t>
  </si>
  <si>
    <t>Cleuson Barauna de Souza</t>
  </si>
  <si>
    <t>00018601-3</t>
  </si>
  <si>
    <t>José Baraúna Bispo</t>
  </si>
  <si>
    <t>00015942-3</t>
  </si>
  <si>
    <t>Ivaneuza de S Baraúna</t>
  </si>
  <si>
    <t>00020238-0</t>
  </si>
  <si>
    <t>Mª Selma de Jesus Araújo</t>
  </si>
  <si>
    <t>00023801-0</t>
  </si>
  <si>
    <t>Patrícia da Silva Souza</t>
  </si>
  <si>
    <t>00016550-4</t>
  </si>
  <si>
    <t>Silvana Brito de Souza</t>
  </si>
  <si>
    <t>00015369-0</t>
  </si>
  <si>
    <t>Eufrásio Bispo de Souza</t>
  </si>
  <si>
    <t>00015999-7</t>
  </si>
  <si>
    <t>Edifátima A da Cruz</t>
  </si>
  <si>
    <t>00008010-2</t>
  </si>
  <si>
    <t>Wellington N Souza</t>
  </si>
  <si>
    <t>00006369-8</t>
  </si>
  <si>
    <t>Cosme Moura Passos</t>
  </si>
  <si>
    <t>030.017.115-31</t>
  </si>
  <si>
    <t>000874367823-6</t>
  </si>
  <si>
    <t>Fabiana Nascimento Andrade</t>
  </si>
  <si>
    <t>00011902-2</t>
  </si>
  <si>
    <t>Jaciel Jesus de Oliveira</t>
  </si>
  <si>
    <t>00013043-3</t>
  </si>
  <si>
    <t>Marleide Maria D Santos</t>
  </si>
  <si>
    <t>00009266-3</t>
  </si>
  <si>
    <t>Cleide Silva Santos</t>
  </si>
  <si>
    <t>00007263-0</t>
  </si>
  <si>
    <t>Paulo de Jesus Nunes</t>
  </si>
  <si>
    <t>8.369-0</t>
  </si>
  <si>
    <t>Maria Aparecida S P Silva</t>
  </si>
  <si>
    <t>18.070-X</t>
  </si>
  <si>
    <t>Valdenor Pereira dos Santos</t>
  </si>
  <si>
    <t>00022546-9</t>
  </si>
  <si>
    <t>Diogenes de Souza Sales</t>
  </si>
  <si>
    <t>00008526-8</t>
  </si>
  <si>
    <t>Jean Silva Santos</t>
  </si>
  <si>
    <t>00003427-2</t>
  </si>
  <si>
    <t>Alexandra Fonseca Cedro</t>
  </si>
  <si>
    <t>081.813.355-46</t>
  </si>
  <si>
    <t>0002620-4</t>
  </si>
  <si>
    <t>Irene Rodrigues Oliveira</t>
  </si>
  <si>
    <t>00012239-5</t>
  </si>
  <si>
    <t>Luana Jesus Santana</t>
  </si>
  <si>
    <t>00006725-1</t>
  </si>
  <si>
    <t>013.319.175-30</t>
  </si>
  <si>
    <t>000832625017-0</t>
  </si>
  <si>
    <t>Maria Anunciação P Santos</t>
  </si>
  <si>
    <t>00012609-6</t>
  </si>
  <si>
    <t>Eufrásio A dos Santos</t>
  </si>
  <si>
    <t>00007580-9</t>
  </si>
  <si>
    <t>Luis Cedro de Sena</t>
  </si>
  <si>
    <t>00003820-6</t>
  </si>
  <si>
    <t>Cleusa Rodrigues da Silva</t>
  </si>
  <si>
    <t>00009176-0</t>
  </si>
  <si>
    <t>Ivanelia E Souza</t>
  </si>
  <si>
    <t>0000775-7</t>
  </si>
  <si>
    <t>Joseilton B Oliveira</t>
  </si>
  <si>
    <t>00010069-0</t>
  </si>
  <si>
    <t>José Wilton Marques da Silva</t>
  </si>
  <si>
    <t>0575642-1</t>
  </si>
  <si>
    <t>Reverson Haine C Costa</t>
  </si>
  <si>
    <t>00021848-2</t>
  </si>
  <si>
    <t>Joselito Ferreira da Silva</t>
  </si>
  <si>
    <t>00022328-0</t>
  </si>
  <si>
    <t>Silvana Pires dos Santos</t>
  </si>
  <si>
    <t>061.023.675-02</t>
  </si>
  <si>
    <t>15.111-4</t>
  </si>
  <si>
    <t>Catiene de Souza</t>
  </si>
  <si>
    <t>00004982-2</t>
  </si>
  <si>
    <t>Maurício Alves de Araújo</t>
  </si>
  <si>
    <t>00003383-0</t>
  </si>
  <si>
    <t>Lucas José Alves</t>
  </si>
  <si>
    <t>00019047-9</t>
  </si>
  <si>
    <t>Vilmário Alves Queiróz</t>
  </si>
  <si>
    <t>00009407-0</t>
  </si>
  <si>
    <t>Marcelo Alves Queiróz</t>
  </si>
  <si>
    <t>00012259-7</t>
  </si>
  <si>
    <t>Neilton Dourado de Oliveira</t>
  </si>
  <si>
    <t>00009151-9</t>
  </si>
  <si>
    <t>Tailan Bispo Baraúna</t>
  </si>
  <si>
    <t>00005790-0</t>
  </si>
  <si>
    <t>Reinacir Dourado da Cruz</t>
  </si>
  <si>
    <t>00018339-1</t>
  </si>
  <si>
    <t>José dos Santos</t>
  </si>
  <si>
    <t>8.666-5</t>
  </si>
  <si>
    <t>Inácio Pereira de A Neto</t>
  </si>
  <si>
    <t>00002393-2</t>
  </si>
  <si>
    <t>Ronivan Maria de Queiróz</t>
  </si>
  <si>
    <t>00021996-8</t>
  </si>
  <si>
    <t>Mirian dos Reis Souza</t>
  </si>
  <si>
    <t>00011411-0</t>
  </si>
  <si>
    <t>Lucieide Rosa Barauna</t>
  </si>
  <si>
    <t>Deilton Pereira de Jesus</t>
  </si>
  <si>
    <t>00013684-3</t>
  </si>
  <si>
    <t>Ednei Jesus dos Santos</t>
  </si>
  <si>
    <t>00005140-1</t>
  </si>
  <si>
    <t>Josivan Teles de Oliveira</t>
  </si>
  <si>
    <t>0000658-0</t>
  </si>
  <si>
    <t>Claudinei Fidelis da Anunciação</t>
  </si>
  <si>
    <t>00012681-9</t>
  </si>
  <si>
    <t>Laise Ferreira Bispo</t>
  </si>
  <si>
    <t>860.655.965-23</t>
  </si>
  <si>
    <t>000854853044-6</t>
  </si>
  <si>
    <t>Doralina Barbosa de Souza</t>
  </si>
  <si>
    <t>00015275-8</t>
  </si>
  <si>
    <t>Jocirlei Barros de Brito</t>
  </si>
  <si>
    <t>00010922-1</t>
  </si>
  <si>
    <t>Vagna Batista de Oliveira</t>
  </si>
  <si>
    <t>1000105-6</t>
  </si>
  <si>
    <t>Carlion de Jesus Santos</t>
  </si>
  <si>
    <t>00018763-6</t>
  </si>
  <si>
    <t>Josevaldo da Silva Souza</t>
  </si>
  <si>
    <t>035.350.385.10</t>
  </si>
  <si>
    <t>000803737669-7</t>
  </si>
  <si>
    <t>Dinaize de Jesus Silva</t>
  </si>
  <si>
    <t>00018423-1</t>
  </si>
  <si>
    <t>Marina Amaral dos Santos</t>
  </si>
  <si>
    <t>000854053154-0</t>
  </si>
  <si>
    <t>Fabiane de Jesus Sampaio</t>
  </si>
  <si>
    <t>00011623-6</t>
  </si>
  <si>
    <t>Ivanise Reis Pinto</t>
  </si>
  <si>
    <t>00006860-6</t>
  </si>
  <si>
    <t>Odailton de Jesus Bispo</t>
  </si>
  <si>
    <t>00004997-0</t>
  </si>
  <si>
    <t>Maria da Silva Dourado</t>
  </si>
  <si>
    <t>00008540-3</t>
  </si>
  <si>
    <t>Maria Borges dos Santos</t>
  </si>
  <si>
    <t>00059012-0</t>
  </si>
  <si>
    <t>Rozemália Souza da Silva</t>
  </si>
  <si>
    <t>035.860.665-97</t>
  </si>
  <si>
    <t>000871262341-3</t>
  </si>
  <si>
    <t>Antônio Marques da Costa</t>
  </si>
  <si>
    <t>00008640-0</t>
  </si>
  <si>
    <t>Eliene Josefa Oliveira</t>
  </si>
  <si>
    <t>00014691-5</t>
  </si>
  <si>
    <t>Marcio Oliveira de Jesus</t>
  </si>
  <si>
    <t>00005905-8</t>
  </si>
  <si>
    <t>Eliete Cesar dos Santos</t>
  </si>
  <si>
    <t>00023292-0</t>
  </si>
  <si>
    <t>Elizabeth Nogueira Silva</t>
  </si>
  <si>
    <t>00033884-3</t>
  </si>
  <si>
    <t>Vitória Santana dos Reis</t>
  </si>
  <si>
    <t>793720389-8</t>
  </si>
  <si>
    <t>Jeane Ferreira Bispo</t>
  </si>
  <si>
    <t>00012574-9</t>
  </si>
  <si>
    <t>Saraí Barbosa da Silva</t>
  </si>
  <si>
    <t>00009641-3</t>
  </si>
  <si>
    <t>Edinália Nascimento de Araújo</t>
  </si>
  <si>
    <t>00019566-0</t>
  </si>
  <si>
    <t>Edileuza Sena Pindobeiro</t>
  </si>
  <si>
    <t>00015121-0</t>
  </si>
  <si>
    <t>Marinalva de Jesus</t>
  </si>
  <si>
    <t>837153685-0</t>
  </si>
  <si>
    <t>Renato Haine Campos</t>
  </si>
  <si>
    <t>00007938-3</t>
  </si>
  <si>
    <t>Jardinilza Gonçalves da Silva</t>
  </si>
  <si>
    <t>00004739-0</t>
  </si>
  <si>
    <t>Cristiane da Silva Santiago</t>
  </si>
  <si>
    <t>00006092-6</t>
  </si>
  <si>
    <t>Adailto Almeida de Souza</t>
  </si>
  <si>
    <t>00005677-2</t>
  </si>
  <si>
    <t>Manoel Fausto de Sousa</t>
  </si>
  <si>
    <t>00004586-0</t>
  </si>
  <si>
    <t>José Rosa de Sousa</t>
  </si>
  <si>
    <t>00009583-2</t>
  </si>
  <si>
    <t>Jaqueline de S. Carvalho</t>
  </si>
  <si>
    <t>00001343-7</t>
  </si>
  <si>
    <t>João dos Santos Lopes</t>
  </si>
  <si>
    <t>003.950.585-54</t>
  </si>
  <si>
    <t>00012077-4</t>
  </si>
  <si>
    <t>Adeni L. do Nascimento</t>
  </si>
  <si>
    <t>00017497-0</t>
  </si>
  <si>
    <t>Odair Jesus Silva Santos</t>
  </si>
  <si>
    <t>00001888-9</t>
  </si>
  <si>
    <t>Reginalda Carlos da Silva</t>
  </si>
  <si>
    <t>00019561-6</t>
  </si>
  <si>
    <t>Renivaldo Carlos da Silva</t>
  </si>
  <si>
    <t>00008974-2</t>
  </si>
  <si>
    <t>Estácio Cedro de Souza</t>
  </si>
  <si>
    <t>863.760.735-73</t>
  </si>
  <si>
    <t>00019296-0</t>
  </si>
  <si>
    <t>Domingos Alves Santana</t>
  </si>
  <si>
    <t>00001997-4</t>
  </si>
  <si>
    <t>Arestides Francisco de Sena</t>
  </si>
  <si>
    <t>00019565-9</t>
  </si>
  <si>
    <t>Marenilde Nascimento dos</t>
  </si>
  <si>
    <t>070.083.775-25</t>
  </si>
  <si>
    <t>00019667-1</t>
  </si>
  <si>
    <t>Maria Rosa Dourado</t>
  </si>
  <si>
    <t>00019752-0</t>
  </si>
  <si>
    <t>Edleia Medeiros de Souza</t>
  </si>
  <si>
    <t>00024080-8</t>
  </si>
  <si>
    <t>Liliane Silva Brito</t>
  </si>
  <si>
    <t>0004655-8</t>
  </si>
  <si>
    <t>José Wilton Magalhães</t>
  </si>
  <si>
    <t>00015835-4</t>
  </si>
  <si>
    <t>Rosenilde Silva Oliveira</t>
  </si>
  <si>
    <t>011.559.485-05</t>
  </si>
  <si>
    <t>0002677-8</t>
  </si>
  <si>
    <t>Móises Marques de Sousa</t>
  </si>
  <si>
    <t>00008666-3</t>
  </si>
  <si>
    <t>Alane Silva de Oliveira</t>
  </si>
  <si>
    <t>00007690-2</t>
  </si>
  <si>
    <t>Tamares Oliveira Silva</t>
  </si>
  <si>
    <t>0007159-5</t>
  </si>
  <si>
    <t>Francisco de Sousa Lima</t>
  </si>
  <si>
    <t>913.668.605-00</t>
  </si>
  <si>
    <t>7.464-0</t>
  </si>
  <si>
    <t>Marinalva Silva de Brito</t>
  </si>
  <si>
    <t>00038459-5</t>
  </si>
  <si>
    <t>Miguel de Jesus Oliveira</t>
  </si>
  <si>
    <t>00024426-7</t>
  </si>
  <si>
    <t>Ricardo Alves de Souza</t>
  </si>
  <si>
    <t>00018744-2</t>
  </si>
  <si>
    <t>Maria da C. de J. Nascimento</t>
  </si>
  <si>
    <t>00031158-2</t>
  </si>
  <si>
    <t>00010905-3</t>
  </si>
  <si>
    <t>Adarildo Caio</t>
  </si>
  <si>
    <t>0007185-4</t>
  </si>
  <si>
    <t>Guiomar Souza Santos</t>
  </si>
  <si>
    <t>00004720-1</t>
  </si>
  <si>
    <t>Jaime Gonçalves Santos</t>
  </si>
  <si>
    <t>00007643-0</t>
  </si>
  <si>
    <t>Max Souza Oliveira</t>
  </si>
  <si>
    <t>00015799-4</t>
  </si>
  <si>
    <t>Joaldo Pires Alves</t>
  </si>
  <si>
    <t>00007948-0</t>
  </si>
  <si>
    <t>Mário Santos Gonçalves</t>
  </si>
  <si>
    <t>00012603-7</t>
  </si>
  <si>
    <t>Tânia Regina N. Lemos</t>
  </si>
  <si>
    <t>00020248-9</t>
  </si>
  <si>
    <t>Judite M. Santos</t>
  </si>
  <si>
    <t>854551909-3</t>
  </si>
  <si>
    <t>Maria de Lourdes R. Oliveira</t>
  </si>
  <si>
    <t>024.834.015-89</t>
  </si>
  <si>
    <t>000871268882-5</t>
  </si>
  <si>
    <t>José N. P. da Silva</t>
  </si>
  <si>
    <t>00160850-1</t>
  </si>
  <si>
    <t>Emile Almeida Coelho</t>
  </si>
  <si>
    <t>Noelio Santos Silva</t>
  </si>
  <si>
    <t>19.880-3</t>
  </si>
  <si>
    <t>Maria Betânia S. de Oliveira</t>
  </si>
  <si>
    <t>023.298.465-41</t>
  </si>
  <si>
    <t>403935-1</t>
  </si>
  <si>
    <t>Luciane da Silva Nunes</t>
  </si>
  <si>
    <t>00028234-0</t>
  </si>
  <si>
    <t>Manoel Messias de Jesus</t>
  </si>
  <si>
    <t>00011284-2</t>
  </si>
  <si>
    <t>Laiane Santos de Souza</t>
  </si>
  <si>
    <t>2760-x</t>
  </si>
  <si>
    <t>19.801-3</t>
  </si>
  <si>
    <t>Hercules P dos Santos</t>
  </si>
  <si>
    <t>00009403-0</t>
  </si>
  <si>
    <t>Morivaldo S do Nascimento</t>
  </si>
  <si>
    <t>00011444-8</t>
  </si>
  <si>
    <t>Mariene da Silva</t>
  </si>
  <si>
    <t>00001365-8</t>
  </si>
  <si>
    <t>Abinailton Oliveira Costa</t>
  </si>
  <si>
    <t>00007448-9</t>
  </si>
  <si>
    <t>Leo Allive O. Martins</t>
  </si>
  <si>
    <t>00020605-7</t>
  </si>
  <si>
    <t>Gersonilson de Jesus Brito</t>
  </si>
  <si>
    <t>11.160-0</t>
  </si>
  <si>
    <t>Maria José Silva de Oliveira</t>
  </si>
  <si>
    <t>00012655-1</t>
  </si>
  <si>
    <t>Luiz Carlos S. Soares</t>
  </si>
  <si>
    <t>00011822-2</t>
  </si>
  <si>
    <t>Franciele dos Santos Soares</t>
  </si>
  <si>
    <t>00021096-9</t>
  </si>
  <si>
    <t>Vera Santos da Paixão</t>
  </si>
  <si>
    <t>892.943.005-87</t>
  </si>
  <si>
    <t>000832550289-2</t>
  </si>
  <si>
    <t>Ediandro Fideles de Souza</t>
  </si>
  <si>
    <t>00008773-4</t>
  </si>
  <si>
    <t>Ednalva de Jesus Santos</t>
  </si>
  <si>
    <t>00020668-6</t>
  </si>
  <si>
    <t>Rozalia Pereira da Silva</t>
  </si>
  <si>
    <t>907.117.775-00</t>
  </si>
  <si>
    <t>000858061972-4</t>
  </si>
  <si>
    <t>Sérgio Santos Silva</t>
  </si>
  <si>
    <t>12.698-5</t>
  </si>
  <si>
    <t>Silvana dos Santos Araújo</t>
  </si>
  <si>
    <t>00011632-7</t>
  </si>
  <si>
    <t>Lucivânia da Silva Moura</t>
  </si>
  <si>
    <t>00010285-7</t>
  </si>
  <si>
    <t>Valdirene Andrade de Brito</t>
  </si>
  <si>
    <t>00008583-8</t>
  </si>
  <si>
    <t>Rita de Cássia de Souza</t>
  </si>
  <si>
    <t>00007235-3</t>
  </si>
  <si>
    <t>Joselito Ferreira Silva</t>
  </si>
  <si>
    <t>Gilvan de Jesus</t>
  </si>
  <si>
    <t>00003217-4</t>
  </si>
  <si>
    <t>00011769-2</t>
  </si>
  <si>
    <t>Sandro Silva de Jesus</t>
  </si>
  <si>
    <t>00005934-0</t>
  </si>
  <si>
    <t>Sandra Silva de Jesus</t>
  </si>
  <si>
    <t>00006008-9</t>
  </si>
  <si>
    <t>Vanilton da Silva Oliveira</t>
  </si>
  <si>
    <t>00018706-7</t>
  </si>
  <si>
    <t>Renaldo Santos Oliveira</t>
  </si>
  <si>
    <t>Eraine dos Santos Costa</t>
  </si>
  <si>
    <t>00006650-8</t>
  </si>
  <si>
    <t>Gilvania Silva dos Santos</t>
  </si>
  <si>
    <t>00011242-7</t>
  </si>
  <si>
    <t>Rosilene Souza de Jesus</t>
  </si>
  <si>
    <t>00012299-9</t>
  </si>
  <si>
    <t>Glécia Ribeiro de Souza</t>
  </si>
  <si>
    <t>1000005-1</t>
  </si>
  <si>
    <t>Juliana Soares Santos</t>
  </si>
  <si>
    <t>700.383.631-94</t>
  </si>
  <si>
    <t>00007298-2</t>
  </si>
  <si>
    <t>00032243-0</t>
  </si>
  <si>
    <t>Luiz Carlos dos Santos Soares</t>
  </si>
  <si>
    <t>808.916.165-00</t>
  </si>
  <si>
    <t>00012912-7</t>
  </si>
  <si>
    <t>00021593-6</t>
  </si>
  <si>
    <t>Sirleide Conceição Sousa</t>
  </si>
  <si>
    <t>11.896-6</t>
  </si>
  <si>
    <t>Julivado J. Nascimento</t>
  </si>
  <si>
    <t>00016017-0</t>
  </si>
  <si>
    <t>Ediléia Silva dos Santos</t>
  </si>
  <si>
    <t>00000971-2</t>
  </si>
  <si>
    <t>Claudineia Paulina Araújo</t>
  </si>
  <si>
    <t>00044956-1</t>
  </si>
  <si>
    <t>Maria Aparecida L. Pires</t>
  </si>
  <si>
    <t>Dirlene Sampaio Alves</t>
  </si>
  <si>
    <t>14.951-9</t>
  </si>
  <si>
    <t>Hortencia Brito Barbosa</t>
  </si>
  <si>
    <t>00038382-3</t>
  </si>
  <si>
    <t>Raimundo P. de Souza</t>
  </si>
  <si>
    <t>00013888-4</t>
  </si>
  <si>
    <t>Antônio Ramos de Carvalho</t>
  </si>
  <si>
    <t>5.819-X</t>
  </si>
  <si>
    <t>Carmozita Francisca dos Santos</t>
  </si>
  <si>
    <t>21.050-1</t>
  </si>
  <si>
    <t>Girlene de Souza Oliveira</t>
  </si>
  <si>
    <t>00007862-8</t>
  </si>
  <si>
    <t>Maria Sônia Ferreira Silva</t>
  </si>
  <si>
    <t>00019706-6</t>
  </si>
  <si>
    <t>Luciene O. da Silva</t>
  </si>
  <si>
    <t>00061044-3</t>
  </si>
  <si>
    <t>Heleno Monteiro da Silva</t>
  </si>
  <si>
    <t>492.888.815-49</t>
  </si>
  <si>
    <t>00008999-9</t>
  </si>
  <si>
    <t>Agnaldo José Ribeiro</t>
  </si>
  <si>
    <t>012.598.185-60</t>
  </si>
  <si>
    <t>00004746-3</t>
  </si>
  <si>
    <t>Roque Souza Silva</t>
  </si>
  <si>
    <t>00029537-1</t>
  </si>
  <si>
    <t>Dilma Mendes Santos Oliveira</t>
  </si>
  <si>
    <t>corr</t>
  </si>
  <si>
    <t>15.182-3</t>
  </si>
  <si>
    <t>00011633-5</t>
  </si>
  <si>
    <t>Aurenide Damasceno Soares</t>
  </si>
  <si>
    <t>00011666-1</t>
  </si>
  <si>
    <t>Janildo Machado Farias</t>
  </si>
  <si>
    <t>00007141-2</t>
  </si>
  <si>
    <t>Luan Ramos de Jesus</t>
  </si>
  <si>
    <t>22.744-7</t>
  </si>
  <si>
    <t>Cleiton da Silva Borges</t>
  </si>
  <si>
    <t>0125485-5</t>
  </si>
  <si>
    <t>Janete Rosa Pires</t>
  </si>
  <si>
    <t>835308154-5</t>
  </si>
  <si>
    <t>Lucas Souza Ferreira</t>
  </si>
  <si>
    <t>00006204-9</t>
  </si>
  <si>
    <t>Maria Conceição P. Silva</t>
  </si>
  <si>
    <t>510.014.037-6</t>
  </si>
  <si>
    <t>Milzaene Francisca Teixeira</t>
  </si>
  <si>
    <t>0006331-3</t>
  </si>
  <si>
    <t>Carina Alves Pereira</t>
  </si>
  <si>
    <t>Banco do Nordeste</t>
  </si>
  <si>
    <t>000016488-0</t>
  </si>
  <si>
    <t>Vera Lucia Cruz Almeida</t>
  </si>
  <si>
    <t>14.661-7</t>
  </si>
  <si>
    <t>Edicléia Santana Santos</t>
  </si>
  <si>
    <t>00005091-1</t>
  </si>
  <si>
    <t>Jair Carneiro Farias</t>
  </si>
  <si>
    <t>00011092-3</t>
  </si>
  <si>
    <t>Adinela Francisca dos Santos</t>
  </si>
  <si>
    <t>17.865-9</t>
  </si>
  <si>
    <t>Jaires Francisco Santos</t>
  </si>
  <si>
    <t>13.737-5</t>
  </si>
  <si>
    <t>Joilson Santos Lima</t>
  </si>
  <si>
    <t>00004371-0</t>
  </si>
  <si>
    <t>0517291-8</t>
  </si>
  <si>
    <t>Rosangela Alves Pereira (2B)</t>
  </si>
  <si>
    <t>00000451-5</t>
  </si>
  <si>
    <t>Iolanda Moureira da Silva (2B)</t>
  </si>
  <si>
    <t>854853008-0</t>
  </si>
  <si>
    <t>Marivalda Santos da S. Macedo</t>
  </si>
  <si>
    <t>00005897-0</t>
  </si>
  <si>
    <t>520834-3</t>
  </si>
  <si>
    <t>Zenilda Paixão dos Santos</t>
  </si>
  <si>
    <t>005.054.855-75</t>
  </si>
  <si>
    <t>1000061-0</t>
  </si>
  <si>
    <t>Pureza de Jesus Oliveira</t>
  </si>
  <si>
    <t>00029452-6</t>
  </si>
  <si>
    <t>Marinalva A. Moraes de Souza</t>
  </si>
  <si>
    <t>8.035-7</t>
  </si>
  <si>
    <t>Luzinaria Laranjeira de Sousa</t>
  </si>
  <si>
    <t>00028114-4</t>
  </si>
  <si>
    <t>Ailton Cedro de Souza</t>
  </si>
  <si>
    <t>492.831.465-49</t>
  </si>
  <si>
    <t>000857553572-0</t>
  </si>
  <si>
    <t>Terezinha C. Ferreira</t>
  </si>
  <si>
    <t>00006438-5</t>
  </si>
  <si>
    <t>15.281-1</t>
  </si>
  <si>
    <t>Daiane Miranda da Cruz (2B)</t>
  </si>
  <si>
    <t>00016551-2</t>
  </si>
  <si>
    <t>Maria do Carmo Almeida Cruz</t>
  </si>
  <si>
    <t>00012717-4</t>
  </si>
  <si>
    <t>José Marcos V. Lopes</t>
  </si>
  <si>
    <t>00006569-0</t>
  </si>
  <si>
    <t>Eleonia Jesus A Oliveira</t>
  </si>
  <si>
    <t>00030196-7</t>
  </si>
  <si>
    <t>Osvaldo Mendes S. Santos</t>
  </si>
  <si>
    <t>0004271-4</t>
  </si>
  <si>
    <t>Nilda Bispo Gama</t>
  </si>
  <si>
    <t>00069809-5</t>
  </si>
  <si>
    <t>Edivaldo Ferreira de Souza</t>
  </si>
  <si>
    <t>00009733-0</t>
  </si>
  <si>
    <t>Eunaide Gonçalves Ferreira</t>
  </si>
  <si>
    <t>00005500-0</t>
  </si>
  <si>
    <t>Carmelita Pereira Souza</t>
  </si>
  <si>
    <t>00033787-2</t>
  </si>
  <si>
    <t>Adair V. dos Santos</t>
  </si>
  <si>
    <t>00038889-2</t>
  </si>
  <si>
    <t>Santilha dos Santos Leite</t>
  </si>
  <si>
    <t>00010479-5</t>
  </si>
  <si>
    <t>Marivaldo Santos da Silva</t>
  </si>
  <si>
    <t>00012889-9</t>
  </si>
  <si>
    <t>Edson Santos da Silva (2B)</t>
  </si>
  <si>
    <t>00017906-8</t>
  </si>
  <si>
    <t>Maria da Paixão de Jesus</t>
  </si>
  <si>
    <t>00009902-3</t>
  </si>
  <si>
    <t>Barbara Regina de Souza</t>
  </si>
  <si>
    <t>00038687-3</t>
  </si>
  <si>
    <t>Núbia Margarete Araújo</t>
  </si>
  <si>
    <t>00006981-6</t>
  </si>
  <si>
    <t>Alex da Silva Santos</t>
  </si>
  <si>
    <t>00020515-8</t>
  </si>
  <si>
    <t>Viviane Ramalho de Oliveira</t>
  </si>
  <si>
    <t>00006006-4</t>
  </si>
  <si>
    <t>Fábio de Souza Dias</t>
  </si>
  <si>
    <t>0017394-0</t>
  </si>
  <si>
    <t>Ourivaldo Bispo Gama</t>
  </si>
  <si>
    <t>0523455-7</t>
  </si>
  <si>
    <t>Marta Alves Pinheiro (VG)</t>
  </si>
  <si>
    <t>00012108-8</t>
  </si>
  <si>
    <t>Rosangela Silva Sales (VG)</t>
  </si>
  <si>
    <t>00007784-4</t>
  </si>
  <si>
    <t>Marcia Miranda Rocha (VG)</t>
  </si>
  <si>
    <t>1003631-3</t>
  </si>
  <si>
    <t>Soene Nunes Vieira (VG)</t>
  </si>
  <si>
    <t>0614937-5</t>
  </si>
  <si>
    <t>Edva Reis Santos (VG)</t>
  </si>
  <si>
    <t>18.312-1</t>
  </si>
  <si>
    <t>Paulo Sérgio S. Oliveira (VG)</t>
  </si>
  <si>
    <t>3640-4</t>
  </si>
  <si>
    <t>17.624-9</t>
  </si>
  <si>
    <t>Kayky das Merces Santa</t>
  </si>
  <si>
    <t>1003846-4</t>
  </si>
  <si>
    <t>Ivanete Sampaio Alves (VG)</t>
  </si>
  <si>
    <t>16.864-5</t>
  </si>
  <si>
    <t>Juliene Silva Lima (VG)</t>
  </si>
  <si>
    <t>1000188-9</t>
  </si>
  <si>
    <t>Judival Andrade de Araújo</t>
  </si>
  <si>
    <t>12.416-8</t>
  </si>
  <si>
    <t>Valdelice Oliveira Souza</t>
  </si>
  <si>
    <t>1003782-4</t>
  </si>
  <si>
    <t>Josiane Araújo Souza</t>
  </si>
  <si>
    <t>00005980-3</t>
  </si>
  <si>
    <t>Marielza Rosa Santana</t>
  </si>
  <si>
    <t>00005458-3</t>
  </si>
  <si>
    <t>Gilberto R. Pereira</t>
  </si>
  <si>
    <t>00047727-1</t>
  </si>
  <si>
    <t>Vanusa de Araújo Moreira</t>
  </si>
  <si>
    <t>00017105-0</t>
  </si>
  <si>
    <t>Lucinalva Oliveira de Almeida</t>
  </si>
  <si>
    <t>00002320-9</t>
  </si>
  <si>
    <t>Julivania de Jesus Silva</t>
  </si>
  <si>
    <t>00056794-0</t>
  </si>
  <si>
    <t>Adilson Santos Costa</t>
  </si>
  <si>
    <t>00025102-8</t>
  </si>
  <si>
    <t>Leidinalva Sousa Andrade</t>
  </si>
  <si>
    <t>00007485-2</t>
  </si>
  <si>
    <t>Taís Alves da Silva (BC)</t>
  </si>
  <si>
    <t>00002300-9</t>
  </si>
  <si>
    <t>Raimundo da Silva</t>
  </si>
  <si>
    <t>0002343-4</t>
  </si>
  <si>
    <t>00006420-2</t>
  </si>
  <si>
    <t>Adailton de J. Santiago</t>
  </si>
  <si>
    <t>00093817-4</t>
  </si>
  <si>
    <t>Milton Alves Alencar</t>
  </si>
  <si>
    <t>00010939-8</t>
  </si>
  <si>
    <t>Tereza Gabriela de Souza</t>
  </si>
  <si>
    <t>00012749-2</t>
  </si>
  <si>
    <t>Hercules Pereira Santos</t>
  </si>
  <si>
    <t>Ana Maria de Souza Oliveira</t>
  </si>
  <si>
    <t>0060067-9</t>
  </si>
  <si>
    <t>Italo Braga Santos</t>
  </si>
  <si>
    <t>00008829-3</t>
  </si>
  <si>
    <t>Bruno de Jesus Oliveira</t>
  </si>
  <si>
    <t>00005897-1</t>
  </si>
  <si>
    <t>Maria da Paixão C. da Silva</t>
  </si>
  <si>
    <t>033.122.075-09</t>
  </si>
  <si>
    <t>960432089-6</t>
  </si>
  <si>
    <t>Crispiniano Macedo Santos</t>
  </si>
  <si>
    <t>00006733-2</t>
  </si>
  <si>
    <t>Raimunda Santana Silva</t>
  </si>
  <si>
    <t>00008977-0</t>
  </si>
  <si>
    <t>Jasiane Lima de Souza</t>
  </si>
  <si>
    <t>13.311-6</t>
  </si>
  <si>
    <t>Rosileide Brito Cerqueira</t>
  </si>
  <si>
    <t>036.131.485-01</t>
  </si>
  <si>
    <t>798432683-6</t>
  </si>
  <si>
    <t>Ana Paula Ferreira Silva</t>
  </si>
  <si>
    <t>00019907-7</t>
  </si>
  <si>
    <t>Claudimiro R. Soares</t>
  </si>
  <si>
    <t>00005218-3</t>
  </si>
  <si>
    <t>Laiane Dmasceno Silva</t>
  </si>
  <si>
    <t>00016418-4</t>
  </si>
  <si>
    <t>Edilene Ferreira Vieira</t>
  </si>
  <si>
    <t>00020829-8</t>
  </si>
  <si>
    <t>Thaise Souza Pires</t>
  </si>
  <si>
    <t>2105-9</t>
  </si>
  <si>
    <t>13.297-7</t>
  </si>
  <si>
    <t>Nelson Pereira dos Santos (LN)</t>
  </si>
  <si>
    <t>00018868-7</t>
  </si>
  <si>
    <t>Adaiane dos Santos Cedro (LN)</t>
  </si>
  <si>
    <t>0002747-2</t>
  </si>
  <si>
    <t>Luiz Carlos S. Silva (LN)</t>
  </si>
  <si>
    <t>00003937-1</t>
  </si>
  <si>
    <t>José Carlos Souza (2B)</t>
  </si>
  <si>
    <t>18.325-3</t>
  </si>
  <si>
    <t>Maria T. S. Oliveira (LN)</t>
  </si>
  <si>
    <t>2150-4</t>
  </si>
  <si>
    <t>13616-6</t>
  </si>
  <si>
    <t>Sinara Campos de Oliveira (LN)</t>
  </si>
  <si>
    <t>00009046-6</t>
  </si>
  <si>
    <t>Maciel Souza Silva (LN)</t>
  </si>
  <si>
    <t>059.815.045-52</t>
  </si>
  <si>
    <t>24.810-X</t>
  </si>
  <si>
    <t>Ivaneide Carvalho Sampaio (LN)</t>
  </si>
  <si>
    <t>00029196-0</t>
  </si>
  <si>
    <t>Rosangela C. Sampaio (LN)</t>
  </si>
  <si>
    <t>00014296-2</t>
  </si>
  <si>
    <t>Rosinete O. do E. Santo</t>
  </si>
  <si>
    <t>00000956-9</t>
  </si>
  <si>
    <t>Jussiaria Pires Alves</t>
  </si>
  <si>
    <t>00012159-0</t>
  </si>
  <si>
    <t>Rael Cassiano da Cruz (2B)</t>
  </si>
  <si>
    <t>00016191-6</t>
  </si>
  <si>
    <t>Eliene Almeida Oliveira (2B)</t>
  </si>
  <si>
    <t>00009578-6</t>
  </si>
  <si>
    <t>Adriana do N. Santana</t>
  </si>
  <si>
    <t>00001847-1</t>
  </si>
  <si>
    <t>Giselia Silva de Miranda</t>
  </si>
  <si>
    <t>00033571-5</t>
  </si>
  <si>
    <t>Maria Silva S. Oliveira</t>
  </si>
  <si>
    <t>Orlando Silva de Almeida</t>
  </si>
  <si>
    <t>00011534-7</t>
  </si>
  <si>
    <t>Poliana Almeida Oliveira</t>
  </si>
  <si>
    <t>00028879-0</t>
  </si>
  <si>
    <t>Sileuza Jesus Nascimento</t>
  </si>
  <si>
    <t>00037004-8</t>
  </si>
  <si>
    <t>Núbia Pereira Lima</t>
  </si>
  <si>
    <t>00005160-8</t>
  </si>
  <si>
    <t>Eline S. Ferreira</t>
  </si>
  <si>
    <t>18.196-X</t>
  </si>
  <si>
    <t>Catia Sirlene P Brito</t>
  </si>
  <si>
    <t>00033326-5</t>
  </si>
  <si>
    <t>Marcelo G de Souza</t>
  </si>
  <si>
    <t>00024027-5</t>
  </si>
  <si>
    <t>Darlene Lima de S. Ferreira</t>
  </si>
  <si>
    <t>00007166-7</t>
  </si>
  <si>
    <t>Djalma C. Marques</t>
  </si>
  <si>
    <t>9.597-4</t>
  </si>
  <si>
    <t>Ednaldo Romão da Silva</t>
  </si>
  <si>
    <t>00023506-8</t>
  </si>
  <si>
    <t>Maria Sonia Ferreira da Silva</t>
  </si>
  <si>
    <t>Manoel Messias A. Miranda</t>
  </si>
  <si>
    <t>782732278-7</t>
  </si>
  <si>
    <t>Eliana Jesus de Souza (LN)</t>
  </si>
  <si>
    <t>00028188-4</t>
  </si>
  <si>
    <t>Ilza Félix Pinheiro (LN)</t>
  </si>
  <si>
    <t>14.319-7</t>
  </si>
  <si>
    <t>Antônio Nunes dos Santos (LN)</t>
  </si>
  <si>
    <t>00001639-8</t>
  </si>
  <si>
    <t>Eliene Vitor Bispo</t>
  </si>
  <si>
    <t>00009081-7</t>
  </si>
  <si>
    <t>Ananias Bernardo da Silva</t>
  </si>
  <si>
    <t>00004397-4</t>
  </si>
  <si>
    <t>Martinho R. de J. Neto</t>
  </si>
  <si>
    <t>00018362-6</t>
  </si>
  <si>
    <t>Ricardo dos Santos Ferreira</t>
  </si>
  <si>
    <t>00019947-6</t>
  </si>
  <si>
    <t>Maria Nilce O. Santos</t>
  </si>
  <si>
    <t>00005301-3</t>
  </si>
  <si>
    <t>Vera Lucia Carlos Silva</t>
  </si>
  <si>
    <t>00009531-0</t>
  </si>
  <si>
    <t>Marivaldo Matos Soares</t>
  </si>
  <si>
    <t>00054443-8</t>
  </si>
  <si>
    <t>Maria Tatiane de Souza</t>
  </si>
  <si>
    <t>00020957-9</t>
  </si>
  <si>
    <t>Gersiane Soares dos Santos</t>
  </si>
  <si>
    <t>00009870-1</t>
  </si>
  <si>
    <t>00001486-6</t>
  </si>
  <si>
    <t>Julia Cornelio de Souza</t>
  </si>
  <si>
    <t>00011913-0</t>
  </si>
  <si>
    <t>Tatiane Mendes de Souza</t>
  </si>
  <si>
    <t>00010514-7</t>
  </si>
  <si>
    <t>Edilene Santana de Souza</t>
  </si>
  <si>
    <t>00005747-4</t>
  </si>
  <si>
    <t>Raimundo Soares de Souza</t>
  </si>
  <si>
    <t>00010147-6</t>
  </si>
  <si>
    <t>Rilda Rosa Caldeira</t>
  </si>
  <si>
    <t>00002752-7</t>
  </si>
  <si>
    <t>Orlando S. Almeida</t>
  </si>
  <si>
    <t>8.627-4</t>
  </si>
  <si>
    <t>Clenilda Oliveira Santos</t>
  </si>
  <si>
    <t>00055654-6</t>
  </si>
  <si>
    <t>Marinez Silva Santana</t>
  </si>
  <si>
    <t>00008623-5</t>
  </si>
  <si>
    <t>Pedro Barbosa da Silva</t>
  </si>
  <si>
    <t>00039578-0</t>
  </si>
  <si>
    <t>Arenildo Rosa Pires</t>
  </si>
  <si>
    <t>00011149-0</t>
  </si>
  <si>
    <t>Joselito Teodoro da Cruz</t>
  </si>
  <si>
    <t>23.250-5</t>
  </si>
  <si>
    <t>Raimundo Rodrigues Oliveira</t>
  </si>
  <si>
    <t>Robevaldo Claudio dos Anjos</t>
  </si>
  <si>
    <t>00008365-8</t>
  </si>
  <si>
    <t>Adenil Pereira Bispo</t>
  </si>
  <si>
    <t>433.766.305-34</t>
  </si>
  <si>
    <t>000599817456-5</t>
  </si>
  <si>
    <t>Sandro Damasceno Oliveira</t>
  </si>
  <si>
    <t>016.517.015-80</t>
  </si>
  <si>
    <t>000855108696-9</t>
  </si>
  <si>
    <t>Roberto Paixão Nagô</t>
  </si>
  <si>
    <t>00037835-4</t>
  </si>
  <si>
    <t>Erivan Romão da Silva</t>
  </si>
  <si>
    <t>00016609-2</t>
  </si>
  <si>
    <t>Fábio Miranda Fernandes</t>
  </si>
  <si>
    <t>Daiane Almeida Oliveira</t>
  </si>
  <si>
    <t>1000166-8</t>
  </si>
  <si>
    <t>Salete Ferreira Santos</t>
  </si>
  <si>
    <t>00009238-8</t>
  </si>
  <si>
    <t>Abelina Félix da Silva</t>
  </si>
  <si>
    <t>0521049-6</t>
  </si>
  <si>
    <t>Carmesina M. Fernandes</t>
  </si>
  <si>
    <t>00002739-0</t>
  </si>
  <si>
    <t>Sebastião de S Gomes</t>
  </si>
  <si>
    <t>00071672-0</t>
  </si>
  <si>
    <t>Elineuza de Souza Pereira</t>
  </si>
  <si>
    <t>00011645-7</t>
  </si>
  <si>
    <t>Geverson R. de Jesus</t>
  </si>
  <si>
    <t>00021378-9</t>
  </si>
  <si>
    <t>Maria José Alves Souza</t>
  </si>
  <si>
    <t>Cleidiane Santos dos Reis</t>
  </si>
  <si>
    <t>00018667-6</t>
  </si>
  <si>
    <t>Edilma dos Santos Silva</t>
  </si>
  <si>
    <t>00015566-5</t>
  </si>
  <si>
    <t>Ludimila Santos de Amorim</t>
  </si>
  <si>
    <t>00012987-7</t>
  </si>
  <si>
    <t>Adriana Moureira Matos</t>
  </si>
  <si>
    <t>00007835-0</t>
  </si>
  <si>
    <t>Sidnei de Souza</t>
  </si>
  <si>
    <t>00015520-7</t>
  </si>
  <si>
    <t>Patricia Rodrigues de Jesus</t>
  </si>
  <si>
    <t>00017054-0</t>
  </si>
  <si>
    <t>José Nunes Aragão</t>
  </si>
  <si>
    <t>00000473-7</t>
  </si>
  <si>
    <t>Valéria de Souza Silva</t>
  </si>
  <si>
    <t>00004042-6</t>
  </si>
  <si>
    <t>Valdirene Marques Silva</t>
  </si>
  <si>
    <t>00015079-5</t>
  </si>
  <si>
    <t>Érika das Neves Moura</t>
  </si>
  <si>
    <t>00013027-3</t>
  </si>
  <si>
    <t>Nivaldo Antônio Magno</t>
  </si>
  <si>
    <t>982.163.685-34</t>
  </si>
  <si>
    <t>0600602-7</t>
  </si>
  <si>
    <t>Adriana Aguida de Souza</t>
  </si>
  <si>
    <t>00013522-2</t>
  </si>
  <si>
    <t>José A. S. da Silva</t>
  </si>
  <si>
    <t>00064095-4</t>
  </si>
  <si>
    <t>Célio Santos de Oliveira</t>
  </si>
  <si>
    <t>00008617-5</t>
  </si>
  <si>
    <t>Carlos Cândido Profeta</t>
  </si>
  <si>
    <t>803.285.395-20</t>
  </si>
  <si>
    <t>000774224495-1</t>
  </si>
  <si>
    <t>Edinaldo Vitória Santos</t>
  </si>
  <si>
    <t>303.084.068-93</t>
  </si>
  <si>
    <t>000790237388-6</t>
  </si>
  <si>
    <t>Darte Cleia R. de Souza</t>
  </si>
  <si>
    <t>00010170-3</t>
  </si>
  <si>
    <t>Franciely Jesus dos Santos</t>
  </si>
  <si>
    <t>00048543-6</t>
  </si>
  <si>
    <t>Valdir Lino de Almeida</t>
  </si>
  <si>
    <t>00019772-4</t>
  </si>
  <si>
    <t>Dalva Iris de Souza Moraes</t>
  </si>
  <si>
    <t>034.143.825-12</t>
  </si>
  <si>
    <t>00012638-0</t>
  </si>
  <si>
    <t>José Roberto Jesus Santos</t>
  </si>
  <si>
    <t>00001377-1</t>
  </si>
  <si>
    <t>Roque Gomes Lima</t>
  </si>
  <si>
    <t>00013524-9</t>
  </si>
  <si>
    <t>Edicleide A. Conceição</t>
  </si>
  <si>
    <t>00062737-4</t>
  </si>
  <si>
    <t>Raimundo Jesus Santos</t>
  </si>
  <si>
    <t>00008116-5</t>
  </si>
  <si>
    <t>Jacira J. Brito</t>
  </si>
  <si>
    <t>00006409-1</t>
  </si>
  <si>
    <t>Deivid de Jesus Santos</t>
  </si>
  <si>
    <t>00030668-8</t>
  </si>
  <si>
    <t>Marluce de Jesus Santos</t>
  </si>
  <si>
    <t>00009170-8</t>
  </si>
  <si>
    <t>Rosenilde de Jesus V. Macedo</t>
  </si>
  <si>
    <t>00009165-9</t>
  </si>
  <si>
    <t>Tarcia Tatiana A. da Silva</t>
  </si>
  <si>
    <t>00011593-3</t>
  </si>
  <si>
    <t>Roberto Carlos Bispo dos Santos</t>
  </si>
  <si>
    <t>00021230-9</t>
  </si>
  <si>
    <t>Marilene de Jesus Santos</t>
  </si>
  <si>
    <t>1000138-2</t>
  </si>
  <si>
    <t>Valdirene de Souza Oliveira</t>
  </si>
  <si>
    <t>00016358-7</t>
  </si>
  <si>
    <t>Jurinete Pires dos Santos</t>
  </si>
  <si>
    <t>00027647-3</t>
  </si>
  <si>
    <t>Mavina Quirina Teixeira</t>
  </si>
  <si>
    <t>010.602.685-23</t>
  </si>
  <si>
    <t>000868327535-1</t>
  </si>
  <si>
    <t>Ismael Santos Nunes</t>
  </si>
  <si>
    <t>00022045-9</t>
  </si>
  <si>
    <t>Jennifer Sousa de Jesus</t>
  </si>
  <si>
    <t>00022350-4</t>
  </si>
  <si>
    <t>Liliane Souza dos Santos</t>
  </si>
  <si>
    <t>0640330-1</t>
  </si>
  <si>
    <t>Atailton de Jesus Moureira</t>
  </si>
  <si>
    <t>00023989-7</t>
  </si>
  <si>
    <t>Ademilton J Miranda</t>
  </si>
  <si>
    <t>00068418-3</t>
  </si>
  <si>
    <t>Luciana dos Santos</t>
  </si>
  <si>
    <t>00006974-3</t>
  </si>
  <si>
    <t>José Valdik Paes S Araújo</t>
  </si>
  <si>
    <t>00034171-0</t>
  </si>
  <si>
    <t>Erivaldo dos Santos Silva</t>
  </si>
  <si>
    <t>00067483-8</t>
  </si>
  <si>
    <t>Marineide Mendes Santos</t>
  </si>
  <si>
    <t>00021197-2</t>
  </si>
  <si>
    <t>Abdon Neto dos Santos Almeida</t>
  </si>
  <si>
    <t>005.603.575-67</t>
  </si>
  <si>
    <t>863193718-3</t>
  </si>
  <si>
    <t>Rosilandia Rodrigues de Aquino</t>
  </si>
  <si>
    <t>000.891.855-44</t>
  </si>
  <si>
    <t>000773053248-5</t>
  </si>
  <si>
    <t>Maria Alves de Souza</t>
  </si>
  <si>
    <t>0522926-0</t>
  </si>
  <si>
    <t>Elizangela Silva de Souza</t>
  </si>
  <si>
    <t>047.192.755-40</t>
  </si>
  <si>
    <t>000801372694-9</t>
  </si>
  <si>
    <t>Cláudia Aguida de Souza</t>
  </si>
  <si>
    <t>070.408.465-19</t>
  </si>
  <si>
    <t>806145148-2</t>
  </si>
  <si>
    <t>Marinaide Alves Boaventura</t>
  </si>
  <si>
    <t>015.894.645-67</t>
  </si>
  <si>
    <t>0006936-1</t>
  </si>
  <si>
    <t>Jenilda Vitória Santos</t>
  </si>
  <si>
    <t>860460794-1</t>
  </si>
  <si>
    <t>Mª Betania Silva de Souza</t>
  </si>
  <si>
    <t>023.234.045-55</t>
  </si>
  <si>
    <t>000802774559-2</t>
  </si>
  <si>
    <t>Laiane Ferreira da Jesus</t>
  </si>
  <si>
    <t>00037880-2</t>
  </si>
  <si>
    <t>Josimaria Pereira S Sousa</t>
  </si>
  <si>
    <t>0005496-6</t>
  </si>
  <si>
    <t>Juracir Aquino Pereira</t>
  </si>
  <si>
    <t>0001096-0</t>
  </si>
  <si>
    <t>José Orlando V. Rodrigues</t>
  </si>
  <si>
    <t>00013250-9</t>
  </si>
  <si>
    <t>Ailton Silva Santos</t>
  </si>
  <si>
    <t>00003728-0</t>
  </si>
  <si>
    <t>Jovania Santos da Cruz</t>
  </si>
  <si>
    <t>00020307-4</t>
  </si>
  <si>
    <t>Solange de Jesus Souza</t>
  </si>
  <si>
    <t>00008542-0</t>
  </si>
  <si>
    <t>Gessy de Jesus Souza</t>
  </si>
  <si>
    <t>00010749-3</t>
  </si>
  <si>
    <t>Valternei de S. Rodrigues</t>
  </si>
  <si>
    <t>00018105-4</t>
  </si>
  <si>
    <t>Genival Nunes da Silva</t>
  </si>
  <si>
    <t>00009218-9</t>
  </si>
  <si>
    <t>Adriana Souza dos Santos</t>
  </si>
  <si>
    <t>Lucicleide Jesus Carvalho</t>
  </si>
  <si>
    <t>00009742-0</t>
  </si>
  <si>
    <t>Dioneide de Jesus</t>
  </si>
  <si>
    <t>00000049-9</t>
  </si>
  <si>
    <t>Lucivania Teles Lelis</t>
  </si>
  <si>
    <t>00011566-3</t>
  </si>
  <si>
    <t>Heronilda Araújo Oliveira</t>
  </si>
  <si>
    <t>00023653-3</t>
  </si>
  <si>
    <t>Edvania Pereira dos Santos</t>
  </si>
  <si>
    <t>035.427.475-99</t>
  </si>
  <si>
    <t>Gislandia Silva Oliveira</t>
  </si>
  <si>
    <t>0350261-9</t>
  </si>
  <si>
    <t>Laercio Ferreira de Gois</t>
  </si>
  <si>
    <t>443.209.815-53</t>
  </si>
  <si>
    <t>000835755545-2</t>
  </si>
  <si>
    <t>Josciele Oliveira Martins</t>
  </si>
  <si>
    <t>00008061-6</t>
  </si>
  <si>
    <t>Edvalda S. Silva</t>
  </si>
  <si>
    <t>00021413-0</t>
  </si>
  <si>
    <t>Ozias P. de Jesus/Ana Paula da Silva</t>
  </si>
  <si>
    <t>00023513-8</t>
  </si>
  <si>
    <t>Claudinei de Souza Bispo</t>
  </si>
  <si>
    <t>052.467.585-67</t>
  </si>
  <si>
    <t>801327859-8</t>
  </si>
  <si>
    <t>Bianca Morais dos Santos</t>
  </si>
  <si>
    <t>093.326.765-77</t>
  </si>
  <si>
    <t>0005292-2</t>
  </si>
  <si>
    <t>Vilma Maria de Souza</t>
  </si>
  <si>
    <t>0522662-7</t>
  </si>
  <si>
    <t>Geane Pereira Almeida</t>
  </si>
  <si>
    <t>0350229-5</t>
  </si>
  <si>
    <t>Jaci Alquino de Souza</t>
  </si>
  <si>
    <t>0003063-5</t>
  </si>
  <si>
    <t>Diogo Oliveira de Souza</t>
  </si>
  <si>
    <t>00023772-0</t>
  </si>
  <si>
    <t>José A da Silva</t>
  </si>
  <si>
    <t>Neurailde Rodrigues de Souza</t>
  </si>
  <si>
    <t>00014105-2</t>
  </si>
  <si>
    <t>Claudia Aguida de Souza</t>
  </si>
  <si>
    <t>00006713-8</t>
  </si>
  <si>
    <t>Mª de Lourdes de Sousa Gomes</t>
  </si>
  <si>
    <t>058.095.615-60</t>
  </si>
  <si>
    <t>00014086-4</t>
  </si>
  <si>
    <t>Fernando Santos da Silva</t>
  </si>
  <si>
    <t>00008188-2</t>
  </si>
  <si>
    <t>Mª Tania da Silva Oliveira</t>
  </si>
  <si>
    <t>13.616-6</t>
  </si>
  <si>
    <t>Ana Paula Silva Cezar</t>
  </si>
  <si>
    <t>00013958-0</t>
  </si>
  <si>
    <t>Anderson Nascimento Silva</t>
  </si>
  <si>
    <t>00013689-1</t>
  </si>
  <si>
    <t>Cristina Santos de Sousa</t>
  </si>
  <si>
    <t>00013769-3</t>
  </si>
  <si>
    <t>Maricleide Teles dos Santos</t>
  </si>
  <si>
    <t>069.836.905-08</t>
  </si>
  <si>
    <t>30333-X</t>
  </si>
  <si>
    <t>Julio Cesar Goes de Oliveira</t>
  </si>
  <si>
    <t>216.928.438.93</t>
  </si>
  <si>
    <t>000858061836-1</t>
  </si>
  <si>
    <t>Elizabeth Melo Cerqueira</t>
  </si>
  <si>
    <t>11.910-5</t>
  </si>
  <si>
    <t>Jairo de Jesus Sousa</t>
  </si>
  <si>
    <t>401.439.455-72</t>
  </si>
  <si>
    <t>00011023-0</t>
  </si>
  <si>
    <t>Cineide Brito de Lima</t>
  </si>
  <si>
    <t>00021735-1</t>
  </si>
  <si>
    <t>Malaquias Pereira Junior</t>
  </si>
  <si>
    <t>6.069-8</t>
  </si>
  <si>
    <t>Lucivania da Silva Moura</t>
  </si>
  <si>
    <t>098.481.725-56</t>
  </si>
  <si>
    <t>Gilson Mendes de Oliveira</t>
  </si>
  <si>
    <t>20.284-3</t>
  </si>
  <si>
    <t>Cosme Santana de Oliveira</t>
  </si>
  <si>
    <t>Leandro Rodrigues Souza</t>
  </si>
  <si>
    <t>0523476-0</t>
  </si>
  <si>
    <t>Joscilene Silva Oliveira</t>
  </si>
  <si>
    <t>0350327-5</t>
  </si>
  <si>
    <t>Durvalino José Gonçalves</t>
  </si>
  <si>
    <t>00021132-8</t>
  </si>
  <si>
    <t>Mário Diva Miranda</t>
  </si>
  <si>
    <t>0350461-0</t>
  </si>
  <si>
    <t>Uilma Nunes Paixão</t>
  </si>
  <si>
    <t>13.048-6</t>
  </si>
  <si>
    <t>Adriano Rodrigues dos Santos</t>
  </si>
  <si>
    <t>00014305-7</t>
  </si>
  <si>
    <t>Eliane Souza Santos</t>
  </si>
  <si>
    <t>00153222-0</t>
  </si>
  <si>
    <t>Caique Oliveira dos Santos</t>
  </si>
  <si>
    <t>00012160-4</t>
  </si>
  <si>
    <t>Elane Rosa de Souza</t>
  </si>
  <si>
    <t>00018713-3</t>
  </si>
  <si>
    <t>Gildete Evangelista Brito</t>
  </si>
  <si>
    <t>00093444-9</t>
  </si>
  <si>
    <t>Luzia de Souza Brito</t>
  </si>
  <si>
    <t>00012733-7</t>
  </si>
  <si>
    <t>Luciene Maria de Morais</t>
  </si>
  <si>
    <t>1002654-7</t>
  </si>
  <si>
    <t>Andreia Morais de Brito</t>
  </si>
  <si>
    <t>00014259-0</t>
  </si>
  <si>
    <t>Marlene Oliveira Boaventura</t>
  </si>
  <si>
    <t>1004888-5</t>
  </si>
  <si>
    <t>Alexandre de Oliveira Souza</t>
  </si>
  <si>
    <t>1005271-8</t>
  </si>
  <si>
    <t>Eliane Rosa dos Santos</t>
  </si>
  <si>
    <t>00010012-9</t>
  </si>
  <si>
    <t>Maria Graças P. Moureira</t>
  </si>
  <si>
    <t>Raimunda Gomes de Novais</t>
  </si>
  <si>
    <t>00001837-6</t>
  </si>
  <si>
    <t>Maremi Teles dos Santos</t>
  </si>
  <si>
    <t>130238-8</t>
  </si>
  <si>
    <t>Lucimaria Silva de Souza</t>
  </si>
  <si>
    <t>00023027-6</t>
  </si>
  <si>
    <t>Valdeteno Novais Oliveira</t>
  </si>
  <si>
    <t>1004239-9</t>
  </si>
  <si>
    <t>Ronielma de Oliveira Morais</t>
  </si>
  <si>
    <t>1000393-8</t>
  </si>
  <si>
    <t>Sueli Oliveira Boaventura</t>
  </si>
  <si>
    <t>00016453-5</t>
  </si>
  <si>
    <t>Neildo de Oliveira Silva</t>
  </si>
  <si>
    <t>1003304-7</t>
  </si>
  <si>
    <t>Silvanete Boaventura de Souza</t>
  </si>
  <si>
    <t>1001513-8</t>
  </si>
  <si>
    <t>Wesley Gonçalves Silva</t>
  </si>
  <si>
    <t>00022051-3</t>
  </si>
  <si>
    <t>Almir Araújo Lima</t>
  </si>
  <si>
    <t>0008239-2</t>
  </si>
  <si>
    <t>Iris Alves de Souza</t>
  </si>
  <si>
    <t>00010627-5</t>
  </si>
  <si>
    <t>Luziania Santana Santos</t>
  </si>
  <si>
    <t>00081969-9</t>
  </si>
  <si>
    <t>Ana Lucia Santana Sousa</t>
  </si>
  <si>
    <t>Cristiano dos Santos Bernado das Graças</t>
  </si>
  <si>
    <t>054.570.915-62</t>
  </si>
  <si>
    <t>00002340-0</t>
  </si>
  <si>
    <t>Damires da Silva Alves</t>
  </si>
  <si>
    <t>00050099-8</t>
  </si>
  <si>
    <t>Lais Fonseca de Souza</t>
  </si>
  <si>
    <t>00009040-9</t>
  </si>
  <si>
    <t>Fabiana O. Marciel</t>
  </si>
  <si>
    <t>1000270-2</t>
  </si>
  <si>
    <t>Ione Ferreira de Souza</t>
  </si>
  <si>
    <t>00012588-1</t>
  </si>
  <si>
    <t>Ana Regina T. Machado</t>
  </si>
  <si>
    <t>0003966-7</t>
  </si>
  <si>
    <t>Marcia Silva dos Santos</t>
  </si>
  <si>
    <t>0005184-5</t>
  </si>
  <si>
    <t>Paulo Sérgio S. Lessa</t>
  </si>
  <si>
    <t>17.300-2</t>
  </si>
  <si>
    <t>Nivaldo Gonçalves da Silva</t>
  </si>
  <si>
    <t>0007459-4</t>
  </si>
  <si>
    <t>Jeferson dos Santos</t>
  </si>
  <si>
    <t>00087943-9</t>
  </si>
  <si>
    <t>Diego dos Santos Oliveira</t>
  </si>
  <si>
    <t>00007525-6</t>
  </si>
  <si>
    <t>Valtecio Batista da Cruz</t>
  </si>
  <si>
    <t>00025837-9</t>
  </si>
  <si>
    <t xml:space="preserve">Gilmar V. de Assis/Maria E. de J. Santos </t>
  </si>
  <si>
    <t>0008536-7</t>
  </si>
  <si>
    <t>Joelita de Jesus Souza</t>
  </si>
  <si>
    <t>027.457.085-89</t>
  </si>
  <si>
    <t>0000648-3</t>
  </si>
  <si>
    <t>Maria Aparecida de Jesus Souza</t>
  </si>
  <si>
    <t>012.977.335-25</t>
  </si>
  <si>
    <t>0963-6</t>
  </si>
  <si>
    <t>46.179-2</t>
  </si>
  <si>
    <t>Lucielma Paes da Silva</t>
  </si>
  <si>
    <t>00019052-8</t>
  </si>
  <si>
    <t>Maria José de Souza Miranda</t>
  </si>
  <si>
    <t>1004553-3</t>
  </si>
  <si>
    <t>Everaldo Santana de Jesus</t>
  </si>
  <si>
    <t>1001395-0</t>
  </si>
  <si>
    <t>Silvanete Antônio de Souza</t>
  </si>
  <si>
    <t>027.886.545-37</t>
  </si>
  <si>
    <t>Ana Sena Santos</t>
  </si>
  <si>
    <t>00008345-2</t>
  </si>
  <si>
    <t>Eudice Paixão Maia</t>
  </si>
  <si>
    <t>00024537-1</t>
  </si>
  <si>
    <t>Clenilda Oliveira dos Santos</t>
  </si>
  <si>
    <t>Luzinete Lima A. Santos</t>
  </si>
  <si>
    <t>00096761-3</t>
  </si>
  <si>
    <t>Lucilene Maria de Oliveira</t>
  </si>
  <si>
    <t>015.771.565-52</t>
  </si>
  <si>
    <t>00009965-5</t>
  </si>
  <si>
    <t>Rosivania Madalena de Souza</t>
  </si>
  <si>
    <t>052.144.715-13</t>
  </si>
  <si>
    <t>1000147-1</t>
  </si>
  <si>
    <t>Leonice de Jesus Monteiro</t>
  </si>
  <si>
    <t>00000293-1</t>
  </si>
  <si>
    <t>Raimunda Madalena de Souza</t>
  </si>
  <si>
    <t>1000175-7</t>
  </si>
  <si>
    <t>Betania Maria de Jesus</t>
  </si>
  <si>
    <t>037.533.005-43</t>
  </si>
  <si>
    <t>000855654743-3</t>
  </si>
  <si>
    <t>Eliana Rosa de Souza</t>
  </si>
  <si>
    <t>00011941-3</t>
  </si>
  <si>
    <t>Elenir M. dos Anjos</t>
  </si>
  <si>
    <t>00074265-3</t>
  </si>
  <si>
    <t>Isabel Lima da Silva Santos</t>
  </si>
  <si>
    <t>00027300-9</t>
  </si>
  <si>
    <t>Jeferson Anjos Oliveira</t>
  </si>
  <si>
    <t>00023315-1</t>
  </si>
  <si>
    <t>João Carlos N. Gomes</t>
  </si>
  <si>
    <t>00006862-4</t>
  </si>
  <si>
    <t>Paulo Pereira dos Santos</t>
  </si>
  <si>
    <t>015.045.215-28</t>
  </si>
  <si>
    <t>832625012-9</t>
  </si>
  <si>
    <t>Maria Celes Ferreira Souza</t>
  </si>
  <si>
    <t>0050164-6</t>
  </si>
  <si>
    <t>Carlisson dos R Mangab</t>
  </si>
  <si>
    <t>00018828-8</t>
  </si>
  <si>
    <t>Roberio Ivan de Oliveira</t>
  </si>
  <si>
    <t>00012825-0</t>
  </si>
  <si>
    <t>Sandra Euzébia dos Anjos</t>
  </si>
  <si>
    <t>0350565-0</t>
  </si>
  <si>
    <t>Girleide Santana</t>
  </si>
  <si>
    <t>00006184-0</t>
  </si>
  <si>
    <t>Cleber de Jesus Oliveira</t>
  </si>
  <si>
    <t>0003149-6</t>
  </si>
  <si>
    <t>Elisangela Maria de Souza</t>
  </si>
  <si>
    <t>0523153-1</t>
  </si>
  <si>
    <t>631.698.275-53</t>
  </si>
  <si>
    <t>Joelma da Silva Pereira</t>
  </si>
  <si>
    <t>00021566-8</t>
  </si>
  <si>
    <t>Erivalda Pereira Brito</t>
  </si>
  <si>
    <t>00016714-3</t>
  </si>
  <si>
    <t>Antônio Alves dos Santos</t>
  </si>
  <si>
    <t>683.561.705-59</t>
  </si>
  <si>
    <t>000837229775-2</t>
  </si>
  <si>
    <t>Rubia Oliveira Santos</t>
  </si>
  <si>
    <t>3806-1</t>
  </si>
  <si>
    <t>0001745-0</t>
  </si>
  <si>
    <t>José Carlos Ferreira</t>
  </si>
  <si>
    <t>1000703-8</t>
  </si>
  <si>
    <t>Emerson Alves de Jesus</t>
  </si>
  <si>
    <t>00007374-2</t>
  </si>
  <si>
    <t>Mônica Viana Anjos</t>
  </si>
  <si>
    <t>18.433-0</t>
  </si>
  <si>
    <t>Leandro de Andrade Souza</t>
  </si>
  <si>
    <t>00000398-9</t>
  </si>
  <si>
    <t>Nilton Rodrigues Pires</t>
  </si>
  <si>
    <t>00023824-2</t>
  </si>
  <si>
    <t>Joane Jesus dos Santos</t>
  </si>
  <si>
    <t>082.751.805-62</t>
  </si>
  <si>
    <t>0234023-2</t>
  </si>
  <si>
    <t>Romário Nascimento Santos</t>
  </si>
  <si>
    <t>Adão Xavier de Souza</t>
  </si>
  <si>
    <t>00046718-2</t>
  </si>
  <si>
    <t>Erenilza de Jesus Oliveira</t>
  </si>
  <si>
    <t>00010110-9</t>
  </si>
  <si>
    <t>Maria Amoza P. de Jesus</t>
  </si>
  <si>
    <t>00019125-4</t>
  </si>
  <si>
    <t>Gildevan Mendes de Morais</t>
  </si>
  <si>
    <t>00004113-0</t>
  </si>
  <si>
    <t>Alessandro S dos Santos</t>
  </si>
  <si>
    <t>0008183-3</t>
  </si>
  <si>
    <t>Paulo Augusto de Souza</t>
  </si>
  <si>
    <t>0523701-7</t>
  </si>
  <si>
    <t>Paulo Sérgio de Jesus Cruz</t>
  </si>
  <si>
    <t>052.373.295-35</t>
  </si>
  <si>
    <t>Gilvania de Jesus Brito</t>
  </si>
  <si>
    <t>00005179-7</t>
  </si>
  <si>
    <t>Sacha Bispo da Silva</t>
  </si>
  <si>
    <t>00004756-8</t>
  </si>
  <si>
    <t>Marinalva F Evangelista</t>
  </si>
  <si>
    <t>0004921-2</t>
  </si>
  <si>
    <t>Livia Ferreira Martins</t>
  </si>
  <si>
    <t>00036986-3</t>
  </si>
  <si>
    <t>Morivaldo Oliveira Bispo</t>
  </si>
  <si>
    <t>00030159-7</t>
  </si>
  <si>
    <t>Edineia Martins da Silva</t>
  </si>
  <si>
    <t>00027835-0</t>
  </si>
  <si>
    <t>Danilo Teles Marciel</t>
  </si>
  <si>
    <t>0003888-1</t>
  </si>
  <si>
    <t>Camila Santos Lima</t>
  </si>
  <si>
    <t>0003614-5</t>
  </si>
  <si>
    <t>0003393-6</t>
  </si>
  <si>
    <t>Erionice Jesus da Silva</t>
  </si>
  <si>
    <t>00003460-4</t>
  </si>
  <si>
    <t>Luzia Santos da Silva</t>
  </si>
  <si>
    <t>0003635-8</t>
  </si>
  <si>
    <t>João Francisco da Silva</t>
  </si>
  <si>
    <t>0064321-1</t>
  </si>
  <si>
    <t>Gilvandia Silva Alves</t>
  </si>
  <si>
    <t>0350253-8</t>
  </si>
  <si>
    <t>Gilson da Silva Pereira</t>
  </si>
  <si>
    <t>00006961-0</t>
  </si>
  <si>
    <t>Reinilson Oliveira Souza</t>
  </si>
  <si>
    <t>00018338-3</t>
  </si>
  <si>
    <t>Isaque Rosa de Souza</t>
  </si>
  <si>
    <t>0002203-9</t>
  </si>
  <si>
    <t>Marlene Gaspar de Souza</t>
  </si>
  <si>
    <t>0003390-1</t>
  </si>
  <si>
    <t>Clesia Souza Santos</t>
  </si>
  <si>
    <t>1003160-5</t>
  </si>
  <si>
    <t>Narina Santana Machado</t>
  </si>
  <si>
    <t>00006099-1</t>
  </si>
  <si>
    <t>José Carlos Araújo Gomes</t>
  </si>
  <si>
    <t>00005064-4</t>
  </si>
  <si>
    <t>Paulo Ricardo J. Santos</t>
  </si>
  <si>
    <t>00006305-2</t>
  </si>
  <si>
    <t>Tamires Pereira de Souza</t>
  </si>
  <si>
    <t>00014796-4</t>
  </si>
  <si>
    <t>Sandra Gonçalves Alves</t>
  </si>
  <si>
    <t>00000919-4</t>
  </si>
  <si>
    <t>Robson de Souza Santos</t>
  </si>
  <si>
    <t>00020376-7</t>
  </si>
  <si>
    <t>Sara Alves de Brito</t>
  </si>
  <si>
    <t>0001727-2</t>
  </si>
  <si>
    <t>Romário A. Santos</t>
  </si>
  <si>
    <t>00016960-7</t>
  </si>
  <si>
    <t>Raimunda O. Anjos</t>
  </si>
  <si>
    <t>12.269-6</t>
  </si>
  <si>
    <t>Virlene Bispo Mercês</t>
  </si>
  <si>
    <t>1000689-9</t>
  </si>
  <si>
    <t>Jilson Barbosa Oliveira</t>
  </si>
  <si>
    <t>00039599-6</t>
  </si>
  <si>
    <t>Marinalva Gonçalves Silva</t>
  </si>
  <si>
    <t>00014772-8</t>
  </si>
  <si>
    <t>Lourito Ferreira de Novais</t>
  </si>
  <si>
    <t>0008794-7</t>
  </si>
  <si>
    <t>Vera Lúcia Francisca de Souza</t>
  </si>
  <si>
    <t>309.768.018-76</t>
  </si>
  <si>
    <t>1000282-6</t>
  </si>
  <si>
    <t>Tereza Emília de Novais</t>
  </si>
  <si>
    <t>0060404-7</t>
  </si>
  <si>
    <t>Taciara Cruz Alves</t>
  </si>
  <si>
    <t>0004106-8</t>
  </si>
  <si>
    <t>Edileuza Cordeiro Paula</t>
  </si>
  <si>
    <t>00001555-7</t>
  </si>
  <si>
    <t>Tamires Dourado de Oliveira</t>
  </si>
  <si>
    <t>00083659-5</t>
  </si>
  <si>
    <t>Simone Almeida Oliveira</t>
  </si>
  <si>
    <t>341.815.708-43</t>
  </si>
  <si>
    <t>10.249-0</t>
  </si>
  <si>
    <t>Claudio O. Ferreira</t>
  </si>
  <si>
    <t>00076257-3</t>
  </si>
  <si>
    <t>5490-9</t>
  </si>
  <si>
    <t>Daniela dos Anjos Souza</t>
  </si>
  <si>
    <t>00020121-7</t>
  </si>
  <si>
    <t>Vanessa Sampaio Santiago</t>
  </si>
  <si>
    <t>757.116.801-53</t>
  </si>
  <si>
    <t>000807746528-3</t>
  </si>
  <si>
    <t>Elizabete Sa Teles Sena</t>
  </si>
  <si>
    <t>035.617.935-41</t>
  </si>
  <si>
    <t>00005690-0</t>
  </si>
  <si>
    <t>Valdeque Teles Santos</t>
  </si>
  <si>
    <t>1002374-2</t>
  </si>
  <si>
    <t>Ivanilda Morais de Sousa</t>
  </si>
  <si>
    <t>2723-5</t>
  </si>
  <si>
    <t>1010969-8</t>
  </si>
  <si>
    <t>00014804-0</t>
  </si>
  <si>
    <t>Solange Barbosa da Silva</t>
  </si>
  <si>
    <t>0005594-8</t>
  </si>
  <si>
    <t>Valéria de Jesus Bispo</t>
  </si>
  <si>
    <t>00101466-1</t>
  </si>
  <si>
    <t>Natália dos Santos Araújo</t>
  </si>
  <si>
    <t>00013945-9</t>
  </si>
  <si>
    <t>Hildeni Alves Araujo</t>
  </si>
  <si>
    <t>00024666-1</t>
  </si>
  <si>
    <t>Gisselia Santos da Silva</t>
  </si>
  <si>
    <t>00022760-0</t>
  </si>
  <si>
    <t>José Leandro Alves Costa</t>
  </si>
  <si>
    <t>00018703-6</t>
  </si>
  <si>
    <t>Robenilson da Cruz Silva</t>
  </si>
  <si>
    <t>00025062-9</t>
  </si>
  <si>
    <t>Marilene do Rosário da Conceição</t>
  </si>
  <si>
    <t>0001442-7</t>
  </si>
  <si>
    <t>Milton Rosa de Souza</t>
  </si>
  <si>
    <t>00022628-7</t>
  </si>
  <si>
    <t>Natália Ribeiro de Souza</t>
  </si>
  <si>
    <t>026.993.185-66</t>
  </si>
  <si>
    <t>0006950-7</t>
  </si>
  <si>
    <t>Edicleide Barbosa de Oliveira</t>
  </si>
  <si>
    <t>0005310-4</t>
  </si>
  <si>
    <t>Dionei J. dos Anjos</t>
  </si>
  <si>
    <t>00070601-0</t>
  </si>
  <si>
    <t>Gabriel Sa Teles de Sousa</t>
  </si>
  <si>
    <t>00006062-3</t>
  </si>
  <si>
    <t>Jildecir Martins Sampaio</t>
  </si>
  <si>
    <t>1001140-0</t>
  </si>
  <si>
    <t>Antônio Carlos Peixoto</t>
  </si>
  <si>
    <t>902.908.795-15</t>
  </si>
  <si>
    <t>000799729978-6</t>
  </si>
  <si>
    <t>Edison Brito da Silva</t>
  </si>
  <si>
    <t>00014812-0</t>
  </si>
  <si>
    <t>Gilmar Ferreira de Plinio</t>
  </si>
  <si>
    <t>1000721-6</t>
  </si>
  <si>
    <t>Mariana Silva Nunes</t>
  </si>
  <si>
    <t>0003446-0</t>
  </si>
  <si>
    <t>Celene Alves M de Matos</t>
  </si>
  <si>
    <t>00012993-1</t>
  </si>
  <si>
    <t>Jerferson Andrade de Lima</t>
  </si>
  <si>
    <t>00004561-4</t>
  </si>
  <si>
    <t>Ediene Lima Soares</t>
  </si>
  <si>
    <t>00009264-7</t>
  </si>
  <si>
    <t>Lucineide de Souza Santos</t>
  </si>
  <si>
    <t>00011119-7</t>
  </si>
  <si>
    <t>Terezinha S. Santos</t>
  </si>
  <si>
    <t>12.775-2</t>
  </si>
  <si>
    <t>Poliana Nunes dos Santos</t>
  </si>
  <si>
    <t>00023900-1</t>
  </si>
  <si>
    <t>Jose Nilton P. dos Santos</t>
  </si>
  <si>
    <t>00023729-7</t>
  </si>
  <si>
    <t>Antônio Selmo N. Marques</t>
  </si>
  <si>
    <t>00133614-2</t>
  </si>
  <si>
    <t>Edilson Ribeiro</t>
  </si>
  <si>
    <t>00022187-0</t>
  </si>
  <si>
    <t>Ivonete Euzébio dos Anjos</t>
  </si>
  <si>
    <t>0001042-1</t>
  </si>
  <si>
    <t>Fernando Sá Teles Santana</t>
  </si>
  <si>
    <t>00011398-9</t>
  </si>
  <si>
    <t>Laisa Mendes Araújo</t>
  </si>
  <si>
    <t>350353-4</t>
  </si>
  <si>
    <t>Gilderlandia Maria de Oliveira</t>
  </si>
  <si>
    <t>017.370.455-75</t>
  </si>
  <si>
    <t>835383776-3</t>
  </si>
  <si>
    <t>Marineide de Jesus Moreira</t>
  </si>
  <si>
    <t>00000371-2</t>
  </si>
  <si>
    <t>Marineide Cristina Alves</t>
  </si>
  <si>
    <t>00007479-0</t>
  </si>
  <si>
    <t>Wellington N. Ferreira</t>
  </si>
  <si>
    <t>00039924-6</t>
  </si>
  <si>
    <t>Adriana Evangelica</t>
  </si>
  <si>
    <t>00001063-2</t>
  </si>
  <si>
    <t>Joana F. da Conceição</t>
  </si>
  <si>
    <t>16.396-1</t>
  </si>
  <si>
    <t>Mario Sergio Reis da Silva</t>
  </si>
  <si>
    <t>00029029-4</t>
  </si>
  <si>
    <t>Adelmo Pinto Santana</t>
  </si>
  <si>
    <t>00004817-8</t>
  </si>
  <si>
    <t>Priscila Oliveira de Jesus</t>
  </si>
  <si>
    <t>028373-8</t>
  </si>
  <si>
    <t>Jaelson Miranda de Souza</t>
  </si>
  <si>
    <t>055.447.305-47</t>
  </si>
  <si>
    <t>000802529751-7</t>
  </si>
  <si>
    <t>Jailton Souza de Jesus</t>
  </si>
  <si>
    <t>00016334-0</t>
  </si>
  <si>
    <t>Rafael O. Alves</t>
  </si>
  <si>
    <t>803779744-7</t>
  </si>
  <si>
    <t>Crislaine Andrade Martins</t>
  </si>
  <si>
    <t>00019576-1</t>
  </si>
  <si>
    <t>Marineide Santos Santana</t>
  </si>
  <si>
    <t>00015696-3</t>
  </si>
  <si>
    <t>Valtonio Alves da Silva</t>
  </si>
  <si>
    <t>00005173-8</t>
  </si>
  <si>
    <t>Silvanete Antonio de Souza</t>
  </si>
  <si>
    <t>00010115-0</t>
  </si>
  <si>
    <t>Natália Meira de Jesus</t>
  </si>
  <si>
    <t>055.141.665-38</t>
  </si>
  <si>
    <t>000745327817-2</t>
  </si>
  <si>
    <t>Jacson de Jesus Moreira</t>
  </si>
  <si>
    <t>00021532-3</t>
  </si>
  <si>
    <t>Vanderlucia Santana Souza</t>
  </si>
  <si>
    <t>00003511-2</t>
  </si>
  <si>
    <t>Robério Silva Oliveira</t>
  </si>
  <si>
    <t>0350542-1</t>
  </si>
  <si>
    <t>472.081.045-49</t>
  </si>
  <si>
    <t>00014963-2</t>
  </si>
  <si>
    <t>Edineusa Maria de Brito</t>
  </si>
  <si>
    <t>00006733-3</t>
  </si>
  <si>
    <t>Célia dos Santos Souza</t>
  </si>
  <si>
    <t>00014972-1</t>
  </si>
  <si>
    <t>Abenailton Oliveira Costa</t>
  </si>
  <si>
    <t>092.653.455-60</t>
  </si>
  <si>
    <t>192854-6</t>
  </si>
  <si>
    <t>Genival Gomes Carmo</t>
  </si>
  <si>
    <t>00003183-1</t>
  </si>
  <si>
    <t>Iolanda Oliveira Ribeiro</t>
  </si>
  <si>
    <t>00024125-4</t>
  </si>
  <si>
    <t>Leonardo Louginho Souza</t>
  </si>
  <si>
    <t>00006331-0</t>
  </si>
  <si>
    <t>Tiago Silva de Oliveira</t>
  </si>
  <si>
    <t>0001782-5</t>
  </si>
  <si>
    <t>Genesson A. de Souza</t>
  </si>
  <si>
    <t>00023022-5</t>
  </si>
  <si>
    <t>Geniclevia Ferreira da Silva</t>
  </si>
  <si>
    <t>026.801.615-13</t>
  </si>
  <si>
    <t>Janice Santana dos Santos</t>
  </si>
  <si>
    <t>1001717-3</t>
  </si>
  <si>
    <t>Jessica Soares Oliveira</t>
  </si>
  <si>
    <t>00084300-0</t>
  </si>
  <si>
    <t>Daelcio Oliveira</t>
  </si>
  <si>
    <t>070.668.555-58</t>
  </si>
  <si>
    <t>00023179-5</t>
  </si>
  <si>
    <t>Gleito E. S. Souza</t>
  </si>
  <si>
    <t>00007215-1</t>
  </si>
  <si>
    <t>Ana N. Santos Soares</t>
  </si>
  <si>
    <t>15.629-9</t>
  </si>
  <si>
    <t>Dermivania de Souza Cedro</t>
  </si>
  <si>
    <t>00020339-5</t>
  </si>
  <si>
    <t>Elisangela Marciana de Souza</t>
  </si>
  <si>
    <t>030.614.545-60</t>
  </si>
  <si>
    <t>000804541823-9</t>
  </si>
  <si>
    <t>Manelito Silva A. Souza</t>
  </si>
  <si>
    <t>00007921-9</t>
  </si>
  <si>
    <t>Lívia Sousa Gonçalves</t>
  </si>
  <si>
    <t>0004280-3</t>
  </si>
  <si>
    <t>Ivonaldo Sousa Silva</t>
  </si>
  <si>
    <t>00004638-6</t>
  </si>
  <si>
    <t>Anderson de Sousa Pereira</t>
  </si>
  <si>
    <t>00020105-5</t>
  </si>
  <si>
    <t>Flávia de S. Cedro</t>
  </si>
  <si>
    <t>00005981-3</t>
  </si>
  <si>
    <t>Mª de Lourdes M. Oliveira</t>
  </si>
  <si>
    <t>00008694-9</t>
  </si>
  <si>
    <t>Leidiane Souza dos Santos</t>
  </si>
  <si>
    <t>Janilson Francisco dos Santos</t>
  </si>
  <si>
    <t>00016531-9</t>
  </si>
  <si>
    <t>Marivania Teles Oliveira</t>
  </si>
  <si>
    <t>3538-6</t>
  </si>
  <si>
    <t>0005253-1</t>
  </si>
  <si>
    <t>Lindinalva Rosa dos Santos</t>
  </si>
  <si>
    <t>024.881.885-65</t>
  </si>
  <si>
    <t>000800125575-0</t>
  </si>
  <si>
    <t>Juliana Silva da Conceição</t>
  </si>
  <si>
    <t>00015507-0</t>
  </si>
  <si>
    <t>Eloisa Santana Guimarães</t>
  </si>
  <si>
    <t>0521931-0</t>
  </si>
  <si>
    <t>0294-1</t>
  </si>
  <si>
    <t>1014181-8</t>
  </si>
  <si>
    <t>Euciléia Santos</t>
  </si>
  <si>
    <t>00020018-0</t>
  </si>
  <si>
    <t>Carine Souza de Jesus</t>
  </si>
  <si>
    <t>00020099-7</t>
  </si>
  <si>
    <t>Vanilza Pereira de Souza</t>
  </si>
  <si>
    <t>00072112-7</t>
  </si>
  <si>
    <t>872-9</t>
  </si>
  <si>
    <t>Jilmaene Pereira de Souza</t>
  </si>
  <si>
    <t>854053096-0</t>
  </si>
  <si>
    <t>Valcira Araújo  de Souza</t>
  </si>
  <si>
    <t>00001768-6</t>
  </si>
  <si>
    <t>José Alves de Souza</t>
  </si>
  <si>
    <t>1000397-0</t>
  </si>
  <si>
    <t>Cosme Almeida Santos</t>
  </si>
  <si>
    <t>0002530-5</t>
  </si>
  <si>
    <t>Fabiana Ribeiro Costa</t>
  </si>
  <si>
    <t>00025581-6</t>
  </si>
  <si>
    <t>Jaciara Santos Nascimento</t>
  </si>
  <si>
    <t>00000604-5</t>
  </si>
  <si>
    <t>Jeane Silva dos Santos</t>
  </si>
  <si>
    <t>00012163-9</t>
  </si>
  <si>
    <t>Gilmar dos Santos Alves</t>
  </si>
  <si>
    <t>059.165.595-00</t>
  </si>
  <si>
    <t>0004264-1</t>
  </si>
  <si>
    <t>Anaclecia Santos Lopes</t>
  </si>
  <si>
    <t>00033941-9</t>
  </si>
  <si>
    <t>Edriana Costa dos Santos</t>
  </si>
  <si>
    <t>00015143-0</t>
  </si>
  <si>
    <t>Lúcio de Jesus Souza</t>
  </si>
  <si>
    <t>00005495-8</t>
  </si>
  <si>
    <t>077.753.585-80</t>
  </si>
  <si>
    <t>530094-0</t>
  </si>
  <si>
    <t>Almir de Jesus Carvalho</t>
  </si>
  <si>
    <t>00023222-8</t>
  </si>
  <si>
    <t>Luciana dos Anjos Costa</t>
  </si>
  <si>
    <t>855654528-7</t>
  </si>
  <si>
    <t>Domingas Betania de Souza</t>
  </si>
  <si>
    <t>Gilson Alves Ribeiro</t>
  </si>
  <si>
    <t>Ana Lucia Sena Meira</t>
  </si>
  <si>
    <t>550.716.005-87</t>
  </si>
  <si>
    <t>000793734757-1</t>
  </si>
  <si>
    <t>Ana Cedro Alves Santos</t>
  </si>
  <si>
    <t>10.936-3</t>
  </si>
  <si>
    <t>Valdirene Alve Pereira</t>
  </si>
  <si>
    <t>00010519-9</t>
  </si>
  <si>
    <t>Valdir Pereira S. Souza</t>
  </si>
  <si>
    <t>00020749-5</t>
  </si>
  <si>
    <t>Reinaldo Costa da Rocha</t>
  </si>
  <si>
    <t>1001578-2</t>
  </si>
  <si>
    <t>8.282-1</t>
  </si>
  <si>
    <t>Aristeu Gomes de Souza</t>
  </si>
  <si>
    <t>00004168-8</t>
  </si>
  <si>
    <t>Maria Glória Gomes Sousa</t>
  </si>
  <si>
    <t>18.352-0</t>
  </si>
  <si>
    <t>Joseval Gomes de Souza</t>
  </si>
  <si>
    <t>00008009-8</t>
  </si>
  <si>
    <t>Darleide Oliveira Santos</t>
  </si>
  <si>
    <t>00084963-6</t>
  </si>
  <si>
    <t>Antônio Cesar dos Santos</t>
  </si>
  <si>
    <t>19.611-8</t>
  </si>
  <si>
    <t>Maria Rodrigues de Souza</t>
  </si>
  <si>
    <t>Andrea Oliveira Moraes</t>
  </si>
  <si>
    <t>048.782.595-07</t>
  </si>
  <si>
    <t>00022919-8</t>
  </si>
  <si>
    <t>Sidione Oliveira Medeiros</t>
  </si>
  <si>
    <t>043.195.625-18</t>
  </si>
  <si>
    <t>00070170-8</t>
  </si>
  <si>
    <t>Daniel da Silva Santos</t>
  </si>
  <si>
    <t>17.931-0</t>
  </si>
  <si>
    <t>Marieta Rosa da Silva</t>
  </si>
  <si>
    <t>752.689.065-34</t>
  </si>
  <si>
    <t>16.811-4</t>
  </si>
  <si>
    <t>Luciene Silva de Oliveira</t>
  </si>
  <si>
    <t>0350384-4</t>
  </si>
  <si>
    <t>Fernando Pires Souza</t>
  </si>
  <si>
    <t>14.077-5</t>
  </si>
  <si>
    <t>Danilo Moraes dos Santos</t>
  </si>
  <si>
    <t>00087048-1</t>
  </si>
  <si>
    <t>058.402.785-05</t>
  </si>
  <si>
    <t>Givanildo Oliveira Santos</t>
  </si>
  <si>
    <t>00009125-0</t>
  </si>
  <si>
    <t>Erasmo C. Alves de Souza</t>
  </si>
  <si>
    <t>0523740-8</t>
  </si>
  <si>
    <t>Maria Nilma Silva Oliveira</t>
  </si>
  <si>
    <t>6176-0</t>
  </si>
  <si>
    <t>0365827-9</t>
  </si>
  <si>
    <t>Samara Matos de Souza</t>
  </si>
  <si>
    <t>00000076-6</t>
  </si>
  <si>
    <t>Marcos Alves da Silva</t>
  </si>
  <si>
    <t>00023966-4</t>
  </si>
  <si>
    <t>Luzia Oliveira A. Souza</t>
  </si>
  <si>
    <t>00001187-5</t>
  </si>
  <si>
    <t>Flávia de Sousa Fernandes</t>
  </si>
  <si>
    <t>16.319-8</t>
  </si>
  <si>
    <t>Jorge dos Santos Soares</t>
  </si>
  <si>
    <t>329.769.638-94</t>
  </si>
  <si>
    <t>12.756-6</t>
  </si>
  <si>
    <t>Luciene Lima dos Santos</t>
  </si>
  <si>
    <t>040.539.045-95</t>
  </si>
  <si>
    <t>854854632-6</t>
  </si>
  <si>
    <t>Aparecida Pereira Barbosa</t>
  </si>
  <si>
    <t>839937376-0</t>
  </si>
  <si>
    <t>Daniel Conceiçao Silva</t>
  </si>
  <si>
    <t>073.895.245-10</t>
  </si>
  <si>
    <t>00007348-0</t>
  </si>
  <si>
    <t>Rubevaldo Santos Silva</t>
  </si>
  <si>
    <t>00013323-0</t>
  </si>
  <si>
    <t>Maicon Santos de Oliveira</t>
  </si>
  <si>
    <t>11.784-6</t>
  </si>
  <si>
    <t>Maria  Aparecida Inácio da Silva</t>
  </si>
  <si>
    <t>00010270-9</t>
  </si>
  <si>
    <t>Silvana Damasceno Lisboa</t>
  </si>
  <si>
    <t>068.275.485-46</t>
  </si>
  <si>
    <t>000803237491-2</t>
  </si>
  <si>
    <t>Silas S Santos/Marli R. de Jesus</t>
  </si>
  <si>
    <t>00007826-0</t>
  </si>
  <si>
    <t>834.766.525-72</t>
  </si>
  <si>
    <t>João Batista Souza Andrade</t>
  </si>
  <si>
    <t>0006135-2</t>
  </si>
  <si>
    <t>Robson Brito Silva Souza</t>
  </si>
  <si>
    <t>00002100-1</t>
  </si>
  <si>
    <t>Eliomarcio Henrique Sales</t>
  </si>
  <si>
    <t>869940277-3</t>
  </si>
  <si>
    <t>Vanderleia M. da Silva</t>
  </si>
  <si>
    <t>00073038-8</t>
  </si>
  <si>
    <t>Adeni Lopes do Nascimento</t>
  </si>
  <si>
    <t>00002114-5</t>
  </si>
  <si>
    <t>Fernando S. Nascimento</t>
  </si>
  <si>
    <t>00011114-7</t>
  </si>
  <si>
    <t>Luciene Souza Brandão</t>
  </si>
  <si>
    <t>00025350-4</t>
  </si>
  <si>
    <t>Viviana dos Santos Sousa</t>
  </si>
  <si>
    <t>087.086.315-06</t>
  </si>
  <si>
    <t>00078133-0</t>
  </si>
  <si>
    <t>Kesia Priscila C. Santos</t>
  </si>
  <si>
    <t>849302718-7</t>
  </si>
  <si>
    <t>Melecio N. S. de Oliveira</t>
  </si>
  <si>
    <t>00074069-3</t>
  </si>
  <si>
    <t>Tatiana Lima Pereira</t>
  </si>
  <si>
    <t>00013076-1</t>
  </si>
  <si>
    <t>Edclei Francisco de Souza</t>
  </si>
  <si>
    <t>0520747-9</t>
  </si>
  <si>
    <t>Maria Nilde de Jesus</t>
  </si>
  <si>
    <t>00010427-3</t>
  </si>
  <si>
    <t>Laureneide Bispo Cardoso</t>
  </si>
  <si>
    <t>00010960-6</t>
  </si>
  <si>
    <t>Alex Sandro L. Pereira</t>
  </si>
  <si>
    <t>14.790-7</t>
  </si>
  <si>
    <t>Antônio Salvador Souza</t>
  </si>
  <si>
    <t>20.718-7</t>
  </si>
  <si>
    <t>José Humberto da Silva</t>
  </si>
  <si>
    <t>003.396.565-06</t>
  </si>
  <si>
    <t>000866694039-3</t>
  </si>
  <si>
    <t>Sabrina Silva Ribeiro</t>
  </si>
  <si>
    <t>00008966-4</t>
  </si>
  <si>
    <t>Agnaldo dos Santos Nago</t>
  </si>
  <si>
    <t>00015119-0</t>
  </si>
  <si>
    <t>Flávio B. Oliveira Pereira</t>
  </si>
  <si>
    <t>0350220-1</t>
  </si>
  <si>
    <t>Natan Lopes dos Santos</t>
  </si>
  <si>
    <t>00023841-2</t>
  </si>
  <si>
    <t>Elzita Maria de Souza</t>
  </si>
  <si>
    <t>00004923-7</t>
  </si>
  <si>
    <t>Flamarion Sá Teles de Oliveira</t>
  </si>
  <si>
    <t>00021434-3</t>
  </si>
  <si>
    <t>Uenio dos Anjos Meira</t>
  </si>
  <si>
    <t>00008538-3</t>
  </si>
  <si>
    <t>Genivaldo Gaspar de Souza</t>
  </si>
  <si>
    <t>1000654-6</t>
  </si>
  <si>
    <t>Leandro dos Anjos Santos</t>
  </si>
  <si>
    <t>0002739-1</t>
  </si>
  <si>
    <t>Leiliane dos Santos Nunes</t>
  </si>
  <si>
    <t>060.687.785-17</t>
  </si>
  <si>
    <t>800126095-8</t>
  </si>
  <si>
    <t>Manelito da Silva Araújo</t>
  </si>
  <si>
    <t>043.216.215-18</t>
  </si>
  <si>
    <t>00009610-7</t>
  </si>
  <si>
    <t>0007361-9</t>
  </si>
  <si>
    <t>Anailde Sousa Salvador</t>
  </si>
  <si>
    <t>042.724.665-26</t>
  </si>
  <si>
    <t>16.040-7</t>
  </si>
  <si>
    <t>Elizabete J. Souza</t>
  </si>
  <si>
    <t>14.888-1</t>
  </si>
  <si>
    <t>Oseias de Souza Araújo</t>
  </si>
  <si>
    <t>00050380-5</t>
  </si>
  <si>
    <t>Messias Silva Lima</t>
  </si>
  <si>
    <t>00072275-1</t>
  </si>
  <si>
    <t>Aldai Souza Costa</t>
  </si>
  <si>
    <t>00006586-0</t>
  </si>
  <si>
    <t>Gesiane Santos Pires</t>
  </si>
  <si>
    <t>Lucineide da Silva Valeiro</t>
  </si>
  <si>
    <t>Gilvando Correia Caneiro</t>
  </si>
  <si>
    <t>00009989-2</t>
  </si>
  <si>
    <t>Eulália Oliveira Costa</t>
  </si>
  <si>
    <t>Noelma da Silva Santos</t>
  </si>
  <si>
    <t>00013715-8</t>
  </si>
  <si>
    <t>Sidalva C. da Silva</t>
  </si>
  <si>
    <t>031.464.875-51</t>
  </si>
  <si>
    <t>00000910-0</t>
  </si>
  <si>
    <t>Cleuma dos Santos Vitor</t>
  </si>
  <si>
    <t>00011784-4</t>
  </si>
  <si>
    <t>Valnier Alves Souza</t>
  </si>
  <si>
    <t>00012412-3</t>
  </si>
  <si>
    <t>Laiza Costa Ribeiro</t>
  </si>
  <si>
    <t>0002450-3</t>
  </si>
  <si>
    <t>Lucilene Costa Nunes</t>
  </si>
  <si>
    <t>00023784-0</t>
  </si>
  <si>
    <t>Rodrigo Barbosa da Silva</t>
  </si>
  <si>
    <t>0640173-2</t>
  </si>
  <si>
    <t>Mª Madalena Lima Santos</t>
  </si>
  <si>
    <t>Abenailton Souza de Jesus</t>
  </si>
  <si>
    <t>0523018-7</t>
  </si>
  <si>
    <t>Adilma dos Santos Silva</t>
  </si>
  <si>
    <t>Rosenir da Cruz Santos</t>
  </si>
  <si>
    <t>00012217-1</t>
  </si>
  <si>
    <t>Silvoneide Ferreira Lima</t>
  </si>
  <si>
    <t>Edvânia Fernandes Brito</t>
  </si>
  <si>
    <t>00024117-1</t>
  </si>
  <si>
    <t>Vanessa Leite Santana</t>
  </si>
  <si>
    <t>000804443215-7</t>
  </si>
  <si>
    <t>Joelza Alves de Souza</t>
  </si>
  <si>
    <t>034.783.855-39</t>
  </si>
  <si>
    <t>855654749-2</t>
  </si>
  <si>
    <t>Luciene Ferreira da Silva</t>
  </si>
  <si>
    <t>028.587.275-38</t>
  </si>
  <si>
    <t>000851459542-1</t>
  </si>
  <si>
    <t>00026204-7</t>
  </si>
  <si>
    <t>Dilma Alves da Silva</t>
  </si>
  <si>
    <t>00013884-4</t>
  </si>
  <si>
    <t>Sebastião Macaúbas Santos</t>
  </si>
  <si>
    <t>Delmires Miranda</t>
  </si>
  <si>
    <t>00022660-0</t>
  </si>
  <si>
    <t>Ideane Jesus de Oliveira</t>
  </si>
  <si>
    <t>1000216-8</t>
  </si>
  <si>
    <t>Eliana Souza Pereira</t>
  </si>
  <si>
    <t>00012817-1</t>
  </si>
  <si>
    <t>Robervaldo Pereira Barbosa</t>
  </si>
  <si>
    <t>003.002.735-76</t>
  </si>
  <si>
    <t>0064298-3</t>
  </si>
  <si>
    <t>Pedro Francisco de Oliveira</t>
  </si>
  <si>
    <t>0520953-6</t>
  </si>
  <si>
    <t>Gildásio Carvalho Santos</t>
  </si>
  <si>
    <t>00024099-2</t>
  </si>
  <si>
    <t>Mª Aparecida Santos de Jesus</t>
  </si>
  <si>
    <t>00020776-3</t>
  </si>
  <si>
    <t>John Lennon Teles de Lima</t>
  </si>
  <si>
    <t>039.434.895-82</t>
  </si>
  <si>
    <t>428062-8</t>
  </si>
  <si>
    <t>Apolonio F. Conceição</t>
  </si>
  <si>
    <t>00018439-8</t>
  </si>
  <si>
    <t>Paulino Marques da Silva</t>
  </si>
  <si>
    <t>856456684-0</t>
  </si>
  <si>
    <t>Silene Fernandes da Silva</t>
  </si>
  <si>
    <t>015.697.575-00</t>
  </si>
  <si>
    <t>000805746791-4</t>
  </si>
  <si>
    <t>Marilene de Jesus Ribeiro</t>
  </si>
  <si>
    <t>00012137-2</t>
  </si>
  <si>
    <t>Cícero Severino dos Santos</t>
  </si>
  <si>
    <t>0063057-8</t>
  </si>
  <si>
    <t>Núbia Aquino de Souza</t>
  </si>
  <si>
    <t>023.646.445-00</t>
  </si>
  <si>
    <t>791913215-1</t>
  </si>
  <si>
    <t>Eliane Souza dos Santos</t>
  </si>
  <si>
    <t>0350170-1</t>
  </si>
  <si>
    <t>Emerson Oliveira Costa</t>
  </si>
  <si>
    <t>2556-9</t>
  </si>
  <si>
    <t>0011255-0</t>
  </si>
  <si>
    <t>Cristian Nilton S Pires</t>
  </si>
  <si>
    <t>120.755.625-47</t>
  </si>
  <si>
    <t>933934155-0</t>
  </si>
  <si>
    <t>Lucas Soares Belo</t>
  </si>
  <si>
    <t>00015000-2</t>
  </si>
  <si>
    <t>Cleomaria Lira Neres Sousa</t>
  </si>
  <si>
    <t>7526-4</t>
  </si>
  <si>
    <t>0637718-1</t>
  </si>
  <si>
    <t>Aline Moares Gabriel</t>
  </si>
  <si>
    <t>0001037-5</t>
  </si>
  <si>
    <t>Ana Maria Santos Soares</t>
  </si>
  <si>
    <t>00011461-7</t>
  </si>
  <si>
    <t>Agostinho Jesus Oliveira</t>
  </si>
  <si>
    <t>00006975-1</t>
  </si>
  <si>
    <t>850381562-0</t>
  </si>
  <si>
    <t>Elieusa Sampaio Ramos</t>
  </si>
  <si>
    <t>003.927.625-28</t>
  </si>
  <si>
    <t>000835383829-8</t>
  </si>
  <si>
    <t>Odelito Ferreira de Souza</t>
  </si>
  <si>
    <t>00040301-5</t>
  </si>
  <si>
    <t>Santilha Barbosa da Silva</t>
  </si>
  <si>
    <t>Ivanilson de Souza Pinto</t>
  </si>
  <si>
    <t>Iolanda Conceição de Melo</t>
  </si>
  <si>
    <t>00006499-7</t>
  </si>
  <si>
    <t>Dernival D. Moura</t>
  </si>
  <si>
    <t>10.379-9</t>
  </si>
  <si>
    <t>032.313.555-24</t>
  </si>
  <si>
    <t>Selma Aguida Sá Teles</t>
  </si>
  <si>
    <t>013.574.725-28</t>
  </si>
  <si>
    <t>00023127-2</t>
  </si>
  <si>
    <t>Shirley de S Santos</t>
  </si>
  <si>
    <t>858890288-3</t>
  </si>
  <si>
    <t>Jorge Rodrigues Oliveira</t>
  </si>
  <si>
    <t>802529872-6</t>
  </si>
  <si>
    <t>Viterbo Farias Dias Filho</t>
  </si>
  <si>
    <t>18.604-X</t>
  </si>
  <si>
    <t>Marialva Silva de Brito</t>
  </si>
  <si>
    <t>401.462.785-34</t>
  </si>
  <si>
    <t>Sandra Pereira dos Santos</t>
  </si>
  <si>
    <t>006.979.865-60</t>
  </si>
  <si>
    <t>00012407-8</t>
  </si>
  <si>
    <t>Lucivane Bispo dos Santos</t>
  </si>
  <si>
    <t>00012918-6</t>
  </si>
  <si>
    <t>Celio Santos de Oliveira</t>
  </si>
  <si>
    <t>Pedro Santana dos Santos</t>
  </si>
  <si>
    <t>14.177-1</t>
  </si>
  <si>
    <t>Ladislei Bispo Almeida</t>
  </si>
  <si>
    <t>1531-8</t>
  </si>
  <si>
    <t>1000208-7</t>
  </si>
  <si>
    <t>Fabiana Oliveira Maciel</t>
  </si>
  <si>
    <t>Tarcísio L. do Nascimento</t>
  </si>
  <si>
    <t>00005330-9</t>
  </si>
  <si>
    <t>Vanderlei de Jesus Souza</t>
  </si>
  <si>
    <t>3738-9</t>
  </si>
  <si>
    <t>0276697-3</t>
  </si>
  <si>
    <t>Marcelo Silva Bispo</t>
  </si>
  <si>
    <t>871263322-2</t>
  </si>
  <si>
    <t>José Nilton P dos Santos</t>
  </si>
  <si>
    <t>Alane Dias de Oliveira</t>
  </si>
  <si>
    <t>00023779-3</t>
  </si>
  <si>
    <t>Jociel Jesus de Souza</t>
  </si>
  <si>
    <t>041.939.375-77</t>
  </si>
  <si>
    <t>000838155313-8</t>
  </si>
  <si>
    <t>Cidinei de Souza Bispo</t>
  </si>
  <si>
    <t>804938842-3</t>
  </si>
  <si>
    <t>Raimunda Oliveira dos Anjos</t>
  </si>
  <si>
    <t>00007713-6</t>
  </si>
  <si>
    <t>Mª de Lurdes Ramalho de Oliveira</t>
  </si>
  <si>
    <t>00006273-3</t>
  </si>
  <si>
    <t>00020102-6</t>
  </si>
  <si>
    <t>Luzinete Gomes</t>
  </si>
  <si>
    <t>00007071-7</t>
  </si>
  <si>
    <t>Godofredo Santos Vieira</t>
  </si>
  <si>
    <t>00014985-3</t>
  </si>
  <si>
    <t>Vilmarcos Santana Bastos</t>
  </si>
  <si>
    <t>068.672.985-40</t>
  </si>
  <si>
    <t>00023809-9</t>
  </si>
  <si>
    <t>Eleaci Silva Araújo Alves</t>
  </si>
  <si>
    <t>1000770-4</t>
  </si>
  <si>
    <t>Enivaldo de Souza Silva</t>
  </si>
  <si>
    <t>804063116-3</t>
  </si>
  <si>
    <t>Egídio de Jesus</t>
  </si>
  <si>
    <t>000.226.545-18</t>
  </si>
  <si>
    <t>000875563432-8</t>
  </si>
  <si>
    <t>Lucimara Bispo da Silva</t>
  </si>
  <si>
    <t>860460519-1</t>
  </si>
  <si>
    <t>Mª Cristina dos Santos</t>
  </si>
  <si>
    <t>00033014-4</t>
  </si>
  <si>
    <t>Rosenir de Jesus Souza</t>
  </si>
  <si>
    <t>0005209-4</t>
  </si>
  <si>
    <t>Rone Cleia dos Santos</t>
  </si>
  <si>
    <t>853252232-5</t>
  </si>
  <si>
    <t>Andreane de Souza Batista</t>
  </si>
  <si>
    <t>853251561-2</t>
  </si>
  <si>
    <t>Ozania Conceição Santos</t>
  </si>
  <si>
    <t>0007713-5</t>
  </si>
  <si>
    <t>José Luiz S Nascimento</t>
  </si>
  <si>
    <t>0005812-4</t>
  </si>
  <si>
    <t>0520565-4</t>
  </si>
  <si>
    <t>Geovaldo Vieira de Souza</t>
  </si>
  <si>
    <t>00022261-3</t>
  </si>
  <si>
    <t>Ana Paula Lopes Silva</t>
  </si>
  <si>
    <t>078.350.895-64</t>
  </si>
  <si>
    <t>35401-5</t>
  </si>
  <si>
    <t>Marilene Rodrigues Silva</t>
  </si>
  <si>
    <t>00023833-1</t>
  </si>
  <si>
    <t>Altamira Candido Profeta</t>
  </si>
  <si>
    <t>012.943.595-33</t>
  </si>
  <si>
    <t>000863350313-0</t>
  </si>
  <si>
    <t>Marly Oliveira dos Santos</t>
  </si>
  <si>
    <t>005.926.115-31</t>
  </si>
  <si>
    <t>000867366546-7</t>
  </si>
  <si>
    <t>Edcleide Alves de Jesus</t>
  </si>
  <si>
    <t>00020208-6</t>
  </si>
  <si>
    <t>Juraci Jesus dos Santos</t>
  </si>
  <si>
    <t>00010432-7</t>
  </si>
  <si>
    <t>Aleandra Jesus da Silva</t>
  </si>
  <si>
    <t>21.746-8</t>
  </si>
  <si>
    <t>Rosinei Trindade Santana</t>
  </si>
  <si>
    <t>000960507879-7</t>
  </si>
  <si>
    <t>Janalice Alves Oliveira</t>
  </si>
  <si>
    <t>00050182-7</t>
  </si>
  <si>
    <t>Mª Nilce O Santos</t>
  </si>
  <si>
    <t>871262445-2</t>
  </si>
  <si>
    <t>Luciana de Jesus Santos</t>
  </si>
  <si>
    <t>00020491-3</t>
  </si>
  <si>
    <t>Roseny Alves X Silva</t>
  </si>
  <si>
    <t>00010076-3</t>
  </si>
  <si>
    <t>Geovane Cardoso Sena</t>
  </si>
  <si>
    <t>868729862-3</t>
  </si>
  <si>
    <t>Rita de Cassia S Conceição</t>
  </si>
  <si>
    <t>859660874-3</t>
  </si>
  <si>
    <t>Reginaldo de Jesus Silva</t>
  </si>
  <si>
    <t>00034221-5</t>
  </si>
  <si>
    <t>Maria Neuza Alves Souza</t>
  </si>
  <si>
    <t>00031135-0</t>
  </si>
  <si>
    <t>João Lopes Nascimento Fh</t>
  </si>
  <si>
    <t>Fernanda Bispo da Silva</t>
  </si>
  <si>
    <t>00005392-0</t>
  </si>
  <si>
    <t>Simone dos Santos</t>
  </si>
  <si>
    <t>00011028-7</t>
  </si>
  <si>
    <t>Dione Pereira Gomes</t>
  </si>
  <si>
    <t>084.068.675-74</t>
  </si>
  <si>
    <t>00646051-8</t>
  </si>
  <si>
    <t>Vera L A D Oliveira</t>
  </si>
  <si>
    <t>21.886-3</t>
  </si>
  <si>
    <t>Nelza Lima Silva Santos</t>
  </si>
  <si>
    <t>00011540-2</t>
  </si>
  <si>
    <t>Mª José Silva dos Santos</t>
  </si>
  <si>
    <t>00015081-7</t>
  </si>
  <si>
    <t>Adailton Jesus da Silva</t>
  </si>
  <si>
    <t>800929688-9</t>
  </si>
  <si>
    <t>Edinalva Profeta Silva</t>
  </si>
  <si>
    <t>874367377-3</t>
  </si>
  <si>
    <t>840012144-7</t>
  </si>
  <si>
    <t>Glauce Maria de Oliveira</t>
  </si>
  <si>
    <t>0000915-6</t>
  </si>
  <si>
    <t>Cristiane S Lima dos S</t>
  </si>
  <si>
    <t>0002986-6</t>
  </si>
  <si>
    <t>Carlos Teixeira de Amorim</t>
  </si>
  <si>
    <t>070.292.466-08</t>
  </si>
  <si>
    <t>763198316-0</t>
  </si>
  <si>
    <t>Valdo Correia Alves</t>
  </si>
  <si>
    <t>3600-5</t>
  </si>
  <si>
    <t>0013602-6</t>
  </si>
  <si>
    <t>Jaqueline Souza dos Santos</t>
  </si>
  <si>
    <t>0001354-4</t>
  </si>
  <si>
    <t>Joanita Rosa de Almeida</t>
  </si>
  <si>
    <t>00011406-6</t>
  </si>
  <si>
    <t>Antônio Santos de Matos</t>
  </si>
  <si>
    <t>855654514-7</t>
  </si>
  <si>
    <t>Mª Rosa de Jesus Pereira Evangelista</t>
  </si>
  <si>
    <t>000.096.925-76</t>
  </si>
  <si>
    <t>854053157-5</t>
  </si>
  <si>
    <t>Elisangela Pereira Santos</t>
  </si>
  <si>
    <t>858860209-0</t>
  </si>
  <si>
    <t>Edvan M Santos</t>
  </si>
  <si>
    <t>2499-6</t>
  </si>
  <si>
    <t>15.028-2</t>
  </si>
  <si>
    <t>Paulo Angusto José dos Santos</t>
  </si>
  <si>
    <t>00014517-7</t>
  </si>
  <si>
    <t>Mª Betânia Silva Oliveira</t>
  </si>
  <si>
    <t>0403935-1</t>
  </si>
  <si>
    <t>Mª Elitanhia de Jesus Santos</t>
  </si>
  <si>
    <t>058.246.185-50</t>
  </si>
  <si>
    <t>22.155-4</t>
  </si>
  <si>
    <t>Claudineia Soares Passos</t>
  </si>
  <si>
    <t>22.154-6</t>
  </si>
  <si>
    <t>Almira Candida Profeta da Silva</t>
  </si>
  <si>
    <t>024.960.825-17</t>
  </si>
  <si>
    <t>749573013-8</t>
  </si>
  <si>
    <t>Ana Paula O Carvalho</t>
  </si>
  <si>
    <t>1004100-7</t>
  </si>
  <si>
    <t>Márcia Souza da Silva</t>
  </si>
  <si>
    <t>00010246-6</t>
  </si>
  <si>
    <t>Belenice Sousa Araújo</t>
  </si>
  <si>
    <t>18.105-6</t>
  </si>
  <si>
    <t>Claudenice Souza Araújo</t>
  </si>
  <si>
    <t>028.525.055-84</t>
  </si>
  <si>
    <t>000869940731-7</t>
  </si>
  <si>
    <t>Clebson Anjos Oliveira</t>
  </si>
  <si>
    <t>00023964-8</t>
  </si>
  <si>
    <t>Leodete de Souza</t>
  </si>
  <si>
    <t>00020888-2</t>
  </si>
  <si>
    <t>José A S da Silva</t>
  </si>
  <si>
    <t>Adalício Gonçalves Silva</t>
  </si>
  <si>
    <t>4535-7</t>
  </si>
  <si>
    <t>53.303-3</t>
  </si>
  <si>
    <t>Valvicls Teodoro Reis</t>
  </si>
  <si>
    <t>00014261-1</t>
  </si>
  <si>
    <t>Gilberto Alves Silva</t>
  </si>
  <si>
    <t>00013345-9</t>
  </si>
  <si>
    <t>Yngredy Silva dos Anjos</t>
  </si>
  <si>
    <t>21.682-8</t>
  </si>
  <si>
    <t>009.271.605-95</t>
  </si>
  <si>
    <t>Juraci N de Almeida</t>
  </si>
  <si>
    <t>00011214-4</t>
  </si>
  <si>
    <t>Lucineide Sousa Santos</t>
  </si>
  <si>
    <t>8.562-6</t>
  </si>
  <si>
    <t>Eliana Sousa Pereira</t>
  </si>
  <si>
    <t>000793673537-3</t>
  </si>
  <si>
    <t>Morivaldo F dos Santos</t>
  </si>
  <si>
    <t>0011125-2</t>
  </si>
  <si>
    <t>Luan Oliveira Dias</t>
  </si>
  <si>
    <t>084.633.705-35</t>
  </si>
  <si>
    <t>00017652-1</t>
  </si>
  <si>
    <t>Ricardo Santana Santos</t>
  </si>
  <si>
    <t>00002644-5</t>
  </si>
  <si>
    <t>Jomilessia Felix da Silva</t>
  </si>
  <si>
    <t>00026477-5</t>
  </si>
  <si>
    <t>Nildvan Oliveira de Jesus</t>
  </si>
  <si>
    <t>834387361-9</t>
  </si>
  <si>
    <t>Cássia Coelho Santos</t>
  </si>
  <si>
    <t>031.800.235-38</t>
  </si>
  <si>
    <t>00008066-7</t>
  </si>
  <si>
    <t>Morivaldo de J. Rodrigues</t>
  </si>
  <si>
    <t>0006952-3</t>
  </si>
  <si>
    <t>Romilza Mª de Souza</t>
  </si>
  <si>
    <t>1001805-6</t>
  </si>
  <si>
    <t>Jessica Silva dos Santos</t>
  </si>
  <si>
    <t>00011181-3</t>
  </si>
  <si>
    <t>Margarida Olegário da Cruz</t>
  </si>
  <si>
    <t>00021435-2</t>
  </si>
  <si>
    <t>Ivanilson Rodrigues de Brito</t>
  </si>
  <si>
    <t>00011635-1</t>
  </si>
  <si>
    <t>Geovane Oliveira Costa</t>
  </si>
  <si>
    <t>069.520.645.16</t>
  </si>
  <si>
    <t>00000869-7</t>
  </si>
  <si>
    <t>Benizete Rumana dos Passos</t>
  </si>
  <si>
    <t>1001120-5</t>
  </si>
  <si>
    <t>Nailza de Souza Brito</t>
  </si>
  <si>
    <t>3036-8</t>
  </si>
  <si>
    <t>0777233-5</t>
  </si>
  <si>
    <t>Simone Santos Souza</t>
  </si>
  <si>
    <t>837153644-3</t>
  </si>
  <si>
    <t>Mª de Fátima Mota dos Santos</t>
  </si>
  <si>
    <t>859662494-3</t>
  </si>
  <si>
    <t>Wagner do Nascimento Alves</t>
  </si>
  <si>
    <t>00023649-5</t>
  </si>
  <si>
    <t>Mª Glória Jesus de Oliveira</t>
  </si>
  <si>
    <t>00088163-7</t>
  </si>
  <si>
    <t>Joeme de Jesus Souza</t>
  </si>
  <si>
    <t>00079459-9</t>
  </si>
  <si>
    <t>Izabel Cassiana da Silva</t>
  </si>
  <si>
    <t>0017476-9</t>
  </si>
  <si>
    <t>Silvano Olegário da Cruz</t>
  </si>
  <si>
    <t>057.649.865-32</t>
  </si>
  <si>
    <t>00021625-0</t>
  </si>
  <si>
    <t>Simone Souza da Mota</t>
  </si>
  <si>
    <t>00010234-1</t>
  </si>
  <si>
    <t>Willian Nascimento Gomes</t>
  </si>
  <si>
    <t>00011661-0</t>
  </si>
  <si>
    <t>Osvaldo de Sousa Santos</t>
  </si>
  <si>
    <t>012.142.545-27</t>
  </si>
  <si>
    <t>793937628-5</t>
  </si>
  <si>
    <t>Edenilson Mendes de Brito</t>
  </si>
  <si>
    <t>871345758-4</t>
  </si>
  <si>
    <t>Leticia M Fratel</t>
  </si>
  <si>
    <t>00011645-9</t>
  </si>
  <si>
    <t>Elicarda Silva Alves</t>
  </si>
  <si>
    <t>840011503-0</t>
  </si>
  <si>
    <t>Marcos Passos de Brito</t>
  </si>
  <si>
    <t>800171006-6</t>
  </si>
  <si>
    <t>Adeon Oliveira Morais</t>
  </si>
  <si>
    <t>854708955-0</t>
  </si>
  <si>
    <t>Gildeir Oliveira de Morais</t>
  </si>
  <si>
    <t>00016657-0</t>
  </si>
  <si>
    <t>Roniclei Rodrigues de Brito</t>
  </si>
  <si>
    <t>1004899-0</t>
  </si>
  <si>
    <t>Romildo P Gois</t>
  </si>
  <si>
    <t>Ivonete Santos de Oliveira</t>
  </si>
  <si>
    <t>0015763-5</t>
  </si>
  <si>
    <t>Hildervânia Borges Pires</t>
  </si>
  <si>
    <t>00013895-7</t>
  </si>
  <si>
    <t>Eliene Almeida Oliveira</t>
  </si>
  <si>
    <t>Ana Rita Miranda Alves</t>
  </si>
  <si>
    <t>Móises R Morais</t>
  </si>
  <si>
    <t>00075269-1</t>
  </si>
  <si>
    <t>Jilmar Pereira de Souza</t>
  </si>
  <si>
    <t>00131524-2</t>
  </si>
  <si>
    <t>859662524-9</t>
  </si>
  <si>
    <t>Izabel Alves de Almeida</t>
  </si>
  <si>
    <t>5.702-9</t>
  </si>
  <si>
    <t>Veronice B de Oliveira</t>
  </si>
  <si>
    <t>14.171-2</t>
  </si>
  <si>
    <t>Fernando M Silva</t>
  </si>
  <si>
    <t>Natalício N de Jesus</t>
  </si>
  <si>
    <t>00011059-0</t>
  </si>
  <si>
    <t>Ademário Nascimento de Melo</t>
  </si>
  <si>
    <t>247.699.318-24</t>
  </si>
  <si>
    <t>00014312-0</t>
  </si>
  <si>
    <t>Noélia Rosa Machado</t>
  </si>
  <si>
    <t>832550288-4</t>
  </si>
  <si>
    <t>Zenilda Miranda de Ribeiro</t>
  </si>
  <si>
    <t>21.911-8</t>
  </si>
  <si>
    <t>Franciele Brandão Lima</t>
  </si>
  <si>
    <t>861.383.945-26</t>
  </si>
  <si>
    <t>860462165-0</t>
  </si>
  <si>
    <t>Agnaldo Bispo de Souza</t>
  </si>
  <si>
    <t>00013778-2</t>
  </si>
  <si>
    <t>Guilherme J Souza</t>
  </si>
  <si>
    <t>21.459-0</t>
  </si>
  <si>
    <t>Mateus Nascimento Lima</t>
  </si>
  <si>
    <t>840374624-3</t>
  </si>
  <si>
    <t>Genivaldo Laranjeira de Souza</t>
  </si>
  <si>
    <t>00015110-6</t>
  </si>
  <si>
    <t>Gildenor de Oliveira Cortez</t>
  </si>
  <si>
    <t>00013919-0</t>
  </si>
  <si>
    <t>Marcos Dias de Santana</t>
  </si>
  <si>
    <t>00014881-4</t>
  </si>
  <si>
    <t>Raimunda Santana dos Santos</t>
  </si>
  <si>
    <t>00003768-9</t>
  </si>
  <si>
    <t>Eliomar Altino de Souza</t>
  </si>
  <si>
    <t>804984843-2</t>
  </si>
  <si>
    <t>Claudiane B Oliveira</t>
  </si>
  <si>
    <t>0409887-0</t>
  </si>
  <si>
    <t>Elizabeth Pereira Barbosa</t>
  </si>
  <si>
    <t>00023051-0</t>
  </si>
  <si>
    <t>Julia Lima Sampaio</t>
  </si>
  <si>
    <t>00023165-6</t>
  </si>
  <si>
    <t>Antônio Francisco Souza</t>
  </si>
  <si>
    <t>985974877-8</t>
  </si>
  <si>
    <t>Sueli Alves Damasceno Boaventura</t>
  </si>
  <si>
    <t>801327784-2</t>
  </si>
  <si>
    <t>Edielson Souza Oliveira</t>
  </si>
  <si>
    <t>053.133.075-33</t>
  </si>
  <si>
    <t>15.069-X</t>
  </si>
  <si>
    <t>Luciane Souza Brandão</t>
  </si>
  <si>
    <t>Edinália Pires Gois</t>
  </si>
  <si>
    <t>00022563-9</t>
  </si>
  <si>
    <t>Tais Borges Pires</t>
  </si>
  <si>
    <t>859660621-0</t>
  </si>
  <si>
    <t>Cleidiana Rosa da Silva</t>
  </si>
  <si>
    <t>0017188-3</t>
  </si>
  <si>
    <t>Rael André Rosa Soares</t>
  </si>
  <si>
    <t>Dirlene Neves da Cruz</t>
  </si>
  <si>
    <t>00015302-7</t>
  </si>
  <si>
    <t>Geciane Oliveira Lemos</t>
  </si>
  <si>
    <t>00036336-6</t>
  </si>
  <si>
    <t>Evaldo F dos Santos</t>
  </si>
  <si>
    <t>00084084-1</t>
  </si>
  <si>
    <t>Edmilson Moraes dos Santos</t>
  </si>
  <si>
    <t>00009943-0</t>
  </si>
  <si>
    <t>Ana Paula Romana dos Passos</t>
  </si>
  <si>
    <t>1002121-9</t>
  </si>
  <si>
    <t>Ramile de Jesus Souza</t>
  </si>
  <si>
    <t>00047897-4</t>
  </si>
  <si>
    <t>Jarlene Nascimento Souza</t>
  </si>
  <si>
    <t>0245885-3</t>
  </si>
  <si>
    <t>Jorge Silva Araújo Alves</t>
  </si>
  <si>
    <t>0301854-7</t>
  </si>
  <si>
    <t>Edimar Araújo Silva</t>
  </si>
  <si>
    <t>Alex Lima Moura</t>
  </si>
  <si>
    <t>00009779-6</t>
  </si>
  <si>
    <t>Dirleide Oliveira Lima</t>
  </si>
  <si>
    <t>780.729.805-72</t>
  </si>
  <si>
    <t>000795664922-7</t>
  </si>
  <si>
    <t>Marcos de Jesus Ferreira</t>
  </si>
  <si>
    <t>14.775-3</t>
  </si>
  <si>
    <t>Gabriele de Jesus Santos</t>
  </si>
  <si>
    <t>073.376.655-20</t>
  </si>
  <si>
    <t>000860462025-5</t>
  </si>
  <si>
    <t>Manoel Gois de Oliveira</t>
  </si>
  <si>
    <t>00014555-6</t>
  </si>
  <si>
    <t>Diovana B Barbosa</t>
  </si>
  <si>
    <t>20.200-2</t>
  </si>
  <si>
    <t>Marileuza Conceição Oliveira</t>
  </si>
  <si>
    <t>859662497-8</t>
  </si>
  <si>
    <t>José Carlos Santos dos Anjos</t>
  </si>
  <si>
    <t>5.398-8</t>
  </si>
  <si>
    <t>Edimaria dos Santos Ataides</t>
  </si>
  <si>
    <t>856486832-4</t>
  </si>
  <si>
    <t>Rosania Oliveira da Silva</t>
  </si>
  <si>
    <t>0365-5</t>
  </si>
  <si>
    <t>1002557-5</t>
  </si>
  <si>
    <t>Rafael Jesus de Morais</t>
  </si>
  <si>
    <t>837229484-2</t>
  </si>
  <si>
    <t>Uanderson J dos Anjos</t>
  </si>
  <si>
    <t>00012141-0</t>
  </si>
  <si>
    <t>Neuza Araújo</t>
  </si>
  <si>
    <t>00020144-6</t>
  </si>
  <si>
    <t>Elenita Dias dos Santos</t>
  </si>
  <si>
    <t>17.694-X</t>
  </si>
  <si>
    <t>Djair da Cruz Santos</t>
  </si>
  <si>
    <t>0010872-3</t>
  </si>
  <si>
    <t>Willian Fernandes Oliveira</t>
  </si>
  <si>
    <t>1501-6</t>
  </si>
  <si>
    <t>60.437-2</t>
  </si>
  <si>
    <t>Julio Cesar Soares Santos</t>
  </si>
  <si>
    <t>239.864.058-28</t>
  </si>
  <si>
    <t>24.221-7</t>
  </si>
  <si>
    <t>Daniel Maximo dos Anjos</t>
  </si>
  <si>
    <t>00014267-0</t>
  </si>
  <si>
    <t>Carlos Nascimento da Silva</t>
  </si>
  <si>
    <t>0006012-7</t>
  </si>
  <si>
    <t>Mariza Santos da Silva</t>
  </si>
  <si>
    <t>800126066-4</t>
  </si>
  <si>
    <t>Jaildo Souza Santos</t>
  </si>
  <si>
    <t>00007999-0</t>
  </si>
  <si>
    <t>Iracema Santos da Cruz</t>
  </si>
  <si>
    <t>836230222-2</t>
  </si>
  <si>
    <t>Eremilza Conceição Santos</t>
  </si>
  <si>
    <t>960507055-9</t>
  </si>
  <si>
    <t>Nilzete Lima dos Santos</t>
  </si>
  <si>
    <t>853110406-6</t>
  </si>
  <si>
    <t>Edilson Souza Sena</t>
  </si>
  <si>
    <t>829990843-2</t>
  </si>
  <si>
    <t>Washington Araújo Santana</t>
  </si>
  <si>
    <t>00013949-1</t>
  </si>
  <si>
    <t>Mª do Carmo Barbosa de Oliveira</t>
  </si>
  <si>
    <t>433.030.725-15</t>
  </si>
  <si>
    <t>839937362-0</t>
  </si>
  <si>
    <t>Silvana Silva dos Santos</t>
  </si>
  <si>
    <t>053.756.085-88</t>
  </si>
  <si>
    <t>00024848-9</t>
  </si>
  <si>
    <t>Madalena Conceição Moraes</t>
  </si>
  <si>
    <t>836230218-4</t>
  </si>
  <si>
    <t>Marli Machado Gonçalves</t>
  </si>
  <si>
    <t>00009221-5</t>
  </si>
  <si>
    <t>Jeronima Messias Euzebia do Nascimento</t>
  </si>
  <si>
    <t>837229379-0</t>
  </si>
  <si>
    <t>Evanei Cortes dos Santos</t>
  </si>
  <si>
    <t>790101221-9</t>
  </si>
  <si>
    <t>Rosálio Lima de Oliveira</t>
  </si>
  <si>
    <t>015.915.035-31</t>
  </si>
  <si>
    <t>875941115-3</t>
  </si>
  <si>
    <t>Gean de Jesus Silva</t>
  </si>
  <si>
    <t>00011937-7</t>
  </si>
  <si>
    <t>Rosimilde Macêdo dos Santos</t>
  </si>
  <si>
    <t>00013697-2</t>
  </si>
  <si>
    <t>Nilton Morais Nunes</t>
  </si>
  <si>
    <t>00003252-9</t>
  </si>
  <si>
    <t>Manoel Messias de S Silva</t>
  </si>
  <si>
    <t>00015582-7</t>
  </si>
  <si>
    <t>Sebastião M Santos</t>
  </si>
  <si>
    <t>Alciene da Fonseca Souza</t>
  </si>
  <si>
    <t>0015597-7</t>
  </si>
  <si>
    <t>Isailton Barreto Brito</t>
  </si>
  <si>
    <t>0013398-1</t>
  </si>
  <si>
    <t>027.983.555-83</t>
  </si>
  <si>
    <t>Romário de Souza Sales</t>
  </si>
  <si>
    <t>075.281.505-92</t>
  </si>
  <si>
    <t>000860460209-5</t>
  </si>
  <si>
    <t>Marizete Mª de Jesus</t>
  </si>
  <si>
    <t>14.492-4</t>
  </si>
  <si>
    <t>Solange Silva de Souza</t>
  </si>
  <si>
    <t>024.363.365-39</t>
  </si>
  <si>
    <t>0522125-0</t>
  </si>
  <si>
    <t>Gearla Silva Santos</t>
  </si>
  <si>
    <t>069.120.725-93</t>
  </si>
  <si>
    <t>000870343649-5</t>
  </si>
  <si>
    <t>Vanessa de Miranda Morais</t>
  </si>
  <si>
    <t>00014627-7</t>
  </si>
  <si>
    <t>Jailson Oliveira Vieira</t>
  </si>
  <si>
    <t>059.980.515-30</t>
  </si>
  <si>
    <t>00011185-6</t>
  </si>
  <si>
    <t>Elisangela de Jesus Moreira</t>
  </si>
  <si>
    <t>00025587-0</t>
  </si>
  <si>
    <t>Roberto L S Moreira</t>
  </si>
  <si>
    <t>14.781-8</t>
  </si>
  <si>
    <t>Adenilton Santos Paixão</t>
  </si>
  <si>
    <t>00011269-9</t>
  </si>
  <si>
    <t>Jeremias Ferreira de Oliveira</t>
  </si>
  <si>
    <t>882.609.765-87</t>
  </si>
  <si>
    <t>000837602632-0</t>
  </si>
  <si>
    <t>Eliana Jesus Santos</t>
  </si>
  <si>
    <t>00008802-0</t>
  </si>
  <si>
    <t>Luiza Alves de Carvalho</t>
  </si>
  <si>
    <t>758224052-0</t>
  </si>
  <si>
    <t>Izabel Reis da Silva</t>
  </si>
  <si>
    <t>00024465-0</t>
  </si>
  <si>
    <t>Eliana Gonçalves C Santos</t>
  </si>
  <si>
    <t>859662515-0</t>
  </si>
  <si>
    <t>Rondinelli O Ferreira</t>
  </si>
  <si>
    <t>00012673-0</t>
  </si>
  <si>
    <t>Gilberlandia de Souza Santana Oliveira</t>
  </si>
  <si>
    <t>023.562.905-75</t>
  </si>
  <si>
    <t>10.816-2</t>
  </si>
  <si>
    <t>Gersonilson Jesus Brito</t>
  </si>
  <si>
    <t>Ozeani de Jesus</t>
  </si>
  <si>
    <t>0016063-6</t>
  </si>
  <si>
    <t>Eliana Pereira dos Santos</t>
  </si>
  <si>
    <t>00008930-1</t>
  </si>
  <si>
    <t>Antônio Carlos da Silva</t>
  </si>
  <si>
    <t>00027091-3</t>
  </si>
  <si>
    <t>Daniela de Jesus Oliveira</t>
  </si>
  <si>
    <t>00012659-4</t>
  </si>
  <si>
    <t>Elizete Nascimento de Souza</t>
  </si>
  <si>
    <t>835384143-4</t>
  </si>
  <si>
    <t>Clarice Emiliana Lima</t>
  </si>
  <si>
    <t>960432581-2</t>
  </si>
  <si>
    <t>Raimundo dos Santos Cruz</t>
  </si>
  <si>
    <t>00009001-6</t>
  </si>
  <si>
    <t>Gildasio Carvalho Santos</t>
  </si>
  <si>
    <t>Mª Ramos dos Santos</t>
  </si>
  <si>
    <t>00028490-3</t>
  </si>
  <si>
    <t>Valternei de Jesus Sousa</t>
  </si>
  <si>
    <t>758219764-0</t>
  </si>
  <si>
    <t>Matheus Sousa de Oliveira</t>
  </si>
  <si>
    <t>065.121.525-06</t>
  </si>
  <si>
    <t>0027112-8</t>
  </si>
  <si>
    <t>José Amaro dos Prazeres Vicente</t>
  </si>
  <si>
    <t>798125514-8</t>
  </si>
  <si>
    <t>Maria Oliveira de Jesus</t>
  </si>
  <si>
    <t>946.593.895-53</t>
  </si>
  <si>
    <t>17.672-9</t>
  </si>
  <si>
    <t>Etevaldo Brito da Silva</t>
  </si>
  <si>
    <t>039.436.435-70</t>
  </si>
  <si>
    <t>839077541-5</t>
  </si>
  <si>
    <t>Cicero Severino dos Santos</t>
  </si>
  <si>
    <t>00015536-3</t>
  </si>
  <si>
    <t>Creuza Leite Macedo</t>
  </si>
  <si>
    <t>00014638-1</t>
  </si>
  <si>
    <t>Maria Gorete do Nascimento</t>
  </si>
  <si>
    <t>0012127-4</t>
  </si>
  <si>
    <t>Eliane Q de S Oliveira</t>
  </si>
  <si>
    <t>14.395-2</t>
  </si>
  <si>
    <t>Luzenilda Santana Sales</t>
  </si>
  <si>
    <t>868574397-2</t>
  </si>
  <si>
    <t>Agamenon de S Teixeira</t>
  </si>
  <si>
    <t>0350030-6</t>
  </si>
  <si>
    <t>Malaquias Maciel Santos</t>
  </si>
  <si>
    <t>811629066-3</t>
  </si>
  <si>
    <t>Felipe Almeida de Jesus</t>
  </si>
  <si>
    <t>22.217-8</t>
  </si>
  <si>
    <t>Ivani Mª de Novaes</t>
  </si>
  <si>
    <t>1001015-2</t>
  </si>
  <si>
    <t>Paulo Alves de Almeida</t>
  </si>
  <si>
    <t>00116378-0</t>
  </si>
  <si>
    <t>Terezinha Conceição Ferreira</t>
  </si>
  <si>
    <t>031.523.935-20</t>
  </si>
  <si>
    <t>00038462-5</t>
  </si>
  <si>
    <t>Luciene S de Oliveira</t>
  </si>
  <si>
    <t>00007861-0</t>
  </si>
  <si>
    <t>Zelia Gomes dos Santos</t>
  </si>
  <si>
    <t>0004515-2</t>
  </si>
  <si>
    <t>Edinaldo Pereira Moreira</t>
  </si>
  <si>
    <t>00010775-0</t>
  </si>
  <si>
    <t>Dalvan de Oliveira Santos</t>
  </si>
  <si>
    <t>801655717-0</t>
  </si>
  <si>
    <t>Jacqueline dos Anjos Ribeiro</t>
  </si>
  <si>
    <t>102.941.505-60</t>
  </si>
  <si>
    <t>876490262-3</t>
  </si>
  <si>
    <t>Jecinalva M Oliveira</t>
  </si>
  <si>
    <t>859661014-4</t>
  </si>
  <si>
    <t>Caina de Jesus Silva</t>
  </si>
  <si>
    <t>857259261-8</t>
  </si>
  <si>
    <t>Felipe Costa Souza</t>
  </si>
  <si>
    <t>00031212-7</t>
  </si>
  <si>
    <t>João Oliveira da Silva</t>
  </si>
  <si>
    <t>1001663-0</t>
  </si>
  <si>
    <t>Irailde Rumana dos P Silva</t>
  </si>
  <si>
    <t>838155587-4</t>
  </si>
  <si>
    <t>Tamires Lima de Oliveira</t>
  </si>
  <si>
    <t>0655702-3</t>
  </si>
  <si>
    <t>Mª de Lourdes J Anjos</t>
  </si>
  <si>
    <t>0327274-5</t>
  </si>
  <si>
    <t>Maelson de Jesus Silva</t>
  </si>
  <si>
    <t>00007944-6</t>
  </si>
  <si>
    <t>Joarez Costa Rocha</t>
  </si>
  <si>
    <t>34.535-0</t>
  </si>
  <si>
    <t>Anailson Costa Ribeiro</t>
  </si>
  <si>
    <t>0531332-5</t>
  </si>
  <si>
    <t>Lucineide Souza Santos</t>
  </si>
  <si>
    <t>Stª Mª Cortes de Oliveira</t>
  </si>
  <si>
    <t>00011250-8</t>
  </si>
  <si>
    <t>Deijane J Oliveira</t>
  </si>
  <si>
    <t>14.219-0</t>
  </si>
  <si>
    <t>Andreia Barbosa dos Santos</t>
  </si>
  <si>
    <t>19.127-2</t>
  </si>
  <si>
    <t>Gilmacio S Oliveira/Joaquim A de Oliveira</t>
  </si>
  <si>
    <t>7.649-X</t>
  </si>
  <si>
    <t>0003435-5</t>
  </si>
  <si>
    <t>Jandrey Silva de Morais</t>
  </si>
  <si>
    <t>1001698-3</t>
  </si>
  <si>
    <t>Cintia Boaventura Gonçalves</t>
  </si>
  <si>
    <t>0011026-4</t>
  </si>
  <si>
    <t>Edinalva Pereira Moreira</t>
  </si>
  <si>
    <t>00021534-0</t>
  </si>
  <si>
    <t>Adair Dourado de Oliveira</t>
  </si>
  <si>
    <t>803733966-0</t>
  </si>
  <si>
    <t>Claudiana Rosa de Souza</t>
  </si>
  <si>
    <t>00016483-5</t>
  </si>
  <si>
    <t>Carlito da Silva Borges</t>
  </si>
  <si>
    <t>0521414-9</t>
  </si>
  <si>
    <t>Mª P Barbosa Santos</t>
  </si>
  <si>
    <t>Adailton Almeida Santos</t>
  </si>
  <si>
    <t>1016662-4</t>
  </si>
  <si>
    <t>749443704-6</t>
  </si>
  <si>
    <t>Jeferson Santos da Silva</t>
  </si>
  <si>
    <t>00013992-0</t>
  </si>
  <si>
    <t>Vera Lúcia Cruz Almeida</t>
  </si>
  <si>
    <t>Eliedes Rosa Alves</t>
  </si>
  <si>
    <t>14.606-4</t>
  </si>
  <si>
    <t>Mª Betania E de Souza</t>
  </si>
  <si>
    <t>00049843-6</t>
  </si>
  <si>
    <t>Diego Evangelista Brito</t>
  </si>
  <si>
    <t>00011636-0</t>
  </si>
  <si>
    <t>Edionede Pires Gois</t>
  </si>
  <si>
    <t>834462999-1</t>
  </si>
  <si>
    <t>Tercia Mª R dos Santos</t>
  </si>
  <si>
    <t>036.925.525-99</t>
  </si>
  <si>
    <t>00008876-4</t>
  </si>
  <si>
    <t>Fernando Sa Teles Santana</t>
  </si>
  <si>
    <t>276.344.808-94</t>
  </si>
  <si>
    <t>000796525505-8</t>
  </si>
  <si>
    <t>Marlos Santos Oliveira</t>
  </si>
  <si>
    <t>0245328-2</t>
  </si>
  <si>
    <t>Anailton Rodrigues de Souza</t>
  </si>
  <si>
    <t>1000231-1</t>
  </si>
  <si>
    <t>Adelino A Souza</t>
  </si>
  <si>
    <t>00017564-0</t>
  </si>
  <si>
    <t>Ana Lucia O de Souza</t>
  </si>
  <si>
    <t>00010893-6</t>
  </si>
  <si>
    <t>Etisiolandia Amaral Santos</t>
  </si>
  <si>
    <t>0016796-7</t>
  </si>
  <si>
    <t>José Ivaldo Cruz Gouveia</t>
  </si>
  <si>
    <t>00001225-8</t>
  </si>
  <si>
    <t>Antônio Fernando S Ramos</t>
  </si>
  <si>
    <t>00023324-0</t>
  </si>
  <si>
    <t>Wellington Jesus Moreira</t>
  </si>
  <si>
    <t>066.991.435.57</t>
  </si>
  <si>
    <t>00022664-3</t>
  </si>
  <si>
    <t>Sisenando J Souza</t>
  </si>
  <si>
    <t>12.239-4</t>
  </si>
  <si>
    <t>Rosangela Nunes S Andrade</t>
  </si>
  <si>
    <t>00088053-3</t>
  </si>
  <si>
    <t>Sebastião Gonzaga de Oliveira</t>
  </si>
  <si>
    <t>0000574-6</t>
  </si>
  <si>
    <t>Silvaneide Oliveira de Souza</t>
  </si>
  <si>
    <t>Joelson Ferreira Silva</t>
  </si>
  <si>
    <t>0350322-4</t>
  </si>
  <si>
    <t>Glece Sa Teles Oliveira</t>
  </si>
  <si>
    <t>00023266-0</t>
  </si>
  <si>
    <t>Edivan de Jesus Martins</t>
  </si>
  <si>
    <t>779423916-9</t>
  </si>
  <si>
    <t>Verisse Oliveira Ferreira</t>
  </si>
  <si>
    <t>00007743-7</t>
  </si>
  <si>
    <t>Gildeci José de Souza</t>
  </si>
  <si>
    <t>00032655-4</t>
  </si>
  <si>
    <t>Nilton Rodrigues Dias</t>
  </si>
  <si>
    <t>862.110.965-42</t>
  </si>
  <si>
    <t>00007601-7</t>
  </si>
  <si>
    <t>Ediene Josefa de Jesus</t>
  </si>
  <si>
    <t>0063104-3</t>
  </si>
  <si>
    <t>Elionária Souza Miranda</t>
  </si>
  <si>
    <t>856456663-8</t>
  </si>
  <si>
    <t>Wendel Barreto Santos</t>
  </si>
  <si>
    <t>876351962-1</t>
  </si>
  <si>
    <t>Marcos dos Anjos Santos</t>
  </si>
  <si>
    <t>00007700-1</t>
  </si>
  <si>
    <t>Aline Alves de Souza</t>
  </si>
  <si>
    <t>00016743-4</t>
  </si>
  <si>
    <t>Vaneide Santos C Oliveira</t>
  </si>
  <si>
    <t>00002995-6</t>
  </si>
  <si>
    <t>Jackson Martins Moraes</t>
  </si>
  <si>
    <t>00014162-3</t>
  </si>
  <si>
    <t>Sandra S Ferreira</t>
  </si>
  <si>
    <t>12.934-8</t>
  </si>
  <si>
    <t>Antônio Carmelito O Borges</t>
  </si>
  <si>
    <t>00003950-8</t>
  </si>
  <si>
    <t>Edileide da Silva Nunes</t>
  </si>
  <si>
    <t>00010847-0</t>
  </si>
  <si>
    <t>858860238-3</t>
  </si>
  <si>
    <t>Vanderlete de Jesus Souza</t>
  </si>
  <si>
    <t>00015437-5</t>
  </si>
  <si>
    <t>Mailson Marques da Cruz</t>
  </si>
  <si>
    <t>00011089-0</t>
  </si>
  <si>
    <t>Monica Ribeiro Maciel</t>
  </si>
  <si>
    <t>876072778-9</t>
  </si>
  <si>
    <t>Fabiana Jesus dos Santos</t>
  </si>
  <si>
    <t>00009968-7</t>
  </si>
  <si>
    <t>Mª José S de Oliveira</t>
  </si>
  <si>
    <t>Edinaide Maria Ferreira</t>
  </si>
  <si>
    <t>025.924.745-60</t>
  </si>
  <si>
    <t>000832625025-0</t>
  </si>
  <si>
    <t>Cassandra de Souza O Santos</t>
  </si>
  <si>
    <t>0469991-2</t>
  </si>
  <si>
    <t>Gilvanda Souza Alves</t>
  </si>
  <si>
    <t>Samuel Monteiro Cruz</t>
  </si>
  <si>
    <t>Vilma Pinheiro de Souza</t>
  </si>
  <si>
    <t>00016892-9</t>
  </si>
  <si>
    <t>Ivaneide Olegário da Cruz</t>
  </si>
  <si>
    <t>875900354-3</t>
  </si>
  <si>
    <t>Ana Mª Sousa</t>
  </si>
  <si>
    <t>17.309-6</t>
  </si>
  <si>
    <t>Dernivaldo Mª de Souza</t>
  </si>
  <si>
    <t>00021273-1</t>
  </si>
  <si>
    <t>Alisson Ferreira Lemos</t>
  </si>
  <si>
    <t>803733996-1</t>
  </si>
  <si>
    <t>Fabrisia Teles Baraúnas</t>
  </si>
  <si>
    <t>341.507.828-06</t>
  </si>
  <si>
    <t>00000321-6</t>
  </si>
  <si>
    <t>Ana Paula da Silva</t>
  </si>
  <si>
    <t>857258946-3</t>
  </si>
  <si>
    <t>Adriel Jesus dos Santos</t>
  </si>
  <si>
    <t>0219778-2</t>
  </si>
  <si>
    <t>Jhones dos Anjos Oliveira</t>
  </si>
  <si>
    <t>800125359-5</t>
  </si>
  <si>
    <t>Alciene Alves Rodrigues</t>
  </si>
  <si>
    <t>836304865-6</t>
  </si>
  <si>
    <t>Mª do Carmo S Santos</t>
  </si>
  <si>
    <t>876014361-2</t>
  </si>
  <si>
    <t>Eliana Almeida das Neves</t>
  </si>
  <si>
    <t>016.160.115-48</t>
  </si>
  <si>
    <t>834387613-8</t>
  </si>
  <si>
    <t>Fideles A de Almeida</t>
  </si>
  <si>
    <t>8.457-3</t>
  </si>
  <si>
    <t>Mª Alves de Souza</t>
  </si>
  <si>
    <t>Domingas B de Souza</t>
  </si>
  <si>
    <t>0004150-5</t>
  </si>
  <si>
    <t>Orlando Alves de Brito</t>
  </si>
  <si>
    <t>00021161-1</t>
  </si>
  <si>
    <t>Ronivaldo Souza Santos</t>
  </si>
  <si>
    <t>863.009.795-71</t>
  </si>
  <si>
    <t>Bibiane V Santana</t>
  </si>
  <si>
    <t>21.404-3</t>
  </si>
  <si>
    <t>Valdizia Jesus Sá Teles</t>
  </si>
  <si>
    <t>21.423-X</t>
  </si>
  <si>
    <t>Regina Celeste C Pires</t>
  </si>
  <si>
    <t>00008814-2</t>
  </si>
  <si>
    <t>Jakeline Kauane S Andrde</t>
  </si>
  <si>
    <t>853806386-1</t>
  </si>
  <si>
    <t>Ivanilton G Ferreira</t>
  </si>
  <si>
    <t>22.009-4</t>
  </si>
  <si>
    <t>Eunailde G Ferreira</t>
  </si>
  <si>
    <t>0004621-3</t>
  </si>
  <si>
    <t>Sueli Rosa de Souza</t>
  </si>
  <si>
    <t>043.564.715-63</t>
  </si>
  <si>
    <t>1000464-0</t>
  </si>
  <si>
    <t>Nelson Almeida Ribeiro</t>
  </si>
  <si>
    <t>00013023-0</t>
  </si>
  <si>
    <t>Luzinete Souza Lapa</t>
  </si>
  <si>
    <t>21.342-X</t>
  </si>
  <si>
    <t>Jaciara de Araújo Suza</t>
  </si>
  <si>
    <t>099.824.725-18</t>
  </si>
  <si>
    <t>0025051-1</t>
  </si>
  <si>
    <t>Robério Ivan de Oliveira</t>
  </si>
  <si>
    <t>804939323-0</t>
  </si>
  <si>
    <t>Dina Alves Brito Oliveira</t>
  </si>
  <si>
    <t>0411753-0</t>
  </si>
  <si>
    <t>Rosinete Gomes de Souza</t>
  </si>
  <si>
    <t>00003586-6</t>
  </si>
  <si>
    <t>Leila Souza Celestino</t>
  </si>
  <si>
    <t>838154881-9</t>
  </si>
  <si>
    <t>Hilari Assunção Santos</t>
  </si>
  <si>
    <t>00010399-5</t>
  </si>
  <si>
    <t>Vangevaldo S de Jesus</t>
  </si>
  <si>
    <t>16.795-9</t>
  </si>
  <si>
    <t>Gildelice Pires de Souza</t>
  </si>
  <si>
    <t>027.351.035-52</t>
  </si>
  <si>
    <t>000863174396-6</t>
  </si>
  <si>
    <t>000858861872-7</t>
  </si>
  <si>
    <t>Rosemerie de Jesus Andrade</t>
  </si>
  <si>
    <t>899.771.495-34</t>
  </si>
  <si>
    <t>5.681-2</t>
  </si>
  <si>
    <t>Flexionei Silva de Oliveira</t>
  </si>
  <si>
    <t>052.636.785-76</t>
  </si>
  <si>
    <t>000731862268-5</t>
  </si>
  <si>
    <t>Adenilton Brandão Soares</t>
  </si>
  <si>
    <t>039.334.275-17</t>
  </si>
  <si>
    <t>000874257475-5</t>
  </si>
  <si>
    <t>Maria do Carmo Alves Rodrigues</t>
  </si>
  <si>
    <t>047.335.055-66</t>
  </si>
  <si>
    <t>1000107-2</t>
  </si>
  <si>
    <t>068.695.395-96</t>
  </si>
  <si>
    <t>Uedson de Jesus Santos</t>
  </si>
  <si>
    <t>059.947.535-80</t>
  </si>
  <si>
    <t>00012016-9</t>
  </si>
  <si>
    <t>Jilmário Carneiro de Jesus</t>
  </si>
  <si>
    <t>068.677.455-80</t>
  </si>
  <si>
    <t>000794593669-6</t>
  </si>
  <si>
    <t>Wallison Silva dos Anjos</t>
  </si>
  <si>
    <t>087.967.065-70</t>
  </si>
  <si>
    <t>00009017-4</t>
  </si>
  <si>
    <t>Josilvaldo Máximo dos Anjos</t>
  </si>
  <si>
    <t>850.469.305-87</t>
  </si>
  <si>
    <t>000790945536-5</t>
  </si>
  <si>
    <t>Ulicio de Sousa</t>
  </si>
  <si>
    <t>401.475.095-72</t>
  </si>
  <si>
    <t>0005511-5</t>
  </si>
  <si>
    <t>050.038.675-73</t>
  </si>
  <si>
    <t>565786-5</t>
  </si>
  <si>
    <t>Simone Batista de Almeida</t>
  </si>
  <si>
    <t>065.595.015-07</t>
  </si>
  <si>
    <t>134999-6</t>
  </si>
  <si>
    <t>Giseldo Brandão de Oliveira</t>
  </si>
  <si>
    <t>078.285.155-02</t>
  </si>
  <si>
    <t>000748529209-0</t>
  </si>
  <si>
    <t>Leanderson de Oliveira Silva</t>
  </si>
  <si>
    <t>859.467.665-46</t>
  </si>
  <si>
    <t>00007085-6</t>
  </si>
  <si>
    <t>Claudio Neto Ramos da Silva</t>
  </si>
  <si>
    <t>021.995.235-35</t>
  </si>
  <si>
    <t>14.136-4</t>
  </si>
  <si>
    <t>Daniel de Jesus Oliveira</t>
  </si>
  <si>
    <t>861.552.465-30</t>
  </si>
  <si>
    <t>306927-3</t>
  </si>
  <si>
    <t>Orlanir de Jesus Araújo</t>
  </si>
  <si>
    <t>096.854.365-09</t>
  </si>
  <si>
    <t>000787556721-2</t>
  </si>
  <si>
    <t>Vera Lúcia Alves Rodrigues</t>
  </si>
  <si>
    <t>017.861.985-09</t>
  </si>
  <si>
    <t>00001023-0</t>
  </si>
  <si>
    <t>Maria Jesus de Oliveira</t>
  </si>
  <si>
    <t>007.139.515-67</t>
  </si>
  <si>
    <t>000859660729-1</t>
  </si>
  <si>
    <t>Edgar Ribeiro Neto</t>
  </si>
  <si>
    <t>849.426.655-15</t>
  </si>
  <si>
    <t>00022594-5</t>
  </si>
  <si>
    <t>Rozeli Almeida das Neves</t>
  </si>
  <si>
    <t>060.787.785-52</t>
  </si>
  <si>
    <t>24.424-4</t>
  </si>
  <si>
    <t>Patricia Gomes dos Santos</t>
  </si>
  <si>
    <t>061.921.705-76</t>
  </si>
  <si>
    <t>23.925-9</t>
  </si>
  <si>
    <t>Margarida Souza Dos Anjos</t>
  </si>
  <si>
    <t>069.819.675-96</t>
  </si>
  <si>
    <t>00011406-5</t>
  </si>
  <si>
    <t>Sebastião José dos Anjos</t>
  </si>
  <si>
    <t>004.986.745-84</t>
  </si>
  <si>
    <t>000875566041-8</t>
  </si>
  <si>
    <t>Maria Aparecida Souza dos Anjos</t>
  </si>
  <si>
    <t>098.171.185-50</t>
  </si>
  <si>
    <t>00016223-8</t>
  </si>
  <si>
    <t>Manoel Messias de Novais</t>
  </si>
  <si>
    <t>050.697.255-05</t>
  </si>
  <si>
    <t>Pix</t>
  </si>
  <si>
    <t>Reinaldo Martins de Oliveira</t>
  </si>
  <si>
    <t>031.115.266-07</t>
  </si>
  <si>
    <t>000767670886-0</t>
  </si>
  <si>
    <t>Jesione Oliveira Costa</t>
  </si>
  <si>
    <t>067.598.775-00</t>
  </si>
  <si>
    <t>877670416-3</t>
  </si>
  <si>
    <t>050.681.825-08</t>
  </si>
  <si>
    <t>000850381573-5</t>
  </si>
  <si>
    <t>Lucielma Morais de Souza</t>
  </si>
  <si>
    <t>073.685.795-88</t>
  </si>
  <si>
    <t>216884-7</t>
  </si>
  <si>
    <t>Romildo Pio Barbosa de Jesus</t>
  </si>
  <si>
    <t>041.185.175-66</t>
  </si>
  <si>
    <t>49234-5</t>
  </si>
  <si>
    <t>Mhaira de Oliveira Alves</t>
  </si>
  <si>
    <t>119.835.495-09</t>
  </si>
  <si>
    <t>622243-9</t>
  </si>
  <si>
    <t>Jeane Almeida Santos</t>
  </si>
  <si>
    <t>101.455.865-45</t>
  </si>
  <si>
    <t>336267-1</t>
  </si>
  <si>
    <t>Lourranio Andrade Alves</t>
  </si>
  <si>
    <t>114.277.145-84</t>
  </si>
  <si>
    <t>27.244-2</t>
  </si>
  <si>
    <t>Naiane Andrade Alves</t>
  </si>
  <si>
    <t>018.297.895-89</t>
  </si>
  <si>
    <t>0000768-4</t>
  </si>
  <si>
    <t>Edilson Rodrigues da Silva</t>
  </si>
  <si>
    <t>950.952.096-91</t>
  </si>
  <si>
    <t>000772582466-0</t>
  </si>
  <si>
    <t>Valdira Rosa de Souza</t>
  </si>
  <si>
    <t>042.202.465-17</t>
  </si>
  <si>
    <t>00000777-1</t>
  </si>
  <si>
    <t>Rosevaldo Rosa de Souza</t>
  </si>
  <si>
    <t>013.574.785-69</t>
  </si>
  <si>
    <t>000859660893-0</t>
  </si>
  <si>
    <t>Laís Almeida de Souza</t>
  </si>
  <si>
    <t>861.561.115-73</t>
  </si>
  <si>
    <t>000793727887-1</t>
  </si>
  <si>
    <t>Abenailton Rosa de Souza</t>
  </si>
  <si>
    <t>006.125.075-99</t>
  </si>
  <si>
    <t>000855654681-0</t>
  </si>
  <si>
    <t>Joselito da Conceição Teixeira</t>
  </si>
  <si>
    <t>048.575.555-65</t>
  </si>
  <si>
    <t>197120-4</t>
  </si>
  <si>
    <t>Renilton Souza Santana</t>
  </si>
  <si>
    <t>131.914.265-66</t>
  </si>
  <si>
    <t>372949-4</t>
  </si>
  <si>
    <t>Domingos Barbosa Leite</t>
  </si>
  <si>
    <t>561.268.164-04</t>
  </si>
  <si>
    <t>000797724741-1</t>
  </si>
  <si>
    <t>Sirleide de Oliveira dos Santos</t>
  </si>
  <si>
    <t>020.056.605-90</t>
  </si>
  <si>
    <t>1002811-6</t>
  </si>
  <si>
    <t>Gisleia Silva de Miranda</t>
  </si>
  <si>
    <t>024.185.995-66</t>
  </si>
  <si>
    <t>Cassio dos Santos Souza</t>
  </si>
  <si>
    <t>039.296.825-83</t>
  </si>
  <si>
    <t>000795906935-3</t>
  </si>
  <si>
    <t>Manoel Domingos Souza de Jesus</t>
  </si>
  <si>
    <t>035.499.285-64</t>
  </si>
  <si>
    <t>0000750-1</t>
  </si>
  <si>
    <t>Renacon Rodrigues de Oliveira</t>
  </si>
  <si>
    <t>923.550.725-15</t>
  </si>
  <si>
    <t>Manoel Alves de Souza</t>
  </si>
  <si>
    <t>084.379.595-60</t>
  </si>
  <si>
    <t>000853251606-6</t>
  </si>
  <si>
    <t>020.863.505-03</t>
  </si>
  <si>
    <t>Maria Nery Santos de Sousa Fernandes</t>
  </si>
  <si>
    <t>017.895.345-85</t>
  </si>
  <si>
    <t>8.705-X</t>
  </si>
  <si>
    <t>José Rosa de Souza</t>
  </si>
  <si>
    <t>007.755.001-35</t>
  </si>
  <si>
    <t>Jean da Silva Santos</t>
  </si>
  <si>
    <t>017.636.285-15</t>
  </si>
  <si>
    <t>0013167-9</t>
  </si>
  <si>
    <t>Francinaldo dos Santos Silva</t>
  </si>
  <si>
    <t>050.244.055-44</t>
  </si>
  <si>
    <t>00007950-7</t>
  </si>
  <si>
    <t>Laísa Caldeira Damasceno</t>
  </si>
  <si>
    <t>071.142.255-98</t>
  </si>
  <si>
    <t>74944-3</t>
  </si>
  <si>
    <t>Daniel Novais de Jesus</t>
  </si>
  <si>
    <t>086.127.105-02</t>
  </si>
  <si>
    <t>816059-7</t>
  </si>
  <si>
    <t>Jarlane Maria Alves</t>
  </si>
  <si>
    <t>00018717-6</t>
  </si>
  <si>
    <t>Evanildo de Jesus Moreira</t>
  </si>
  <si>
    <t>046.398.145-69</t>
  </si>
  <si>
    <t>000859660652-0</t>
  </si>
  <si>
    <t>Osvaldo Rodrigues da Silva</t>
  </si>
  <si>
    <t>413.890.005-59</t>
  </si>
  <si>
    <t>22.075-2</t>
  </si>
  <si>
    <t>Luzia Silva dos Santos</t>
  </si>
  <si>
    <t>070.760.935-61</t>
  </si>
  <si>
    <t>000848945259-6</t>
  </si>
  <si>
    <t>Uilliam Silva de Oliveira</t>
  </si>
  <si>
    <t>059.109.815-60</t>
  </si>
  <si>
    <t>000897635924-9</t>
  </si>
  <si>
    <t>Edson Ramos Alves</t>
  </si>
  <si>
    <t>027.953.515-52</t>
  </si>
  <si>
    <t>000801327417-7</t>
  </si>
  <si>
    <t>Rone Alves Oliveira</t>
  </si>
  <si>
    <t>043.163.535-86</t>
  </si>
  <si>
    <t>00005722-5</t>
  </si>
  <si>
    <t>Valéria Madureira Vieira Gaspar</t>
  </si>
  <si>
    <t>031.085.405-99</t>
  </si>
  <si>
    <t>0004710-4</t>
  </si>
  <si>
    <t>086.047.515-80</t>
  </si>
  <si>
    <t>Antônio Soares dos Santos</t>
  </si>
  <si>
    <t>476.810.205-00</t>
  </si>
  <si>
    <t>00008101-7</t>
  </si>
  <si>
    <t>Wellington Nascimeno Ferreira</t>
  </si>
  <si>
    <t>054.663.015-40</t>
  </si>
  <si>
    <t>Lucas Nascimento de Souza</t>
  </si>
  <si>
    <t>035.128.701-98</t>
  </si>
  <si>
    <t>000776940629-4</t>
  </si>
  <si>
    <t>Alexandro José dos Santos</t>
  </si>
  <si>
    <t>083.741.436-90</t>
  </si>
  <si>
    <t>000798926083-3</t>
  </si>
  <si>
    <t>Cicera Morais de Oliveira</t>
  </si>
  <si>
    <t>034.431.935-01</t>
  </si>
  <si>
    <t>792571-9</t>
  </si>
  <si>
    <t>Ronilson Messias Alves</t>
  </si>
  <si>
    <t>095.715.675-82</t>
  </si>
  <si>
    <t>5216-7</t>
  </si>
  <si>
    <t>0009567-2</t>
  </si>
  <si>
    <t>Irani Boaventura Messias</t>
  </si>
  <si>
    <t>048.540.935-60</t>
  </si>
  <si>
    <t>000750810262-3</t>
  </si>
  <si>
    <t>Andreia dos Anjos Gomes</t>
  </si>
  <si>
    <t>032.283.415-50</t>
  </si>
  <si>
    <t>000806189368-0</t>
  </si>
  <si>
    <t>Edilandia de Jesus Boaventura</t>
  </si>
  <si>
    <t>036.041.165-70</t>
  </si>
  <si>
    <t>00009931-7</t>
  </si>
  <si>
    <t>Noemia Jesus dos Santos Boaventura</t>
  </si>
  <si>
    <t>016.639.275-88</t>
  </si>
  <si>
    <t>1002867-1</t>
  </si>
  <si>
    <t>Jilma Boaventura de Carvalho</t>
  </si>
  <si>
    <t>007.432.945-64</t>
  </si>
  <si>
    <t>1002865-5</t>
  </si>
  <si>
    <t xml:space="preserve">Anailda Carmo Boaventura </t>
  </si>
  <si>
    <t>063.762.625-70</t>
  </si>
  <si>
    <t>000803779172-4</t>
  </si>
  <si>
    <t>Aderlito Boaventura de Souza</t>
  </si>
  <si>
    <t>551.622.315-68</t>
  </si>
  <si>
    <t>000805744941-0</t>
  </si>
  <si>
    <t>Otelino Antônio Barros</t>
  </si>
  <si>
    <t>262.899.768-18</t>
  </si>
  <si>
    <t>000801372886-0</t>
  </si>
  <si>
    <t>Amanda Oliveira Missias</t>
  </si>
  <si>
    <t>072.508.715-36</t>
  </si>
  <si>
    <t>000744047858-5</t>
  </si>
  <si>
    <t>Edielson dos Anjos de Souza</t>
  </si>
  <si>
    <t>052.522.935.38</t>
  </si>
  <si>
    <t>000739610983-4</t>
  </si>
  <si>
    <t>Rejane de Oliveira Souza</t>
  </si>
  <si>
    <t>059.761.695-70</t>
  </si>
  <si>
    <t>000739611312-2</t>
  </si>
  <si>
    <t>Maria Elena de Jesus de Oliveira</t>
  </si>
  <si>
    <t>015.053.615-16</t>
  </si>
  <si>
    <t>000853281766-0</t>
  </si>
  <si>
    <t>Cleideia Maria de Carvalho</t>
  </si>
  <si>
    <t>019.728.085-40</t>
  </si>
  <si>
    <t>000748483127-2</t>
  </si>
  <si>
    <t>Edilma Jesus de Carvalho</t>
  </si>
  <si>
    <t>056.778.245-00</t>
  </si>
  <si>
    <t>000803779173-2</t>
  </si>
  <si>
    <t>Juninho Antônio de Carvalho</t>
  </si>
  <si>
    <t>075.413.915-81</t>
  </si>
  <si>
    <t>000763017451-0</t>
  </si>
  <si>
    <t>Ana Paula Fonseca Carvalho</t>
  </si>
  <si>
    <t>049.684.455-55</t>
  </si>
  <si>
    <t>000859691076-8</t>
  </si>
  <si>
    <t>Gerson de Jesus Barbosa</t>
  </si>
  <si>
    <t>046.454.605-28</t>
  </si>
  <si>
    <t>000804541822-0</t>
  </si>
  <si>
    <t>Agnaldo Jesus dos Santos</t>
  </si>
  <si>
    <t>092.556.555-58</t>
  </si>
  <si>
    <t>000876775684-9</t>
  </si>
  <si>
    <t>Eduardo Queiroz de Souza</t>
  </si>
  <si>
    <t>081.854.475-94</t>
  </si>
  <si>
    <t>000748686603-0</t>
  </si>
  <si>
    <t>Patrícia Baraúna de Oliveira</t>
  </si>
  <si>
    <t>859.836.395-28</t>
  </si>
  <si>
    <t>000806144412-5</t>
  </si>
  <si>
    <t>Renata Souza Miranda</t>
  </si>
  <si>
    <t>123.998.265-82</t>
  </si>
  <si>
    <t>352512-0</t>
  </si>
  <si>
    <t>Leonardo Oliveira de Souza</t>
  </si>
  <si>
    <t>865.095.065-56</t>
  </si>
  <si>
    <t>000736355989-0</t>
  </si>
  <si>
    <t>Sandra Souza Santana Oliveira</t>
  </si>
  <si>
    <t>997.578.265-53</t>
  </si>
  <si>
    <t>6312-6</t>
  </si>
  <si>
    <t>Rosileide Oliveira de Jesus</t>
  </si>
  <si>
    <t>059.649.285-52</t>
  </si>
  <si>
    <t>23.143-6</t>
  </si>
  <si>
    <t>Dejair da Cruz Santos</t>
  </si>
  <si>
    <t>121.947.885-73</t>
  </si>
  <si>
    <t>Iolanda Barboza de Jesus</t>
  </si>
  <si>
    <t>048.861.115-64</t>
  </si>
  <si>
    <t>00007448-6</t>
  </si>
  <si>
    <t>Ailton Araújo de Jesus</t>
  </si>
  <si>
    <t>076.639.815-37</t>
  </si>
  <si>
    <t>00007950-0</t>
  </si>
  <si>
    <t>Maria Barreto Pires</t>
  </si>
  <si>
    <t>870.441.705-44</t>
  </si>
  <si>
    <t>000835383796-8</t>
  </si>
  <si>
    <t>Genildo Gaspar de Almeida</t>
  </si>
  <si>
    <t>110.696.155-28</t>
  </si>
  <si>
    <t>9989-9</t>
  </si>
  <si>
    <t>846.012.565-34</t>
  </si>
  <si>
    <t>Eliene Jesus dos Santos</t>
  </si>
  <si>
    <t>260.915.568-94</t>
  </si>
  <si>
    <t>000797770018-3</t>
  </si>
  <si>
    <t xml:space="preserve">Claudiomacio Valentino Rodrigues </t>
  </si>
  <si>
    <t>034.657.095-60</t>
  </si>
  <si>
    <t>000736712262-3</t>
  </si>
  <si>
    <t>Janicio Francisco dos Santos</t>
  </si>
  <si>
    <t>931.216.955-68</t>
  </si>
  <si>
    <t>000803980552-8</t>
  </si>
  <si>
    <t>Marilene Maria dos Santos</t>
  </si>
  <si>
    <t>021.044.035-02</t>
  </si>
  <si>
    <t>00007525-7</t>
  </si>
  <si>
    <t>Edileusa Jesus Santos</t>
  </si>
  <si>
    <t>012.605.725-79</t>
  </si>
  <si>
    <t>000853446544-2</t>
  </si>
  <si>
    <t>068.917.255-93</t>
  </si>
  <si>
    <t>Edineia Boaventura</t>
  </si>
  <si>
    <t>00010032-3</t>
  </si>
  <si>
    <t>Ana Lúcia Santana Sousa</t>
  </si>
  <si>
    <t>050.184.135-06</t>
  </si>
  <si>
    <t>000833467392-0</t>
  </si>
  <si>
    <t>Cleide Almeida de Jesus</t>
  </si>
  <si>
    <t>040.425.795-07</t>
  </si>
  <si>
    <t>20.989-9</t>
  </si>
  <si>
    <t>036.414.015-18</t>
  </si>
  <si>
    <t>000832550296-5</t>
  </si>
  <si>
    <t>Santa Maria Cortes de Oliveira</t>
  </si>
  <si>
    <t>009.151.855-55</t>
  </si>
  <si>
    <t>752168-5</t>
  </si>
  <si>
    <t>Claudiane de Lima Gama</t>
  </si>
  <si>
    <t>040.228.755-00</t>
  </si>
  <si>
    <t>000935932872-9</t>
  </si>
  <si>
    <t>Raul Santana de Oliveira</t>
  </si>
  <si>
    <t>061.417.725-10</t>
  </si>
  <si>
    <t>6096-8</t>
  </si>
  <si>
    <t>Mateus Freitas do Nascimento</t>
  </si>
  <si>
    <t>050.243.995-52</t>
  </si>
  <si>
    <t>000804939258-7</t>
  </si>
  <si>
    <t>Leticia S. Souza</t>
  </si>
  <si>
    <t>28.047-X</t>
  </si>
  <si>
    <t>Erivaldo de Jesus Barros</t>
  </si>
  <si>
    <t>044.050.935-12</t>
  </si>
  <si>
    <t>000871344402-4</t>
  </si>
  <si>
    <t>Edmundo Silva de Souza</t>
  </si>
  <si>
    <t>431.163.615-68</t>
  </si>
  <si>
    <t>00000441-7</t>
  </si>
  <si>
    <t>Paulo de Jesus Oliveira</t>
  </si>
  <si>
    <t>045.922.065-92</t>
  </si>
  <si>
    <t>000733216679-9</t>
  </si>
  <si>
    <t>João Batista Baldoino Damasceno</t>
  </si>
  <si>
    <t>034.889.285-35</t>
  </si>
  <si>
    <t>0521130-1</t>
  </si>
  <si>
    <t>Dhiana Karen da Silva Santos</t>
  </si>
  <si>
    <t>861.601.865-40</t>
  </si>
  <si>
    <t>000867118773-8</t>
  </si>
  <si>
    <t>Roniclei Souza da Silva</t>
  </si>
  <si>
    <t>037.211.105-01</t>
  </si>
  <si>
    <t>000736892357-3</t>
  </si>
  <si>
    <t>Nilvia Ribeiro Oliveira</t>
  </si>
  <si>
    <t>053.563.195-25</t>
  </si>
  <si>
    <t>920379071-9</t>
  </si>
  <si>
    <t>Renato Rosa de Sousa</t>
  </si>
  <si>
    <t>053.510.765-00</t>
  </si>
  <si>
    <t>00008548-9</t>
  </si>
  <si>
    <t>Adoniles Anjos de Souza</t>
  </si>
  <si>
    <t>860.253.995-90</t>
  </si>
  <si>
    <t>0004893-3</t>
  </si>
  <si>
    <t>Alzira Maria da Cruz</t>
  </si>
  <si>
    <t>037.444.025-50</t>
  </si>
  <si>
    <t>00011403-0</t>
  </si>
  <si>
    <t>Edmar Cruz de Oliveira</t>
  </si>
  <si>
    <t>034.058.925-62</t>
  </si>
  <si>
    <t>00008993-1</t>
  </si>
  <si>
    <t>Edimundo dos Santos Quirino</t>
  </si>
  <si>
    <t>063.333.215-16</t>
  </si>
  <si>
    <t>1002490-0</t>
  </si>
  <si>
    <t>Natalia Santos De Morais</t>
  </si>
  <si>
    <t>077.239.005-38</t>
  </si>
  <si>
    <t>000875469696-6</t>
  </si>
  <si>
    <t>Cristiano Novais Oliveira</t>
  </si>
  <si>
    <t>043.688.675-80</t>
  </si>
  <si>
    <t>000805746437-0</t>
  </si>
  <si>
    <t>023.983.085-70</t>
  </si>
  <si>
    <t>0004518-7</t>
  </si>
  <si>
    <t>Ana Maria de Jesus</t>
  </si>
  <si>
    <t>007.495.865-83</t>
  </si>
  <si>
    <t>000832549271-4</t>
  </si>
  <si>
    <t>Cleciane Maria de Jesus</t>
  </si>
  <si>
    <t>445.500.098-45</t>
  </si>
  <si>
    <t>000869639808-2</t>
  </si>
  <si>
    <t>Ana Rosa Cruz</t>
  </si>
  <si>
    <t>013.564.345-76</t>
  </si>
  <si>
    <t>0640036-1</t>
  </si>
  <si>
    <t>Marizete Araujo de Carvalho</t>
  </si>
  <si>
    <t>011.432.355-09</t>
  </si>
  <si>
    <t>000839084093-4</t>
  </si>
  <si>
    <t>Ana Lucia Oliveira de Souza</t>
  </si>
  <si>
    <t>029.808.375-20</t>
  </si>
  <si>
    <t>José Eduardo Souza</t>
  </si>
  <si>
    <t>058.545.755-74</t>
  </si>
  <si>
    <t>Itamar Barreto de Almeida</t>
  </si>
  <si>
    <t>060.072.995-89</t>
  </si>
  <si>
    <t>0007896-4</t>
  </si>
  <si>
    <t>Francisco Ferreira dos Santos</t>
  </si>
  <si>
    <t>272.466.475-20</t>
  </si>
  <si>
    <t>10677-1</t>
  </si>
  <si>
    <t>Larissa Carol Almeida Alves</t>
  </si>
  <si>
    <t>075.955.665-25</t>
  </si>
  <si>
    <t>00008021-5</t>
  </si>
  <si>
    <t>Silvanei Dourado de Souza</t>
  </si>
  <si>
    <t>052.230.555-51</t>
  </si>
  <si>
    <t>000796526329-8</t>
  </si>
  <si>
    <t>Jorge Luis de Carvalho</t>
  </si>
  <si>
    <t>051.431.943-77</t>
  </si>
  <si>
    <t>20943-0</t>
  </si>
  <si>
    <t>Uelton Vanderlei Bau de Souza</t>
  </si>
  <si>
    <t>038.013.521-37</t>
  </si>
  <si>
    <t>1000114-5</t>
  </si>
  <si>
    <t>Lucas dos Santos Monteiro</t>
  </si>
  <si>
    <t>059.945.105-05</t>
  </si>
  <si>
    <t>0009727-6</t>
  </si>
  <si>
    <t>Natalino Oliveira de Souza</t>
  </si>
  <si>
    <t>353.987.238-80</t>
  </si>
  <si>
    <t>000754259524-6</t>
  </si>
  <si>
    <t>Raimunda Silva Cavalcante</t>
  </si>
  <si>
    <t>010.544.785-46</t>
  </si>
  <si>
    <t>000857259515-3</t>
  </si>
  <si>
    <t>Siomara Santana de Souza</t>
  </si>
  <si>
    <t>042.369.595-93</t>
  </si>
  <si>
    <t>1000466-7</t>
  </si>
  <si>
    <t>Ronilson Paixão Celestino</t>
  </si>
  <si>
    <t>096.034.455-17</t>
  </si>
  <si>
    <t>000755400521-0</t>
  </si>
  <si>
    <t>Irenildo Rosa de Souza</t>
  </si>
  <si>
    <t>048.041.695-80</t>
  </si>
  <si>
    <t>000795820764-7</t>
  </si>
  <si>
    <t>Gildeci de Jesus Souza</t>
  </si>
  <si>
    <t>016.406.774-45</t>
  </si>
  <si>
    <t>000858598146-4</t>
  </si>
  <si>
    <t>Raimundo Rosa de Carvalho</t>
  </si>
  <si>
    <t>862.944.805-90</t>
  </si>
  <si>
    <t>000871345246-9</t>
  </si>
  <si>
    <t>Roniclei de Jesus Santos</t>
  </si>
  <si>
    <t>044.050.945.94</t>
  </si>
  <si>
    <t>1000011-4</t>
  </si>
  <si>
    <t>Marcio Roberto Gomes Peixoto</t>
  </si>
  <si>
    <t>016.930.575-90</t>
  </si>
  <si>
    <t>000859660721-6</t>
  </si>
  <si>
    <t>Tatiane Souza Santos</t>
  </si>
  <si>
    <t>058.285.595-08</t>
  </si>
  <si>
    <t>000798926071-0</t>
  </si>
  <si>
    <t>Ana Clara Nascimento Arruda</t>
  </si>
  <si>
    <t>072.100.185-81</t>
  </si>
  <si>
    <t>000787583883-6</t>
  </si>
  <si>
    <t>Elza Ferreira dos Santos</t>
  </si>
  <si>
    <t>003.773.395-80</t>
  </si>
  <si>
    <t>24.889-4</t>
  </si>
  <si>
    <t>Daniela Gomes Dourado</t>
  </si>
  <si>
    <t>065.099.715-85</t>
  </si>
  <si>
    <t>000802574814-4</t>
  </si>
  <si>
    <t>Regiane de Jesus Santos</t>
  </si>
  <si>
    <t>110.039.915-13</t>
  </si>
  <si>
    <t>0005849-1</t>
  </si>
  <si>
    <t>Tamara Souza de Araújo</t>
  </si>
  <si>
    <t>119.393.695-09</t>
  </si>
  <si>
    <t>531824-6</t>
  </si>
  <si>
    <t>Maria Luzia Souza Pereira</t>
  </si>
  <si>
    <t>046.580.675-95</t>
  </si>
  <si>
    <t>000744668693-7</t>
  </si>
  <si>
    <t>Rozivania Morais de Souza</t>
  </si>
  <si>
    <t>033.951.825-17</t>
  </si>
  <si>
    <t>0004557-8</t>
  </si>
  <si>
    <t>Arlete Alves da Silva</t>
  </si>
  <si>
    <t>025.869.975-22</t>
  </si>
  <si>
    <t>000791139451-3</t>
  </si>
  <si>
    <t>Iara da Mota Santos</t>
  </si>
  <si>
    <t>070.985.215-07</t>
  </si>
  <si>
    <t>000835760977-3</t>
  </si>
  <si>
    <t>Ana Paula Silva Souza</t>
  </si>
  <si>
    <t>700.358.441-75</t>
  </si>
  <si>
    <t>863517947-0</t>
  </si>
  <si>
    <t>Sivolandia Alves de Souza</t>
  </si>
  <si>
    <t>061.859.095-10</t>
  </si>
  <si>
    <t>00016480-0</t>
  </si>
  <si>
    <t>Antônio Marcos de Oliveira Mendes</t>
  </si>
  <si>
    <t>074.441.405-96</t>
  </si>
  <si>
    <t>0002770-7</t>
  </si>
  <si>
    <t>077.866.105-96</t>
  </si>
  <si>
    <t>000854854618-0</t>
  </si>
  <si>
    <t>Luis Fernando Figueredo de Souza</t>
  </si>
  <si>
    <t>039.290.185-43</t>
  </si>
  <si>
    <t>000801417065-0</t>
  </si>
  <si>
    <t>Edvaldo Santos Gabriel</t>
  </si>
  <si>
    <t>60722-3</t>
  </si>
  <si>
    <t>João Marcos Mª de Jesus</t>
  </si>
  <si>
    <t>073.810.445-01</t>
  </si>
  <si>
    <t>000767250941-2</t>
  </si>
  <si>
    <t>Ana Ires Sena de Meira</t>
  </si>
  <si>
    <t>003.574.915-64</t>
  </si>
  <si>
    <t>000875902224-6</t>
  </si>
  <si>
    <t>Ana Paula Cruz Paz</t>
  </si>
  <si>
    <t>098.043.025-94</t>
  </si>
  <si>
    <t>000971461078-9</t>
  </si>
  <si>
    <t>Maria Lúcia Ribeiro da Silva</t>
  </si>
  <si>
    <t>567.280.775-53</t>
  </si>
  <si>
    <t>0604066-7</t>
  </si>
  <si>
    <t>Edivan Brito Santos</t>
  </si>
  <si>
    <t>027.646.095-23</t>
  </si>
  <si>
    <t>0015287-0</t>
  </si>
  <si>
    <t>Wemerson Gonçalves do Nascimento</t>
  </si>
  <si>
    <t>00023527-8</t>
  </si>
  <si>
    <t>Edivaldo da Silva Nascimento</t>
  </si>
  <si>
    <t>000800126033-8</t>
  </si>
  <si>
    <t>Adilson Boaventura Silva</t>
  </si>
  <si>
    <t>000854853133-7</t>
  </si>
  <si>
    <t>Weverton Almeida Borges</t>
  </si>
  <si>
    <t>0005551-4</t>
  </si>
  <si>
    <t>Adailton Barbosa de Jesus</t>
  </si>
  <si>
    <t>861.388.395-87</t>
  </si>
  <si>
    <t>000798526898-8</t>
  </si>
  <si>
    <t>011.546.395-09</t>
  </si>
  <si>
    <t>Jean Cledson Alves de Souza</t>
  </si>
  <si>
    <t>051.860.505-12</t>
  </si>
  <si>
    <t>780401-6</t>
  </si>
  <si>
    <t xml:space="preserve">Amauri de Jesus </t>
  </si>
  <si>
    <t>023.600.695-94</t>
  </si>
  <si>
    <t>000786864169-0</t>
  </si>
  <si>
    <t>João Pedro Carvalho de Souza</t>
  </si>
  <si>
    <t>062.694.685-90</t>
  </si>
  <si>
    <t>000796525434-5</t>
  </si>
  <si>
    <t>Taivan da Silva Souza</t>
  </si>
  <si>
    <t>088.677.415-27</t>
  </si>
  <si>
    <t>000736127548-7</t>
  </si>
  <si>
    <t>Derinalva Novais de Silva</t>
  </si>
  <si>
    <t>000803734984-3</t>
  </si>
  <si>
    <t>Jailma Pereira Amaral</t>
  </si>
  <si>
    <t>017.139.205-14</t>
  </si>
  <si>
    <t>000871264315-5</t>
  </si>
  <si>
    <t>Luik de Souza Oliveira</t>
  </si>
  <si>
    <t>128.250.015-54</t>
  </si>
  <si>
    <t>0006933-7</t>
  </si>
  <si>
    <t>Wagner Jesus de Oliveira</t>
  </si>
  <si>
    <t>862.789.065-03</t>
  </si>
  <si>
    <t>Geovane de Jesus Sousa</t>
  </si>
  <si>
    <t>056.975.605-75</t>
  </si>
  <si>
    <t>0003610-2</t>
  </si>
  <si>
    <t>Leoni de Jesus Carvalho</t>
  </si>
  <si>
    <t>000791088051-1</t>
  </si>
  <si>
    <t>Arlene Alves da Silva</t>
  </si>
  <si>
    <t>036.629.665-57</t>
  </si>
  <si>
    <t>23.612-8</t>
  </si>
  <si>
    <t>Fernando Sousa Nunes</t>
  </si>
  <si>
    <t>086.064.815-05</t>
  </si>
  <si>
    <t>24.003-6</t>
  </si>
  <si>
    <t>Patricia da Mota Santos</t>
  </si>
  <si>
    <t>00015777-3</t>
  </si>
  <si>
    <t>Maria Aparecida Barreto Pires</t>
  </si>
  <si>
    <t>010.467.105-08</t>
  </si>
  <si>
    <t>000833118571-2</t>
  </si>
  <si>
    <t>Vinicius Miranda Santos</t>
  </si>
  <si>
    <t>075.817.675-90</t>
  </si>
  <si>
    <t>000802529865-3</t>
  </si>
  <si>
    <t>Maria Helena Jesus Nascimento</t>
  </si>
  <si>
    <t>028.307.775-14</t>
  </si>
  <si>
    <t>00078416-0</t>
  </si>
  <si>
    <t>Ana Beatris Pereira dos Santos</t>
  </si>
  <si>
    <t>093.538.845-19</t>
  </si>
  <si>
    <t>000817668885-0</t>
  </si>
  <si>
    <t>Noel Sousa Alves</t>
  </si>
  <si>
    <t>073.838.665-09</t>
  </si>
  <si>
    <t>0006496-3</t>
  </si>
  <si>
    <t>Ediana de Jesus Barbosa</t>
  </si>
  <si>
    <t>000848585934-9</t>
  </si>
  <si>
    <t>058.071.465-90</t>
  </si>
  <si>
    <t>000856456472-4</t>
  </si>
  <si>
    <t>Renata Alves de Jesus</t>
  </si>
  <si>
    <t>101.365.855-82</t>
  </si>
  <si>
    <t>Agnaldo Alves de Sousa</t>
  </si>
  <si>
    <t>046.772.955-73</t>
  </si>
  <si>
    <t>12.510-5</t>
  </si>
  <si>
    <t>Ariovaldo Santos da Cruz</t>
  </si>
  <si>
    <t>028.889.485-59</t>
  </si>
  <si>
    <t>00007980-2</t>
  </si>
  <si>
    <t>José Carlos Evangelista de Souza</t>
  </si>
  <si>
    <t>012.693.705-29</t>
  </si>
  <si>
    <t>26.010-X</t>
  </si>
  <si>
    <t>Silvyo Almeida Lima</t>
  </si>
  <si>
    <t>040.817.045-03</t>
  </si>
  <si>
    <t>053.581.065-29</t>
  </si>
  <si>
    <t>000871261445-7</t>
  </si>
  <si>
    <t>Carlos André Araújo dos Santos</t>
  </si>
  <si>
    <t>0006523-4</t>
  </si>
  <si>
    <t>Ivoneto Novais de Oliveira</t>
  </si>
  <si>
    <t>053.135.375.39</t>
  </si>
  <si>
    <t>000798926162-7</t>
  </si>
  <si>
    <t>Cleberson Gonçalves Bispo</t>
  </si>
  <si>
    <t>110.297.035-23</t>
  </si>
  <si>
    <t>746182564-0</t>
  </si>
  <si>
    <t>Ramon Silva de Jesus</t>
  </si>
  <si>
    <t>450.774.598-51</t>
  </si>
  <si>
    <t>747271551-5</t>
  </si>
  <si>
    <t>Edieide Fonseca de Souza</t>
  </si>
  <si>
    <t>730401911-6</t>
  </si>
  <si>
    <t>Sindinalva Santos da Costa</t>
  </si>
  <si>
    <t>062.091.175-11</t>
  </si>
  <si>
    <t>21.269-5</t>
  </si>
  <si>
    <t>Romeu Oliveira de Jesus</t>
  </si>
  <si>
    <t>861.719.245-39</t>
  </si>
  <si>
    <t>000744042557-0</t>
  </si>
  <si>
    <t>Ronildo Profeta da Silva</t>
  </si>
  <si>
    <t>075.984.865-30</t>
  </si>
  <si>
    <t>0007555-8</t>
  </si>
  <si>
    <t>Daniel de Jesus Santos</t>
  </si>
  <si>
    <t>059.695.245-73</t>
  </si>
  <si>
    <t>976895604-1</t>
  </si>
  <si>
    <t>Cicero João da Silva</t>
  </si>
  <si>
    <t>105.024.114-22</t>
  </si>
  <si>
    <t>00005193-2</t>
  </si>
  <si>
    <t>Keila Oliveira dos Santos</t>
  </si>
  <si>
    <t>060.921.665-18</t>
  </si>
  <si>
    <t>746016-3</t>
  </si>
  <si>
    <t>Welkson Mario O. Silva</t>
  </si>
  <si>
    <t>00188125-8</t>
  </si>
  <si>
    <t>Raimundo Sena dos Santos</t>
  </si>
  <si>
    <t>314.890.748-56</t>
  </si>
  <si>
    <t>000796526344-1</t>
  </si>
  <si>
    <t>Italo Pereira Costa</t>
  </si>
  <si>
    <t>110.036.225-85</t>
  </si>
  <si>
    <t>6428-9</t>
  </si>
  <si>
    <t>Giselia Barbosa dos Santos</t>
  </si>
  <si>
    <t>015.540.125-46</t>
  </si>
  <si>
    <t>000850381553-0</t>
  </si>
  <si>
    <t>Naiara Cedro da Costa</t>
  </si>
  <si>
    <t>00014384-5</t>
  </si>
  <si>
    <t>José Carlos Reis Soares</t>
  </si>
  <si>
    <t>014.093.595-90</t>
  </si>
  <si>
    <t>000844108449-0</t>
  </si>
  <si>
    <t>Margarida Martins Silva</t>
  </si>
  <si>
    <t>877.440.315-04</t>
  </si>
  <si>
    <t>00012256-5</t>
  </si>
  <si>
    <t>Jean Oliveira de Souza</t>
  </si>
  <si>
    <t>116.077.615-64</t>
  </si>
  <si>
    <t>7522-1</t>
  </si>
  <si>
    <t>Lucas de Souza Costa</t>
  </si>
  <si>
    <t>703.788.141-41</t>
  </si>
  <si>
    <t>519846-1</t>
  </si>
  <si>
    <t>Josiane Souza Ferreira</t>
  </si>
  <si>
    <t>059.476.615-00</t>
  </si>
  <si>
    <t>000794370239-6</t>
  </si>
  <si>
    <t>Geisa Ferreira Bispo</t>
  </si>
  <si>
    <t>859.475.975-43</t>
  </si>
  <si>
    <t>807038992-1</t>
  </si>
  <si>
    <t>Josevaldo Novais da Silva</t>
  </si>
  <si>
    <t>084.268.555-39</t>
  </si>
  <si>
    <t>000865638368-8</t>
  </si>
  <si>
    <t>José Moreira da Silva</t>
  </si>
  <si>
    <t>226.564.055-72</t>
  </si>
  <si>
    <t>000800931294-9</t>
  </si>
  <si>
    <t>Nailson Roque de Lima da Silva</t>
  </si>
  <si>
    <t>721.775.511-53</t>
  </si>
  <si>
    <t>00061391-3</t>
  </si>
  <si>
    <t>Maria Ubelina de Jesus</t>
  </si>
  <si>
    <t>022.751.915-93</t>
  </si>
  <si>
    <t>0006886-1</t>
  </si>
  <si>
    <t>Jaine da Silva de Jesus</t>
  </si>
  <si>
    <t>110.918.695-96</t>
  </si>
  <si>
    <t>26.112-2</t>
  </si>
  <si>
    <t>Vanilda Messias de Souza</t>
  </si>
  <si>
    <t>956.875.485-72</t>
  </si>
  <si>
    <t>000837229294-7</t>
  </si>
  <si>
    <t>Erivaldo Francisco Silva</t>
  </si>
  <si>
    <t>821.140.801-53</t>
  </si>
  <si>
    <t>00040453-5</t>
  </si>
  <si>
    <t>Jeiza de Jesus Andrade</t>
  </si>
  <si>
    <t>870.185.035-07</t>
  </si>
  <si>
    <t>380219-1</t>
  </si>
  <si>
    <t>Andrea da Silva Soares</t>
  </si>
  <si>
    <t>028.587.125-06</t>
  </si>
  <si>
    <t>000849302482-0</t>
  </si>
  <si>
    <t>Tamires Santana Fernandes</t>
  </si>
  <si>
    <t>063.436.475-89</t>
  </si>
  <si>
    <t>2482-1</t>
  </si>
  <si>
    <t>711074-0</t>
  </si>
  <si>
    <t>Maria Neusa de Jesus Santos</t>
  </si>
  <si>
    <t>034.657.085-98</t>
  </si>
  <si>
    <t>000858060649-5</t>
  </si>
  <si>
    <t>João Batista Rodrigues de Aquino</t>
  </si>
  <si>
    <t>014.812.045-80</t>
  </si>
  <si>
    <t>000766867113-8</t>
  </si>
  <si>
    <t>Carlos Eduardo Oliveira dos Anjos</t>
  </si>
  <si>
    <t>566.400.478-96</t>
  </si>
  <si>
    <t>0987-3</t>
  </si>
  <si>
    <t>81.531-0</t>
  </si>
  <si>
    <t>296.710.348-96</t>
  </si>
  <si>
    <t>000860461984-2</t>
  </si>
  <si>
    <t>Vitória Meira dos Santos</t>
  </si>
  <si>
    <t>342497-9</t>
  </si>
  <si>
    <t>Jeane Santana Barbosa</t>
  </si>
  <si>
    <t>088.523.535-50</t>
  </si>
  <si>
    <t>00073639-0</t>
  </si>
  <si>
    <t>Vanda dos Santos Silva</t>
  </si>
  <si>
    <t>085.698.725-50</t>
  </si>
  <si>
    <t>96540-5</t>
  </si>
  <si>
    <t>101.886.545-42</t>
  </si>
  <si>
    <t>000840374624-3</t>
  </si>
  <si>
    <t>João Batista Souza Santos</t>
  </si>
  <si>
    <t>024.788.615-77</t>
  </si>
  <si>
    <t>14.008-2</t>
  </si>
  <si>
    <t>Edelson Jesus de Paula</t>
  </si>
  <si>
    <t>079.804.115-36</t>
  </si>
  <si>
    <t>968466412-0</t>
  </si>
  <si>
    <t>Neusa Bastos Gomes</t>
  </si>
  <si>
    <t>007.006.925-50</t>
  </si>
  <si>
    <t>00008584-6</t>
  </si>
  <si>
    <t>Jonleno Lopes de Oliveira</t>
  </si>
  <si>
    <t>00004284-4</t>
  </si>
  <si>
    <t>Renata Gomes da Silva</t>
  </si>
  <si>
    <t>112.117.835-96</t>
  </si>
  <si>
    <t>615604-5</t>
  </si>
  <si>
    <t>Jaira Martins de Souza</t>
  </si>
  <si>
    <t>132.847.759-90</t>
  </si>
  <si>
    <t>674726-4</t>
  </si>
  <si>
    <t>Atenor Fonseca Pereira</t>
  </si>
  <si>
    <t>070.292.496-23</t>
  </si>
  <si>
    <t>000874005151-8</t>
  </si>
  <si>
    <t>Fabrício Brandão Lima</t>
  </si>
  <si>
    <t>109.107.875-06</t>
  </si>
  <si>
    <t>23.310-2</t>
  </si>
  <si>
    <t>Maria Eulina Ribeiro da Silva</t>
  </si>
  <si>
    <t>569.802.645-91</t>
  </si>
  <si>
    <t>000721991315-0</t>
  </si>
  <si>
    <t>Laisa Oliveira dos Santos</t>
  </si>
  <si>
    <t>864.139.275-00</t>
  </si>
  <si>
    <t>3032-5</t>
  </si>
  <si>
    <t>0025619-6</t>
  </si>
  <si>
    <t>Camila Souza dos Santos</t>
  </si>
  <si>
    <t>109.090.145-31</t>
  </si>
  <si>
    <t>Ilza Matos S. Santos</t>
  </si>
  <si>
    <t>007.796.945-62</t>
  </si>
  <si>
    <t>9.845-0</t>
  </si>
  <si>
    <t>049.969.475-94</t>
  </si>
  <si>
    <t>854052914-7</t>
  </si>
  <si>
    <t>Cristiene da Silva Souza</t>
  </si>
  <si>
    <t>059.373.255-32</t>
  </si>
  <si>
    <t>736214435-1</t>
  </si>
  <si>
    <t>Danilo de Souza Silva</t>
  </si>
  <si>
    <t>109.466.395-66</t>
  </si>
  <si>
    <t xml:space="preserve"> 633639-6</t>
  </si>
  <si>
    <t xml:space="preserve">Marielda Rosa da Silva </t>
  </si>
  <si>
    <t>948.468.395-91</t>
  </si>
  <si>
    <t>805747411-2</t>
  </si>
  <si>
    <t>Maria Tania da Silva Oliveira</t>
  </si>
  <si>
    <t>012.260.775-95</t>
  </si>
  <si>
    <t>Manoel Oliveira Sousa</t>
  </si>
  <si>
    <t>081.867.435-02</t>
  </si>
  <si>
    <t>863114173-7</t>
  </si>
  <si>
    <t>Miralva Oliveira Santos</t>
  </si>
  <si>
    <t>446.643.035-72</t>
  </si>
  <si>
    <t>000802957736-0</t>
  </si>
  <si>
    <t>Elizeu Silva de Oliveira</t>
  </si>
  <si>
    <t>021.608.605-14</t>
  </si>
  <si>
    <t>900-8</t>
  </si>
  <si>
    <t>19229-5</t>
  </si>
  <si>
    <t>Jailson Mendes Santos</t>
  </si>
  <si>
    <t>066.253.615-00</t>
  </si>
  <si>
    <t>000895654386-9</t>
  </si>
  <si>
    <t>Marizete Souza dos Santos</t>
  </si>
  <si>
    <t>852987169-1</t>
  </si>
  <si>
    <t>Dominga Santos de Araújo</t>
  </si>
  <si>
    <t>000844362529-3</t>
  </si>
  <si>
    <t>Rejane dos Santos S. Santana</t>
  </si>
  <si>
    <t>021.096.615-77</t>
  </si>
  <si>
    <t>000849661623-0</t>
  </si>
  <si>
    <t>014.136.315-09</t>
  </si>
  <si>
    <t>000866693521-7</t>
  </si>
  <si>
    <t>Erivaldo Oliveira Sousa</t>
  </si>
  <si>
    <t>861.900.395-02</t>
  </si>
  <si>
    <t>000867073953-2</t>
  </si>
  <si>
    <t>Renata Souza Campos</t>
  </si>
  <si>
    <t>108.010.315-59</t>
  </si>
  <si>
    <t>000718689394-6</t>
  </si>
  <si>
    <t>Aurea Rodrigues Santos</t>
  </si>
  <si>
    <t>039.514.445-09</t>
  </si>
  <si>
    <t>000804942551-5</t>
  </si>
  <si>
    <t>Silvandira Sousa Ferreira</t>
  </si>
  <si>
    <t>951.007.765-87</t>
  </si>
  <si>
    <t>000970828438-1</t>
  </si>
  <si>
    <t>Bruno Silva dos Santos</t>
  </si>
  <si>
    <t>045.880.755.94</t>
  </si>
  <si>
    <t>26.058-4</t>
  </si>
  <si>
    <t>Juraci Monteiro da Silva</t>
  </si>
  <si>
    <t>547.105.885-20</t>
  </si>
  <si>
    <t>000718714676-1</t>
  </si>
  <si>
    <t>Jailde dos Santos Santana</t>
  </si>
  <si>
    <t>043.040.085-36</t>
  </si>
  <si>
    <t>Edineia Jesus dos Santos</t>
  </si>
  <si>
    <t>053.091.535.94</t>
  </si>
  <si>
    <t>0008026-8</t>
  </si>
  <si>
    <t>Hebert Silva F. de Almeida</t>
  </si>
  <si>
    <t>055.177.095-32</t>
  </si>
  <si>
    <t>000836867058-4</t>
  </si>
  <si>
    <t>Nailson Souza da Silva</t>
  </si>
  <si>
    <t>861.553.015-73</t>
  </si>
  <si>
    <t>194288-3</t>
  </si>
  <si>
    <t>Tiago de Jesus Carvalho</t>
  </si>
  <si>
    <t>118.050.255-89</t>
  </si>
  <si>
    <t>000732323904-5</t>
  </si>
  <si>
    <t>Alicevaldo Santos de Oliveira</t>
  </si>
  <si>
    <t>056.330.505-33</t>
  </si>
  <si>
    <t>000875461743-8</t>
  </si>
  <si>
    <t>Welton Santos da Silva</t>
  </si>
  <si>
    <t>020.014.575-45</t>
  </si>
  <si>
    <t>0119983-8</t>
  </si>
  <si>
    <t>Luara Santos Lima</t>
  </si>
  <si>
    <t>067.120.915-94</t>
  </si>
  <si>
    <t>000861015514-3</t>
  </si>
  <si>
    <t>Alef Souza da Cruz</t>
  </si>
  <si>
    <t>062.417.335-67</t>
  </si>
  <si>
    <t>000835795363-6</t>
  </si>
  <si>
    <t>Thamara de Jesus Anjos</t>
  </si>
  <si>
    <t>053.803.275-83</t>
  </si>
  <si>
    <t>728973031-4</t>
  </si>
  <si>
    <t>Tatiane dos Santos Sales</t>
  </si>
  <si>
    <t>059.077.455-76</t>
  </si>
  <si>
    <t>000806145017-6</t>
  </si>
  <si>
    <t>Edivando Silva Brito</t>
  </si>
  <si>
    <t>024.306.565-58</t>
  </si>
  <si>
    <t>000793192523-9</t>
  </si>
  <si>
    <t>Almerindo Oliveira Souza</t>
  </si>
  <si>
    <t>061.379.845-75</t>
  </si>
  <si>
    <t>000869895609-0</t>
  </si>
  <si>
    <t>Carmelia Alves de Jesus</t>
  </si>
  <si>
    <t>004.699.765-27</t>
  </si>
  <si>
    <t>000868574583-5</t>
  </si>
  <si>
    <t>Edinaldo Silva Barbosa</t>
  </si>
  <si>
    <t>108.918.225-26</t>
  </si>
  <si>
    <t>26.499-7</t>
  </si>
  <si>
    <t>Ana Carolina de Jesus Pires Souza</t>
  </si>
  <si>
    <t>062.583.075-07</t>
  </si>
  <si>
    <t>17495-5</t>
  </si>
  <si>
    <t>Josias Gomes Alves</t>
  </si>
  <si>
    <t>864.271.415-89</t>
  </si>
  <si>
    <t>575070794-2</t>
  </si>
  <si>
    <t>Maria Madalena Mendes</t>
  </si>
  <si>
    <t>005.250.215-58</t>
  </si>
  <si>
    <t>000833116987-3</t>
  </si>
  <si>
    <t>Erenilton Rodrigues Oliveira</t>
  </si>
  <si>
    <t>109.103.325-09</t>
  </si>
  <si>
    <t>57.780-4</t>
  </si>
  <si>
    <t>Dalton de O. de Souza</t>
  </si>
  <si>
    <t>026.367.775-39</t>
  </si>
  <si>
    <t>000874342935-0</t>
  </si>
  <si>
    <t>100.826.425-32</t>
  </si>
  <si>
    <t>219778-2</t>
  </si>
  <si>
    <t>Marline de Jesus Ribeiro</t>
  </si>
  <si>
    <t>008.092.405-05</t>
  </si>
  <si>
    <t>000838155366-9</t>
  </si>
  <si>
    <t>Talison Souza Santos</t>
  </si>
  <si>
    <t>061.036.705-60</t>
  </si>
  <si>
    <t>000858616502-4</t>
  </si>
  <si>
    <t>Pedro Oliveira Santos</t>
  </si>
  <si>
    <t>491.842.965-34</t>
  </si>
  <si>
    <t>0008889-7</t>
  </si>
  <si>
    <t>Vitória Silva dos Anjos</t>
  </si>
  <si>
    <t>101.083.855-79</t>
  </si>
  <si>
    <t>793297114-5</t>
  </si>
  <si>
    <t>Jaqueleide Oliveira Rodrigues</t>
  </si>
  <si>
    <t>119.407.175-90</t>
  </si>
  <si>
    <t>748087689-1</t>
  </si>
  <si>
    <t>Dionilson Moraes de Almeida</t>
  </si>
  <si>
    <t>034.560.575-63</t>
  </si>
  <si>
    <t>15.426-1</t>
  </si>
  <si>
    <t>João Batista Alves</t>
  </si>
  <si>
    <t>225.256.375.34</t>
  </si>
  <si>
    <t>000858060507-3</t>
  </si>
  <si>
    <t>Gessivaldo Marques das Neves</t>
  </si>
  <si>
    <t>995.741.955-20</t>
  </si>
  <si>
    <t>000857815467-1</t>
  </si>
  <si>
    <t>Maria de Lourdes Ferreira de Souza</t>
  </si>
  <si>
    <t>000836304269-0</t>
  </si>
  <si>
    <t>Rubenia Macedo da Silva</t>
  </si>
  <si>
    <t>FVB - JOÃO CORDEIRO NEVES</t>
  </si>
  <si>
    <t>CONTROLE DA COLHEITA DIÁRIA DE CAFÉ</t>
  </si>
  <si>
    <t xml:space="preserve">TURMA:        Utinga                                                                                  </t>
  </si>
  <si>
    <t>Nº</t>
  </si>
  <si>
    <t>NOME</t>
  </si>
  <si>
    <t>SEG. 27/06/22</t>
  </si>
  <si>
    <t>TER. 28/06/22</t>
  </si>
  <si>
    <t>QUA. 29/06/22</t>
  </si>
  <si>
    <t>QUI. 30/06/22</t>
  </si>
  <si>
    <t>QUI. 23/06/22</t>
  </si>
  <si>
    <t>SEX. 24/06/22</t>
  </si>
  <si>
    <t>TOTAL</t>
  </si>
  <si>
    <t>SETOR:                                            QDS:</t>
  </si>
  <si>
    <t>TOTAL LATAS COLHIDAS</t>
  </si>
  <si>
    <t>TOTAL DE COLHEDORES</t>
  </si>
  <si>
    <t>MÉDIA LATAS P/ COLHEDOR</t>
  </si>
  <si>
    <t xml:space="preserve">VISTO DO FISCAL/APONTADOR: </t>
  </si>
  <si>
    <t xml:space="preserve">TURMA:        Bonito                                                                            </t>
  </si>
  <si>
    <t xml:space="preserve">TURMA:          Bonito                                                                                        </t>
  </si>
  <si>
    <t xml:space="preserve">TURMA:           Bonito                                                                                    </t>
  </si>
  <si>
    <t xml:space="preserve">TURMA:           Bonito                                                                              </t>
  </si>
  <si>
    <t>TURMA:           Bonito</t>
  </si>
  <si>
    <t xml:space="preserve">TURMA:        Bonito                                                                                  </t>
  </si>
  <si>
    <t xml:space="preserve">TURMA:        Bonito                                                                                 </t>
  </si>
  <si>
    <t xml:space="preserve">TURMA:        Bonito                                                                                </t>
  </si>
  <si>
    <t>Ivanella E. Souza</t>
  </si>
  <si>
    <t xml:space="preserve">TURMA:        Bonito                                                                               </t>
  </si>
  <si>
    <t xml:space="preserve">RELAÇÃO DE DEPÓSITOS DA COLHEITA MANUAL DE CAFÉ </t>
  </si>
  <si>
    <r>
      <t>BONITO/</t>
    </r>
    <r>
      <rPr>
        <b/>
        <sz val="12"/>
        <color rgb="FFFF0000"/>
        <rFont val="Calibri"/>
        <family val="2"/>
        <scheme val="minor"/>
      </rPr>
      <t>UTINGA</t>
    </r>
    <r>
      <rPr>
        <b/>
        <sz val="12"/>
        <color theme="1"/>
        <rFont val="Calibri"/>
        <family val="2"/>
        <scheme val="minor"/>
      </rPr>
      <t xml:space="preserve"> - SEMANA DE: 23/06 À 30/06/2022</t>
    </r>
  </si>
  <si>
    <t>Cx. Econômica Federal S/A - UTINGA/BONITO - SEMANA DE: 23/06 À 30/06/2022</t>
  </si>
  <si>
    <t xml:space="preserve">Nº de </t>
  </si>
  <si>
    <t>Latas a Pagar</t>
  </si>
  <si>
    <t>Vlr. R$</t>
  </si>
  <si>
    <t>Valor de Depósitos</t>
  </si>
  <si>
    <t>Cadastro</t>
  </si>
  <si>
    <t>Lata</t>
  </si>
  <si>
    <t>Cx.Econ</t>
  </si>
  <si>
    <t>Maria Núbia F Silva</t>
  </si>
  <si>
    <t>Lusinete Oliveira Sousa</t>
  </si>
  <si>
    <t>00012551-1</t>
  </si>
  <si>
    <t>Márcio A. H. Cavalcante</t>
  </si>
  <si>
    <t>00010762-0</t>
  </si>
  <si>
    <t>Gesiana Oliveira Souza</t>
  </si>
  <si>
    <t>00011638-6</t>
  </si>
  <si>
    <t>00006495-4</t>
  </si>
  <si>
    <t>"</t>
  </si>
  <si>
    <t>Marenilde Nascimento</t>
  </si>
  <si>
    <t>00028533-0</t>
  </si>
  <si>
    <t>00078843-9</t>
  </si>
  <si>
    <t>Cx. Econ</t>
  </si>
  <si>
    <t>Cristina Santos de Souza</t>
  </si>
  <si>
    <t>00014933-0</t>
  </si>
  <si>
    <t>00020248-8</t>
  </si>
  <si>
    <t>R$</t>
  </si>
  <si>
    <t>00017532-1</t>
  </si>
  <si>
    <t>Viviana dos Santos Souza</t>
  </si>
  <si>
    <t>00010470-2</t>
  </si>
  <si>
    <t>Cx Econ</t>
  </si>
  <si>
    <t>00025381-4</t>
  </si>
  <si>
    <t>Ana Rita Santos Souza</t>
  </si>
  <si>
    <t>Mª Rosa de Jesus Pereira</t>
  </si>
  <si>
    <t>Mª Fátima Mota dos Santos</t>
  </si>
  <si>
    <t>Gildeir Oliveira Morais</t>
  </si>
  <si>
    <t xml:space="preserve">Cx.Econ </t>
  </si>
  <si>
    <t>00009806-0</t>
  </si>
  <si>
    <t>749756638-6</t>
  </si>
  <si>
    <t>Mª do Carmo B de Oliveira</t>
  </si>
  <si>
    <t>00021209-0</t>
  </si>
  <si>
    <t>854053138-9</t>
  </si>
  <si>
    <t>00008609-4</t>
  </si>
  <si>
    <t>Jeremias Ferreira</t>
  </si>
  <si>
    <t>00001039-7</t>
  </si>
  <si>
    <t>.</t>
  </si>
  <si>
    <t>Elizete Nascimento Souza</t>
  </si>
  <si>
    <t>José Amaro P Vicente</t>
  </si>
  <si>
    <t>Terezinha C Ferreira</t>
  </si>
  <si>
    <t>Jacqueline Anjos Ribeiro</t>
  </si>
  <si>
    <t>Irailde Rumana P Silva</t>
  </si>
  <si>
    <t>Stª Mª C Oliveira</t>
  </si>
  <si>
    <t>Mª Betania E Souza</t>
  </si>
  <si>
    <t>Fernando Sateles Santana</t>
  </si>
  <si>
    <t>Ana Lucia O Souza</t>
  </si>
  <si>
    <t>Glece Sateles Oliveira</t>
  </si>
  <si>
    <t>Manoel Barreto Santos</t>
  </si>
  <si>
    <t>Edinaide Mª Ferreira</t>
  </si>
  <si>
    <t>00012197-6</t>
  </si>
  <si>
    <t>Bradesco S/A - UTINGA/BONITO - SEMANA DE: 23/06 À 30/06/2022</t>
  </si>
  <si>
    <t>00020320-1</t>
  </si>
  <si>
    <t>Brades</t>
  </si>
  <si>
    <t>poup.</t>
  </si>
  <si>
    <t>Dione P Gomes</t>
  </si>
  <si>
    <t>Valternei de Jesus Souza</t>
  </si>
  <si>
    <t>0014845-8</t>
  </si>
  <si>
    <t>Mateus Sousa de Oliveira</t>
  </si>
  <si>
    <t>0579-7</t>
  </si>
  <si>
    <t>Banco do Brasil S/A - UTINGA/BONITO - SEMANA DE: 23/06 À 30/06/2022</t>
  </si>
  <si>
    <t>B/Brasil</t>
  </si>
  <si>
    <t>Edielson S Oliveira</t>
  </si>
  <si>
    <t>Gilberlandia S Santos</t>
  </si>
  <si>
    <t>Lucineide Souza dos Santos</t>
  </si>
  <si>
    <t>Gilmacio S Oliveira</t>
  </si>
  <si>
    <t>Mª P B Santos</t>
  </si>
  <si>
    <t xml:space="preserve">B/Brasil </t>
  </si>
  <si>
    <t>2°SEMANA</t>
  </si>
  <si>
    <t>3°SEMANA</t>
  </si>
  <si>
    <t>4°SEMANA</t>
  </si>
  <si>
    <t>Colaborador</t>
  </si>
  <si>
    <t>Turma</t>
  </si>
  <si>
    <t>Setor</t>
  </si>
  <si>
    <t>Quadra</t>
  </si>
  <si>
    <t>11/jul2</t>
  </si>
  <si>
    <t>12/jul3</t>
  </si>
  <si>
    <t>13/jul4</t>
  </si>
  <si>
    <t>14/jul5</t>
  </si>
  <si>
    <t>08/jul26</t>
  </si>
  <si>
    <t>08/07 À 14/077</t>
  </si>
  <si>
    <t>18/jul2</t>
  </si>
  <si>
    <t>19/jul2</t>
  </si>
  <si>
    <t>20/jul</t>
  </si>
  <si>
    <t>21/jul</t>
  </si>
  <si>
    <t>15/jul2</t>
  </si>
  <si>
    <t>15/07 À 21/07</t>
  </si>
  <si>
    <t>25/jul2</t>
  </si>
  <si>
    <t>26/jul2</t>
  </si>
  <si>
    <t>27/jul</t>
  </si>
  <si>
    <t>28/jul2</t>
  </si>
  <si>
    <t>22/jul2</t>
  </si>
  <si>
    <t>25/07 À 28/07</t>
  </si>
  <si>
    <t>Total</t>
  </si>
  <si>
    <t>COLABORADOR</t>
  </si>
  <si>
    <t>PERIODO</t>
  </si>
  <si>
    <t>SEMANA</t>
  </si>
  <si>
    <t>VALOR DEPOSITO</t>
  </si>
  <si>
    <t>\</t>
  </si>
  <si>
    <t>BANCOS</t>
  </si>
  <si>
    <t>Àrea</t>
  </si>
  <si>
    <t>VALOR LATA</t>
  </si>
  <si>
    <t>Utinga</t>
  </si>
  <si>
    <t>Coluna1</t>
  </si>
  <si>
    <t xml:space="preserve">Vista Bela </t>
  </si>
  <si>
    <t>1° SEMANA</t>
  </si>
  <si>
    <t>2° SEMANA</t>
  </si>
  <si>
    <t>3° SEMANA</t>
  </si>
  <si>
    <t xml:space="preserve"> </t>
  </si>
  <si>
    <t>4° SEMANA</t>
  </si>
  <si>
    <t>5° SEMANA</t>
  </si>
  <si>
    <t>GHDHG</t>
  </si>
  <si>
    <t>000856456518-6</t>
  </si>
  <si>
    <t>876738728-2</t>
  </si>
  <si>
    <t>007.421.375-03</t>
  </si>
  <si>
    <t>027.062.925-47</t>
  </si>
  <si>
    <t>Edcarlos Santos de Souza</t>
  </si>
  <si>
    <t>Isabela Silva Lima</t>
  </si>
  <si>
    <t>Valdic Araújo da Silva</t>
  </si>
  <si>
    <t>Inácio de Jesus Silva</t>
  </si>
  <si>
    <t>000716699039-3</t>
  </si>
  <si>
    <t>000979201486-7</t>
  </si>
  <si>
    <t>735951363-5</t>
  </si>
  <si>
    <t>731657513-2</t>
  </si>
  <si>
    <t>877.823.085-34</t>
  </si>
  <si>
    <t>079.874.955-57</t>
  </si>
  <si>
    <t>016.359.905-05</t>
  </si>
  <si>
    <t>883.688.745-72</t>
  </si>
  <si>
    <t>431.130.105-78</t>
  </si>
  <si>
    <t>101.202.745-74</t>
  </si>
  <si>
    <t>031.310.115-99</t>
  </si>
  <si>
    <t>108.126.825-56</t>
  </si>
  <si>
    <t>Marlene Tomaz Rosa</t>
  </si>
  <si>
    <t>000746434279-9</t>
  </si>
  <si>
    <t>Cacilio Araújo dos Anjos</t>
  </si>
  <si>
    <t>000769368403-5</t>
  </si>
  <si>
    <t>Lusmare Silva dos Santos</t>
  </si>
  <si>
    <t>000791896553-2</t>
  </si>
  <si>
    <t>Venilson Jesus de Souza</t>
  </si>
  <si>
    <t>1000496-9</t>
  </si>
  <si>
    <t>Doralice Barbosa de Souza</t>
  </si>
  <si>
    <t>000833542914-4</t>
  </si>
  <si>
    <t>000856456041-9</t>
  </si>
  <si>
    <t>000858859981-1</t>
  </si>
  <si>
    <t>Ricardo Sousa Silva</t>
  </si>
  <si>
    <t>Sirlania de Souza Santos</t>
  </si>
  <si>
    <t>0006189-1</t>
  </si>
  <si>
    <t>868521413-9</t>
  </si>
  <si>
    <t>000854346366-0</t>
  </si>
  <si>
    <t>000857259294-4</t>
  </si>
  <si>
    <t>Kaua da Silva Gois</t>
  </si>
  <si>
    <t>736816195-9</t>
  </si>
  <si>
    <t>Rosangela Alves Pereira</t>
  </si>
  <si>
    <t>27.179-9</t>
  </si>
  <si>
    <t>000854052558-3</t>
  </si>
  <si>
    <t>Alana Cristina Silva Nascimento</t>
  </si>
  <si>
    <t>Roseane Moreira da Silva</t>
  </si>
  <si>
    <t>26.587-X</t>
  </si>
  <si>
    <t>000854551724-4</t>
  </si>
  <si>
    <t>Regineide Edite de Souza</t>
  </si>
  <si>
    <t>000802134201-1</t>
  </si>
  <si>
    <t>000858861751-8</t>
  </si>
  <si>
    <t>22.787-0</t>
  </si>
  <si>
    <t>Alciene Alves de Jesus</t>
  </si>
  <si>
    <t>Edilson Silva de Oliveira</t>
  </si>
  <si>
    <t>035.524.425-02</t>
  </si>
  <si>
    <t>102.181.684-11</t>
  </si>
  <si>
    <t>118.689.495-40</t>
  </si>
  <si>
    <t>042.022.555-26</t>
  </si>
  <si>
    <t>837.382.905-91</t>
  </si>
  <si>
    <t>079.373.335-96</t>
  </si>
  <si>
    <t>020.555.585-36</t>
  </si>
  <si>
    <t>482.301.381-68</t>
  </si>
  <si>
    <t>050.136.735-77</t>
  </si>
  <si>
    <t>118.424.476-61</t>
  </si>
  <si>
    <t>060.263.725-20</t>
  </si>
  <si>
    <t>074.392.385-59</t>
  </si>
  <si>
    <t>119.424.985-00</t>
  </si>
  <si>
    <t>024.349.365-71</t>
  </si>
  <si>
    <t>000857750395-8</t>
  </si>
  <si>
    <t>044.515.905-74</t>
  </si>
  <si>
    <t>702.131.571-60</t>
  </si>
  <si>
    <t>Gabriela Silva Peixoto</t>
  </si>
  <si>
    <t>000736193018-3</t>
  </si>
  <si>
    <t>Nilton Barboza dos Anjos</t>
  </si>
  <si>
    <t>000859661003-9</t>
  </si>
  <si>
    <t>00037489-1</t>
  </si>
  <si>
    <t>Luciano Santos Oliveira</t>
  </si>
  <si>
    <t>Rosilva Almeida Moreira</t>
  </si>
  <si>
    <t>000832550002-4</t>
  </si>
  <si>
    <t>Martinho Rodrigues de Jesus Neto</t>
  </si>
  <si>
    <t>582335-8</t>
  </si>
  <si>
    <t>000795814993-0</t>
  </si>
  <si>
    <t>Vinicio Silva de Souza</t>
  </si>
  <si>
    <t>0005188-8</t>
  </si>
  <si>
    <t>Marcio Silva de Souza</t>
  </si>
  <si>
    <t>0007166-8</t>
  </si>
  <si>
    <t>Diego Silva Oliveira</t>
  </si>
  <si>
    <t>26978-6</t>
  </si>
  <si>
    <t>Luciano Salviano da Silva</t>
  </si>
  <si>
    <t>000794876949-9</t>
  </si>
  <si>
    <t>Lucas de Jesus Alves</t>
  </si>
  <si>
    <t>2747-2</t>
  </si>
  <si>
    <t>0049667-7</t>
  </si>
  <si>
    <t>Franciele Almeida da Silva</t>
  </si>
  <si>
    <t>Geny Rosa da Silva</t>
  </si>
  <si>
    <t>Keile Bastos da Silva</t>
  </si>
  <si>
    <t>844023973-2</t>
  </si>
  <si>
    <t>000800126057-5</t>
  </si>
  <si>
    <t>0010803-0</t>
  </si>
  <si>
    <t>843413389-8</t>
  </si>
  <si>
    <t>785912434-4</t>
  </si>
  <si>
    <t>Carlos Ronei Machado Silva</t>
  </si>
  <si>
    <t>000854054369-7</t>
  </si>
  <si>
    <t>000766911898-0</t>
  </si>
  <si>
    <t>078.136.455-88</t>
  </si>
  <si>
    <t>047.561.175-62</t>
  </si>
  <si>
    <t>177.499.288-47</t>
  </si>
  <si>
    <t>526.631.245-91</t>
  </si>
  <si>
    <t xml:space="preserve">Nobertino Mauricio da Conceição </t>
  </si>
  <si>
    <t>015.091.315-07</t>
  </si>
  <si>
    <t>864.144.135-26</t>
  </si>
  <si>
    <t>074.288.675-17</t>
  </si>
  <si>
    <t>874.411.365-04</t>
  </si>
  <si>
    <t>028.992.415-40</t>
  </si>
  <si>
    <t>069.366.625-01</t>
  </si>
  <si>
    <t>094.899.705-22</t>
  </si>
  <si>
    <t>043.825.175-08</t>
  </si>
  <si>
    <t>125.024.085-98</t>
  </si>
  <si>
    <t>053.306.865-71</t>
  </si>
  <si>
    <t>861.551.285-02</t>
  </si>
  <si>
    <t>547.265.735-00</t>
  </si>
  <si>
    <t>062.896.175-83</t>
  </si>
  <si>
    <t>013.032.855-33</t>
  </si>
  <si>
    <t>067.666.695-78</t>
  </si>
  <si>
    <t>017.217.945-90</t>
  </si>
  <si>
    <t>000800128717-1</t>
  </si>
  <si>
    <t>Antônio Marcos de Barros</t>
  </si>
  <si>
    <t>Maria da Paixão Novais de Jesus</t>
  </si>
  <si>
    <t>Marcos Santos de Oliveira</t>
  </si>
  <si>
    <t>083.629.245-60</t>
  </si>
  <si>
    <t>088.149.135-79</t>
  </si>
  <si>
    <t>073.828.195-66</t>
  </si>
  <si>
    <t>077.661.485-10</t>
  </si>
  <si>
    <t>049.326.135-47</t>
  </si>
  <si>
    <t>0005554-9</t>
  </si>
  <si>
    <t>000849302505-2</t>
  </si>
  <si>
    <t>000869133158-3</t>
  </si>
  <si>
    <t>046.529.535-50</t>
  </si>
  <si>
    <t>Juarez Pereira de Jesus</t>
  </si>
  <si>
    <t>Edileide Moreira de Souza</t>
  </si>
  <si>
    <t>Gabriel Marciano dos Santos</t>
  </si>
  <si>
    <t>Manoel Santos de Souza</t>
  </si>
  <si>
    <t>Gilvan Oliveira Santos</t>
  </si>
  <si>
    <t>Renaldo Santos de Oliveira</t>
  </si>
  <si>
    <t>Adeangela Silva de Miranda</t>
  </si>
  <si>
    <t>Ivanilton Messias da Silva</t>
  </si>
  <si>
    <t>000859660611-2</t>
  </si>
  <si>
    <t>537768-4</t>
  </si>
  <si>
    <t>000850740746-1</t>
  </si>
  <si>
    <t>000858860383-5</t>
  </si>
  <si>
    <t>000858860089-5</t>
  </si>
  <si>
    <t>1001189-2</t>
  </si>
  <si>
    <t>000783309113-9</t>
  </si>
  <si>
    <t>000854852917-0</t>
  </si>
  <si>
    <t>0006455-6</t>
  </si>
  <si>
    <t>Lidiane Querina da Silva</t>
  </si>
  <si>
    <t>000860460106-4</t>
  </si>
  <si>
    <t>David dos Santos Ferreira</t>
  </si>
  <si>
    <t>Gilvan da Silva Carvalho</t>
  </si>
  <si>
    <t>Karine Souza Pires</t>
  </si>
  <si>
    <t>Jandira Longuinho de Sousa</t>
  </si>
  <si>
    <t>000834462393-4</t>
  </si>
  <si>
    <t>655737-6</t>
  </si>
  <si>
    <t>0015305-2</t>
  </si>
  <si>
    <t>000856456232-2</t>
  </si>
  <si>
    <t>000802529165-9</t>
  </si>
  <si>
    <t>791893204-9</t>
  </si>
  <si>
    <t>000835383519-1</t>
  </si>
  <si>
    <t>000802529118-7</t>
  </si>
  <si>
    <t>000850740704-6</t>
  </si>
  <si>
    <t>000871261645-0</t>
  </si>
  <si>
    <t>Juliana Antonia Carvalho</t>
  </si>
  <si>
    <t>000849302545-1</t>
  </si>
  <si>
    <t>000858860033-0</t>
  </si>
  <si>
    <t>095.917.505-95</t>
  </si>
  <si>
    <t>050.631.335-25</t>
  </si>
  <si>
    <t>048.989.005-93</t>
  </si>
  <si>
    <t>029.047.585-69</t>
  </si>
  <si>
    <t>071.341.835-48</t>
  </si>
  <si>
    <t>067.495.765-24</t>
  </si>
  <si>
    <t>049.969.515-16</t>
  </si>
  <si>
    <t>069.277.495-51</t>
  </si>
  <si>
    <t>860.372.915-86</t>
  </si>
  <si>
    <t>071.464.825-61</t>
  </si>
  <si>
    <t>057.145.995-19</t>
  </si>
  <si>
    <t>119.387.925-64</t>
  </si>
  <si>
    <t>128.593.096-75</t>
  </si>
  <si>
    <t>994.548.155-04</t>
  </si>
  <si>
    <t>861.552.065-89</t>
  </si>
  <si>
    <t>110.311.055-14</t>
  </si>
  <si>
    <t>699.847.515-20</t>
  </si>
  <si>
    <t>054.961.725-60</t>
  </si>
  <si>
    <t>089.999.625-63</t>
  </si>
  <si>
    <t>968.749.535-91</t>
  </si>
  <si>
    <t>050.906.935-52</t>
  </si>
  <si>
    <t>055.686.165-58</t>
  </si>
  <si>
    <t>880.767.845-49</t>
  </si>
  <si>
    <t>Wemerson Souza Andrade</t>
  </si>
  <si>
    <t>José Lopes dos Santos</t>
  </si>
  <si>
    <t>Karine Rodrigues de Souza</t>
  </si>
  <si>
    <t>Cleiton Bispo de Souza</t>
  </si>
  <si>
    <t>Jaciara da Silva Alves Benedito</t>
  </si>
  <si>
    <t>Maria de Fátima Mota dos Santos</t>
  </si>
  <si>
    <t>Damião Jesus da Silva</t>
  </si>
  <si>
    <t>Carlizon Agdo de Souza</t>
  </si>
  <si>
    <t>716806724-0</t>
  </si>
  <si>
    <t>19.378-X</t>
  </si>
  <si>
    <t>526768-4</t>
  </si>
  <si>
    <t>30-2</t>
  </si>
  <si>
    <t>444389-6</t>
  </si>
  <si>
    <t>Nilma Pio Barbosa de Jesus</t>
  </si>
  <si>
    <t>Caique de Jesus Rodrigues</t>
  </si>
  <si>
    <t>000803737588-7</t>
  </si>
  <si>
    <t>794755175-9</t>
  </si>
  <si>
    <t>180315-8</t>
  </si>
  <si>
    <t>29116-1</t>
  </si>
  <si>
    <t>85407-7</t>
  </si>
  <si>
    <t>121.911.955-55</t>
  </si>
  <si>
    <t>015.255.935-36</t>
  </si>
  <si>
    <t>957.129.845-04</t>
  </si>
  <si>
    <t>302.352.068-22</t>
  </si>
  <si>
    <t>274.547.568-16</t>
  </si>
  <si>
    <t>606.688.655-04</t>
  </si>
  <si>
    <t>057.666.075-20</t>
  </si>
  <si>
    <t>927.885.805-68</t>
  </si>
  <si>
    <t>110.325.085-07</t>
  </si>
  <si>
    <t>Bilmira de Jesus Sousa</t>
  </si>
  <si>
    <t>861.551.935-84</t>
  </si>
  <si>
    <t>063.300.805-26</t>
  </si>
  <si>
    <t>034.913.055-86</t>
  </si>
  <si>
    <t>0012809-0</t>
  </si>
  <si>
    <t>021.554.235-51</t>
  </si>
  <si>
    <t>003.910.385-40</t>
  </si>
  <si>
    <t>036.925.515-17</t>
  </si>
  <si>
    <t>913.691.775-34</t>
  </si>
  <si>
    <t>004.163.795-08</t>
  </si>
  <si>
    <t>Gildenilson Maria de Oliveira</t>
  </si>
  <si>
    <t>Odair Alves Oliveira</t>
  </si>
  <si>
    <t>Gildeval Crisprim de Jesus</t>
  </si>
  <si>
    <t>Lucio Almeida Moreira</t>
  </si>
  <si>
    <t>000866693581-0</t>
  </si>
  <si>
    <t>000806145064-8</t>
  </si>
  <si>
    <t>000798925667-4</t>
  </si>
  <si>
    <t>000796525766-2</t>
  </si>
  <si>
    <t>000803000952-4</t>
  </si>
  <si>
    <t>0002266-7</t>
  </si>
  <si>
    <t>216.011.758-76</t>
  </si>
  <si>
    <t>045.941.535-26</t>
  </si>
  <si>
    <t>010.972.035-06</t>
  </si>
  <si>
    <t>024.423.465-59</t>
  </si>
  <si>
    <t>859.477.665-90</t>
  </si>
  <si>
    <t>091.576.305-26</t>
  </si>
  <si>
    <t>016.989.955-12</t>
  </si>
  <si>
    <t>863.338.875-87</t>
  </si>
  <si>
    <t>047.619.755-47</t>
  </si>
  <si>
    <t>Vanilson Souza Araújo</t>
  </si>
  <si>
    <t>092.242.005-08</t>
  </si>
  <si>
    <t>23239-4</t>
  </si>
  <si>
    <t>071.131.485-30</t>
  </si>
  <si>
    <t>000797952326-2</t>
  </si>
  <si>
    <t>853219295-3</t>
  </si>
  <si>
    <t>013.361.945-10</t>
  </si>
  <si>
    <t>000858062214-8</t>
  </si>
  <si>
    <t>270503-6</t>
  </si>
  <si>
    <t>Cleunice da Cruz Andrade</t>
  </si>
  <si>
    <t>Jamilson Maciel Oliveira</t>
  </si>
  <si>
    <t>Noeli Messias Muniz</t>
  </si>
  <si>
    <t>Gildemar Gualberto Novais</t>
  </si>
  <si>
    <t>Marta Santos de Almeira</t>
  </si>
  <si>
    <t>3801-1</t>
  </si>
  <si>
    <t>21796-4</t>
  </si>
  <si>
    <t>000858060356-9</t>
  </si>
  <si>
    <t>0640317-4</t>
  </si>
  <si>
    <t>24.012-5</t>
  </si>
  <si>
    <t>074.404.735-82</t>
  </si>
  <si>
    <t>121.871.065-94</t>
  </si>
  <si>
    <t>050.067.585-62</t>
  </si>
  <si>
    <t>050.193.605-03</t>
  </si>
  <si>
    <t>065.807.565-94</t>
  </si>
  <si>
    <t>000796102628-3</t>
  </si>
  <si>
    <t>077.015.725-46</t>
  </si>
  <si>
    <t>000801038618-7</t>
  </si>
  <si>
    <t>034.369.395-01</t>
  </si>
  <si>
    <t>000869133162-1</t>
  </si>
  <si>
    <t>618.287.695-68</t>
  </si>
  <si>
    <t>Ana Luiza Alves Teles</t>
  </si>
  <si>
    <t>Jusicleide Silva Santos</t>
  </si>
  <si>
    <t>000831790899-0</t>
  </si>
  <si>
    <t>22.297-6</t>
  </si>
  <si>
    <t>795127483-7</t>
  </si>
  <si>
    <t>068.998.475-82</t>
  </si>
  <si>
    <t>093.327.785-74</t>
  </si>
  <si>
    <t>530.841.638-98</t>
  </si>
  <si>
    <t>097.389.455-50</t>
  </si>
  <si>
    <t>044.051.055-45</t>
  </si>
  <si>
    <t>053.269.935-11</t>
  </si>
  <si>
    <t>000858060391-7</t>
  </si>
  <si>
    <t>Claudemir Rodrigues dos Santos</t>
  </si>
  <si>
    <t>Gilvan José Jesus Anjos</t>
  </si>
  <si>
    <t>Jonatas Cedro Oliveira</t>
  </si>
  <si>
    <t>Ailton Santana Santos</t>
  </si>
  <si>
    <t>000806189422-8</t>
  </si>
  <si>
    <t>000802529719-3</t>
  </si>
  <si>
    <t>0008010-1</t>
  </si>
  <si>
    <t>858859751-7</t>
  </si>
  <si>
    <t>16.427-5</t>
  </si>
  <si>
    <t>300.976.888-51</t>
  </si>
  <si>
    <t>364.856.718-70</t>
  </si>
  <si>
    <t>110.344.875-74</t>
  </si>
  <si>
    <t>103.173.235-71</t>
  </si>
  <si>
    <t>056.441.185-09</t>
  </si>
  <si>
    <t>Anatalina Bruno da Silva</t>
  </si>
  <si>
    <t>000856957651-8</t>
  </si>
  <si>
    <t>007.299.025-28</t>
  </si>
  <si>
    <t>018.506.435-39</t>
  </si>
  <si>
    <t>Edinalia Pires Gois</t>
  </si>
  <si>
    <t>Maria Gonzaga Silva Bispo</t>
  </si>
  <si>
    <t>Vangecley Souza Matos</t>
  </si>
  <si>
    <t>000800125675-6</t>
  </si>
  <si>
    <t>000871263285-4</t>
  </si>
  <si>
    <t>17.209-X</t>
  </si>
  <si>
    <t>107.231.915-22</t>
  </si>
  <si>
    <t>445.169.405-15</t>
  </si>
  <si>
    <t>013.674.475-02</t>
  </si>
  <si>
    <t>Minara Cedro da Costa</t>
  </si>
  <si>
    <t>000854052825-6</t>
  </si>
  <si>
    <t>036.006.235-08</t>
  </si>
  <si>
    <t>Antônio Marcos Dias Assis</t>
  </si>
  <si>
    <t>Florisvaldo Bispo Alves</t>
  </si>
  <si>
    <t>Ariosvaldo Ferreira Jesus</t>
  </si>
  <si>
    <t>000790774415-7</t>
  </si>
  <si>
    <t>000802529603-0</t>
  </si>
  <si>
    <t>226.560.445-20</t>
  </si>
  <si>
    <t>032.225.495-75</t>
  </si>
  <si>
    <t>061.050.875-00</t>
  </si>
  <si>
    <t>Ebilisania de Almeida</t>
  </si>
  <si>
    <t>000851100361-2</t>
  </si>
  <si>
    <t>027.624.145-20</t>
  </si>
  <si>
    <t>017.162.465-39</t>
  </si>
  <si>
    <t>117.602.895-23</t>
  </si>
  <si>
    <t>000854053065-0</t>
  </si>
  <si>
    <t>009.905.015-31.</t>
  </si>
  <si>
    <t>045.518.255-81</t>
  </si>
  <si>
    <t>000854054487-1</t>
  </si>
  <si>
    <t>000839082669-9</t>
  </si>
  <si>
    <t>0024643-3</t>
  </si>
  <si>
    <t>Maria de Lourdes Pereira</t>
  </si>
  <si>
    <t>892.187.524-72</t>
  </si>
  <si>
    <t>Maria Celia C. Damasceno</t>
  </si>
  <si>
    <t>000851459522-7</t>
  </si>
  <si>
    <t>000851459478-6</t>
  </si>
  <si>
    <t>003.988.495-36</t>
  </si>
  <si>
    <t>043.734.185-27</t>
  </si>
  <si>
    <t>057.942.415-43</t>
  </si>
  <si>
    <t>Tatiara Damasceno Souza</t>
  </si>
  <si>
    <t>062.374.305-12</t>
  </si>
  <si>
    <t>000859660845-0</t>
  </si>
  <si>
    <t>RELAÇÃO DE DEPÓSITOS DA COLHEITA MANUAL DE CAFÉ - 15/01/2025</t>
  </si>
  <si>
    <t>Colheita 2025/27ª Semana</t>
  </si>
  <si>
    <t>23/jan</t>
  </si>
  <si>
    <t>26/jan</t>
  </si>
  <si>
    <t>27/jan</t>
  </si>
  <si>
    <t>28/jan</t>
  </si>
  <si>
    <t>29/jan</t>
  </si>
  <si>
    <t>23/01 à 29/01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</si>
</sst>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.0"/>
    <numFmt numFmtId="165" formatCode="#,##0.0"/>
    <numFmt numFmtId="166" formatCode="0000"/>
    <numFmt numFmtId="167" formatCode="000"/>
    <numFmt numFmtId="168" formatCode="d/m;@"/>
    <numFmt numFmtId="169" formatCode="000000000\-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8"/>
      <color theme="1"/>
      <name val="Arial Narrow"/>
      <family val="2"/>
    </font>
    <font>
      <b/>
      <sz val="18"/>
      <color theme="1"/>
      <name val="Arial Narrow"/>
      <family val="2"/>
    </font>
    <font>
      <b/>
      <sz val="12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sz val="12"/>
      <color rgb="FF00B0F0"/>
      <name val="Calibri"/>
      <family val="2"/>
      <scheme val="minor"/>
    </font>
    <font>
      <sz val="12"/>
      <color rgb="FFC00000"/>
      <name val="Calibri"/>
      <family val="2"/>
      <scheme val="minor"/>
    </font>
    <font>
      <sz val="20"/>
      <color theme="1"/>
      <name val="Arial Narrow"/>
      <family val="2"/>
    </font>
    <font>
      <sz val="16"/>
      <color theme="1"/>
      <name val="Arial Rounded MT Bold"/>
      <family val="2"/>
    </font>
    <font>
      <sz val="16"/>
      <color theme="1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name val="Calibri"/>
      <family val="2"/>
      <scheme val="minor"/>
    </font>
    <font>
      <sz val="16"/>
      <color rgb="FFFF0000"/>
      <name val="Arial Rounded MT Bold"/>
      <family val="2"/>
    </font>
    <font>
      <sz val="16"/>
      <color rgb="FFC00000"/>
      <name val="Arial Rounded MT Bold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 tint="4.9989318521683403E-2"/>
      <name val="Arial Narrow"/>
      <family val="2"/>
    </font>
    <font>
      <sz val="11"/>
      <color theme="1" tint="4.9989318521683403E-2"/>
      <name val="Calibri"/>
      <family val="2"/>
      <scheme val="minor"/>
    </font>
    <font>
      <sz val="14"/>
      <color theme="1" tint="4.9989318521683403E-2"/>
      <name val="Arial Rounded MT Bold"/>
      <family val="2"/>
    </font>
    <font>
      <sz val="16"/>
      <color theme="1" tint="4.9989318521683403E-2"/>
      <name val="Arial Narrow"/>
      <family val="2"/>
    </font>
    <font>
      <b/>
      <sz val="11"/>
      <color theme="0"/>
      <name val="Arial Rounded MT Bold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arrow"/>
      <family val="2"/>
    </font>
    <font>
      <sz val="11"/>
      <color rgb="FFFF0000"/>
      <name val="Calibri"/>
      <family val="2"/>
      <scheme val="minor"/>
    </font>
    <font>
      <sz val="14"/>
      <color theme="0"/>
      <name val="Arial Rounded MT Bold"/>
    </font>
    <font>
      <sz val="11"/>
      <color theme="1" tint="4.9989318521683403E-2"/>
      <name val="Calibri"/>
      <scheme val="minor"/>
    </font>
    <font>
      <sz val="16"/>
      <color theme="0"/>
      <name val="Arial Narrow"/>
    </font>
    <font>
      <sz val="11"/>
      <color theme="5" tint="0.59999389629810485"/>
      <name val="Calibri"/>
      <family val="2"/>
      <scheme val="minor"/>
    </font>
    <font>
      <sz val="11"/>
      <color theme="1"/>
      <name val="Calibri"/>
      <scheme val="minor"/>
    </font>
    <font>
      <sz val="11"/>
      <color rgb="FFFF0000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 tint="0.249977111117893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6" fillId="0" borderId="0"/>
    <xf numFmtId="0" fontId="27" fillId="4" borderId="0" applyNumberFormat="0" applyBorder="0" applyAlignment="0" applyProtection="0"/>
  </cellStyleXfs>
  <cellXfs count="24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4" xfId="0" applyFill="1" applyBorder="1"/>
    <xf numFmtId="0" fontId="4" fillId="2" borderId="11" xfId="0" applyFont="1" applyFill="1" applyBorder="1" applyAlignment="1">
      <alignment horizontal="center" wrapText="1"/>
    </xf>
    <xf numFmtId="0" fontId="0" fillId="2" borderId="0" xfId="0" applyFill="1" applyAlignment="1">
      <alignment vertical="center"/>
    </xf>
    <xf numFmtId="0" fontId="4" fillId="2" borderId="11" xfId="0" applyFont="1" applyFill="1" applyBorder="1" applyAlignment="1">
      <alignment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164" fontId="4" fillId="2" borderId="11" xfId="0" applyNumberFormat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165" fontId="4" fillId="2" borderId="11" xfId="0" applyNumberFormat="1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left" vertical="center" wrapText="1"/>
    </xf>
    <xf numFmtId="39" fontId="4" fillId="2" borderId="11" xfId="0" applyNumberFormat="1" applyFont="1" applyFill="1" applyBorder="1" applyAlignment="1">
      <alignment vertical="center"/>
    </xf>
    <xf numFmtId="0" fontId="7" fillId="2" borderId="13" xfId="0" applyFont="1" applyFill="1" applyBorder="1"/>
    <xf numFmtId="0" fontId="7" fillId="2" borderId="13" xfId="0" applyFont="1" applyFill="1" applyBorder="1" applyAlignment="1">
      <alignment horizontal="center"/>
    </xf>
    <xf numFmtId="4" fontId="7" fillId="2" borderId="13" xfId="0" applyNumberFormat="1" applyFont="1" applyFill="1" applyBorder="1" applyAlignment="1">
      <alignment horizontal="center"/>
    </xf>
    <xf numFmtId="39" fontId="7" fillId="2" borderId="13" xfId="1" applyNumberFormat="1" applyFont="1" applyFill="1" applyBorder="1"/>
    <xf numFmtId="0" fontId="0" fillId="2" borderId="14" xfId="0" applyFill="1" applyBorder="1" applyAlignment="1">
      <alignment horizontal="center"/>
    </xf>
    <xf numFmtId="0" fontId="4" fillId="2" borderId="15" xfId="0" applyFont="1" applyFill="1" applyBorder="1" applyAlignment="1">
      <alignment vertical="center" wrapText="1"/>
    </xf>
    <xf numFmtId="0" fontId="0" fillId="2" borderId="18" xfId="0" applyFill="1" applyBorder="1" applyAlignment="1">
      <alignment horizontal="center"/>
    </xf>
    <xf numFmtId="0" fontId="4" fillId="2" borderId="0" xfId="0" applyFont="1" applyFill="1"/>
    <xf numFmtId="166" fontId="0" fillId="2" borderId="11" xfId="0" applyNumberFormat="1" applyFill="1" applyBorder="1" applyAlignment="1">
      <alignment horizontal="center"/>
    </xf>
    <xf numFmtId="166" fontId="7" fillId="2" borderId="13" xfId="0" applyNumberFormat="1" applyFont="1" applyFill="1" applyBorder="1" applyAlignment="1">
      <alignment horizontal="center"/>
    </xf>
    <xf numFmtId="0" fontId="7" fillId="2" borderId="13" xfId="0" applyFont="1" applyFill="1" applyBorder="1" applyAlignment="1">
      <alignment horizontal="right"/>
    </xf>
    <xf numFmtId="167" fontId="7" fillId="2" borderId="13" xfId="0" applyNumberFormat="1" applyFont="1" applyFill="1" applyBorder="1" applyAlignment="1">
      <alignment horizontal="center"/>
    </xf>
    <xf numFmtId="166" fontId="0" fillId="2" borderId="13" xfId="0" applyNumberFormat="1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2" borderId="2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3" fontId="7" fillId="2" borderId="13" xfId="0" applyNumberFormat="1" applyFont="1" applyFill="1" applyBorder="1" applyAlignment="1">
      <alignment horizontal="right"/>
    </xf>
    <xf numFmtId="0" fontId="7" fillId="2" borderId="0" xfId="0" applyFont="1" applyFill="1"/>
    <xf numFmtId="0" fontId="9" fillId="2" borderId="13" xfId="0" applyFont="1" applyFill="1" applyBorder="1" applyAlignment="1">
      <alignment horizontal="right"/>
    </xf>
    <xf numFmtId="166" fontId="9" fillId="2" borderId="13" xfId="0" applyNumberFormat="1" applyFont="1" applyFill="1" applyBorder="1" applyAlignment="1">
      <alignment horizontal="center"/>
    </xf>
    <xf numFmtId="0" fontId="9" fillId="2" borderId="13" xfId="0" applyFont="1" applyFill="1" applyBorder="1"/>
    <xf numFmtId="167" fontId="9" fillId="2" borderId="13" xfId="0" applyNumberFormat="1" applyFont="1" applyFill="1" applyBorder="1" applyAlignment="1">
      <alignment horizontal="center"/>
    </xf>
    <xf numFmtId="0" fontId="9" fillId="2" borderId="13" xfId="0" applyFont="1" applyFill="1" applyBorder="1" applyAlignment="1">
      <alignment horizontal="center"/>
    </xf>
    <xf numFmtId="165" fontId="4" fillId="2" borderId="0" xfId="0" applyNumberFormat="1" applyFont="1" applyFill="1" applyAlignment="1">
      <alignment horizontal="center" vertical="center"/>
    </xf>
    <xf numFmtId="0" fontId="8" fillId="2" borderId="13" xfId="0" applyFont="1" applyFill="1" applyBorder="1" applyAlignment="1">
      <alignment horizontal="right"/>
    </xf>
    <xf numFmtId="0" fontId="11" fillId="2" borderId="13" xfId="0" applyFont="1" applyFill="1" applyBorder="1" applyAlignment="1">
      <alignment horizontal="right"/>
    </xf>
    <xf numFmtId="0" fontId="4" fillId="3" borderId="11" xfId="0" applyFont="1" applyFill="1" applyBorder="1" applyAlignment="1">
      <alignment vertical="center"/>
    </xf>
    <xf numFmtId="0" fontId="12" fillId="2" borderId="0" xfId="0" applyFont="1" applyFill="1"/>
    <xf numFmtId="165" fontId="13" fillId="2" borderId="11" xfId="0" applyNumberFormat="1" applyFont="1" applyFill="1" applyBorder="1" applyAlignment="1">
      <alignment horizontal="center" vertical="center"/>
    </xf>
    <xf numFmtId="39" fontId="13" fillId="2" borderId="11" xfId="0" applyNumberFormat="1" applyFont="1" applyFill="1" applyBorder="1" applyAlignment="1">
      <alignment vertical="center"/>
    </xf>
    <xf numFmtId="0" fontId="15" fillId="2" borderId="14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4" fillId="2" borderId="15" xfId="0" applyFont="1" applyFill="1" applyBorder="1" applyAlignment="1">
      <alignment vertical="center" wrapText="1"/>
    </xf>
    <xf numFmtId="0" fontId="16" fillId="2" borderId="18" xfId="0" applyFont="1" applyFill="1" applyBorder="1" applyAlignment="1">
      <alignment horizontal="center"/>
    </xf>
    <xf numFmtId="0" fontId="17" fillId="2" borderId="13" xfId="0" applyFont="1" applyFill="1" applyBorder="1" applyAlignment="1">
      <alignment horizontal="right"/>
    </xf>
    <xf numFmtId="0" fontId="18" fillId="2" borderId="13" xfId="0" applyFont="1" applyFill="1" applyBorder="1" applyAlignment="1">
      <alignment horizontal="right"/>
    </xf>
    <xf numFmtId="166" fontId="19" fillId="2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4" fontId="19" fillId="2" borderId="0" xfId="0" applyNumberFormat="1" applyFont="1" applyFill="1" applyAlignment="1">
      <alignment horizontal="center"/>
    </xf>
    <xf numFmtId="167" fontId="19" fillId="2" borderId="0" xfId="0" applyNumberFormat="1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39" fontId="19" fillId="2" borderId="0" xfId="1" applyNumberFormat="1" applyFont="1" applyFill="1" applyBorder="1"/>
    <xf numFmtId="165" fontId="13" fillId="2" borderId="0" xfId="0" applyNumberFormat="1" applyFont="1" applyFill="1" applyAlignment="1">
      <alignment horizontal="center" vertical="center"/>
    </xf>
    <xf numFmtId="39" fontId="13" fillId="2" borderId="0" xfId="0" applyNumberFormat="1" applyFont="1" applyFill="1" applyAlignment="1">
      <alignment vertical="center"/>
    </xf>
    <xf numFmtId="4" fontId="12" fillId="2" borderId="13" xfId="0" applyNumberFormat="1" applyFont="1" applyFill="1" applyBorder="1" applyAlignment="1">
      <alignment horizontal="center"/>
    </xf>
    <xf numFmtId="166" fontId="12" fillId="2" borderId="13" xfId="0" applyNumberFormat="1" applyFont="1" applyFill="1" applyBorder="1" applyAlignment="1">
      <alignment horizontal="center"/>
    </xf>
    <xf numFmtId="0" fontId="12" fillId="2" borderId="13" xfId="0" applyFont="1" applyFill="1" applyBorder="1"/>
    <xf numFmtId="0" fontId="12" fillId="2" borderId="13" xfId="0" applyFont="1" applyFill="1" applyBorder="1" applyAlignment="1">
      <alignment horizontal="right"/>
    </xf>
    <xf numFmtId="167" fontId="12" fillId="2" borderId="13" xfId="0" applyNumberFormat="1" applyFont="1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39" fontId="12" fillId="2" borderId="13" xfId="1" applyNumberFormat="1" applyFont="1" applyFill="1" applyBorder="1"/>
    <xf numFmtId="0" fontId="7" fillId="2" borderId="0" xfId="0" applyFont="1" applyFill="1" applyAlignment="1">
      <alignment horizontal="center"/>
    </xf>
    <xf numFmtId="167" fontId="7" fillId="2" borderId="0" xfId="0" applyNumberFormat="1" applyFont="1" applyFill="1" applyAlignment="1">
      <alignment horizontal="center"/>
    </xf>
    <xf numFmtId="166" fontId="7" fillId="2" borderId="0" xfId="0" applyNumberFormat="1" applyFont="1" applyFill="1" applyAlignment="1">
      <alignment horizontal="center"/>
    </xf>
    <xf numFmtId="166" fontId="20" fillId="2" borderId="13" xfId="0" applyNumberFormat="1" applyFont="1" applyFill="1" applyBorder="1" applyAlignment="1">
      <alignment horizontal="center"/>
    </xf>
    <xf numFmtId="0" fontId="20" fillId="2" borderId="13" xfId="0" applyFont="1" applyFill="1" applyBorder="1"/>
    <xf numFmtId="0" fontId="20" fillId="2" borderId="13" xfId="0" applyFont="1" applyFill="1" applyBorder="1" applyAlignment="1">
      <alignment horizontal="right"/>
    </xf>
    <xf numFmtId="4" fontId="20" fillId="2" borderId="13" xfId="0" applyNumberFormat="1" applyFont="1" applyFill="1" applyBorder="1" applyAlignment="1">
      <alignment horizontal="center"/>
    </xf>
    <xf numFmtId="167" fontId="20" fillId="2" borderId="13" xfId="0" applyNumberFormat="1" applyFont="1" applyFill="1" applyBorder="1" applyAlignment="1">
      <alignment horizontal="center"/>
    </xf>
    <xf numFmtId="0" fontId="20" fillId="2" borderId="13" xfId="0" applyFont="1" applyFill="1" applyBorder="1" applyAlignment="1">
      <alignment horizontal="center"/>
    </xf>
    <xf numFmtId="39" fontId="20" fillId="2" borderId="13" xfId="1" applyNumberFormat="1" applyFont="1" applyFill="1" applyBorder="1"/>
    <xf numFmtId="0" fontId="10" fillId="3" borderId="11" xfId="0" applyFont="1" applyFill="1" applyBorder="1" applyAlignment="1">
      <alignment vertical="center"/>
    </xf>
    <xf numFmtId="166" fontId="21" fillId="2" borderId="13" xfId="0" applyNumberFormat="1" applyFont="1" applyFill="1" applyBorder="1" applyAlignment="1">
      <alignment horizontal="center"/>
    </xf>
    <xf numFmtId="0" fontId="21" fillId="2" borderId="13" xfId="0" applyFont="1" applyFill="1" applyBorder="1"/>
    <xf numFmtId="0" fontId="21" fillId="2" borderId="13" xfId="0" applyFont="1" applyFill="1" applyBorder="1" applyAlignment="1">
      <alignment horizontal="right"/>
    </xf>
    <xf numFmtId="167" fontId="21" fillId="2" borderId="13" xfId="0" applyNumberFormat="1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39" fontId="21" fillId="2" borderId="13" xfId="1" applyNumberFormat="1" applyFont="1" applyFill="1" applyBorder="1"/>
    <xf numFmtId="0" fontId="22" fillId="2" borderId="13" xfId="0" applyFont="1" applyFill="1" applyBorder="1" applyAlignment="1">
      <alignment horizontal="right"/>
    </xf>
    <xf numFmtId="0" fontId="23" fillId="2" borderId="11" xfId="0" applyFont="1" applyFill="1" applyBorder="1" applyAlignment="1">
      <alignment horizontal="center" wrapText="1"/>
    </xf>
    <xf numFmtId="0" fontId="4" fillId="2" borderId="11" xfId="0" applyFont="1" applyFill="1" applyBorder="1" applyAlignment="1">
      <alignment horizontal="left" vertical="center"/>
    </xf>
    <xf numFmtId="0" fontId="7" fillId="2" borderId="26" xfId="0" applyFont="1" applyFill="1" applyBorder="1"/>
    <xf numFmtId="0" fontId="7" fillId="2" borderId="23" xfId="0" applyFont="1" applyFill="1" applyBorder="1"/>
    <xf numFmtId="39" fontId="7" fillId="2" borderId="5" xfId="1" applyNumberFormat="1" applyFont="1" applyFill="1" applyBorder="1"/>
    <xf numFmtId="0" fontId="4" fillId="2" borderId="0" xfId="0" applyFont="1" applyFill="1" applyAlignment="1">
      <alignment horizontal="center" wrapText="1"/>
    </xf>
    <xf numFmtId="0" fontId="23" fillId="2" borderId="0" xfId="0" applyFont="1" applyFill="1" applyAlignment="1">
      <alignment horizontal="center" wrapText="1"/>
    </xf>
    <xf numFmtId="166" fontId="8" fillId="2" borderId="13" xfId="0" applyNumberFormat="1" applyFont="1" applyFill="1" applyBorder="1" applyAlignment="1">
      <alignment horizontal="center"/>
    </xf>
    <xf numFmtId="0" fontId="8" fillId="2" borderId="13" xfId="0" applyFont="1" applyFill="1" applyBorder="1"/>
    <xf numFmtId="0" fontId="24" fillId="2" borderId="13" xfId="0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4" fontId="7" fillId="2" borderId="0" xfId="0" applyNumberFormat="1" applyFont="1" applyFill="1" applyAlignment="1">
      <alignment horizontal="center"/>
    </xf>
    <xf numFmtId="39" fontId="7" fillId="2" borderId="0" xfId="1" applyNumberFormat="1" applyFont="1" applyFill="1" applyBorder="1"/>
    <xf numFmtId="0" fontId="0" fillId="0" borderId="0" xfId="0" applyAlignment="1">
      <alignment horizontal="center"/>
    </xf>
    <xf numFmtId="44" fontId="0" fillId="0" borderId="0" xfId="1" applyFont="1"/>
    <xf numFmtId="169" fontId="0" fillId="0" borderId="0" xfId="0" applyNumberFormat="1"/>
    <xf numFmtId="0" fontId="0" fillId="5" borderId="30" xfId="0" applyFill="1" applyBorder="1"/>
    <xf numFmtId="0" fontId="0" fillId="6" borderId="30" xfId="0" applyFill="1" applyBorder="1"/>
    <xf numFmtId="0" fontId="0" fillId="5" borderId="31" xfId="0" applyFill="1" applyBorder="1"/>
    <xf numFmtId="0" fontId="0" fillId="7" borderId="27" xfId="0" applyFill="1" applyBorder="1"/>
    <xf numFmtId="0" fontId="0" fillId="7" borderId="28" xfId="0" applyFill="1" applyBorder="1"/>
    <xf numFmtId="169" fontId="26" fillId="7" borderId="28" xfId="0" applyNumberFormat="1" applyFont="1" applyFill="1" applyBorder="1"/>
    <xf numFmtId="0" fontId="0" fillId="7" borderId="28" xfId="0" applyFill="1" applyBorder="1" applyAlignment="1">
      <alignment horizontal="center" vertical="center"/>
    </xf>
    <xf numFmtId="44" fontId="0" fillId="7" borderId="29" xfId="0" applyNumberFormat="1" applyFill="1" applyBorder="1"/>
    <xf numFmtId="0" fontId="0" fillId="8" borderId="27" xfId="0" applyFill="1" applyBorder="1"/>
    <xf numFmtId="0" fontId="0" fillId="8" borderId="28" xfId="0" applyFill="1" applyBorder="1"/>
    <xf numFmtId="169" fontId="26" fillId="8" borderId="28" xfId="0" applyNumberFormat="1" applyFont="1" applyFill="1" applyBorder="1"/>
    <xf numFmtId="0" fontId="0" fillId="8" borderId="28" xfId="0" applyFill="1" applyBorder="1" applyAlignment="1">
      <alignment horizontal="center" vertical="center"/>
    </xf>
    <xf numFmtId="44" fontId="0" fillId="8" borderId="29" xfId="0" applyNumberFormat="1" applyFill="1" applyBorder="1"/>
    <xf numFmtId="0" fontId="0" fillId="5" borderId="32" xfId="0" applyFill="1" applyBorder="1"/>
    <xf numFmtId="0" fontId="29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3" fontId="0" fillId="0" borderId="0" xfId="0" applyNumberFormat="1"/>
    <xf numFmtId="0" fontId="31" fillId="0" borderId="0" xfId="0" applyFont="1"/>
    <xf numFmtId="0" fontId="32" fillId="0" borderId="0" xfId="0" applyFont="1" applyAlignment="1">
      <alignment horizontal="center"/>
    </xf>
    <xf numFmtId="0" fontId="32" fillId="0" borderId="0" xfId="0" applyFont="1"/>
    <xf numFmtId="0" fontId="33" fillId="0" borderId="0" xfId="0" applyFont="1"/>
    <xf numFmtId="44" fontId="33" fillId="0" borderId="0" xfId="1" applyFont="1" applyBorder="1"/>
    <xf numFmtId="0" fontId="32" fillId="0" borderId="0" xfId="0" applyFont="1" applyAlignment="1">
      <alignment horizontal="center" wrapText="1"/>
    </xf>
    <xf numFmtId="0" fontId="32" fillId="0" borderId="0" xfId="0" applyFont="1" applyAlignment="1">
      <alignment wrapText="1"/>
    </xf>
    <xf numFmtId="169" fontId="32" fillId="0" borderId="0" xfId="0" applyNumberFormat="1" applyFont="1" applyAlignment="1">
      <alignment wrapText="1"/>
    </xf>
    <xf numFmtId="0" fontId="32" fillId="0" borderId="0" xfId="0" applyFont="1" applyAlignment="1">
      <alignment horizontal="center" vertical="center" wrapText="1"/>
    </xf>
    <xf numFmtId="166" fontId="32" fillId="0" borderId="0" xfId="0" applyNumberFormat="1" applyFont="1" applyAlignment="1">
      <alignment horizontal="center" vertical="center" wrapText="1"/>
    </xf>
    <xf numFmtId="0" fontId="31" fillId="0" borderId="0" xfId="0" applyFont="1" applyAlignment="1">
      <alignment wrapText="1"/>
    </xf>
    <xf numFmtId="0" fontId="33" fillId="0" borderId="0" xfId="0" applyFont="1" applyAlignment="1">
      <alignment wrapText="1"/>
    </xf>
    <xf numFmtId="44" fontId="33" fillId="0" borderId="0" xfId="1" applyFont="1" applyAlignment="1">
      <alignment wrapText="1"/>
    </xf>
    <xf numFmtId="0" fontId="34" fillId="0" borderId="33" xfId="0" applyFont="1" applyBorder="1" applyAlignment="1">
      <alignment horizontal="center"/>
    </xf>
    <xf numFmtId="0" fontId="34" fillId="0" borderId="34" xfId="0" applyFont="1" applyBorder="1" applyAlignment="1">
      <alignment horizontal="center"/>
    </xf>
    <xf numFmtId="169" fontId="34" fillId="0" borderId="0" xfId="0" applyNumberFormat="1" applyFont="1" applyAlignment="1">
      <alignment horizontal="center"/>
    </xf>
    <xf numFmtId="0" fontId="34" fillId="0" borderId="33" xfId="0" applyFont="1" applyBorder="1" applyAlignment="1">
      <alignment horizontal="center" vertical="center"/>
    </xf>
    <xf numFmtId="166" fontId="34" fillId="0" borderId="35" xfId="0" applyNumberFormat="1" applyFont="1" applyBorder="1" applyAlignment="1">
      <alignment horizontal="center" vertical="center"/>
    </xf>
    <xf numFmtId="0" fontId="34" fillId="0" borderId="35" xfId="0" applyFont="1" applyBorder="1" applyAlignment="1">
      <alignment horizontal="center" vertical="center"/>
    </xf>
    <xf numFmtId="0" fontId="34" fillId="0" borderId="34" xfId="0" applyFont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6" fillId="0" borderId="33" xfId="0" applyFont="1" applyBorder="1" applyAlignment="1">
      <alignment horizontal="center"/>
    </xf>
    <xf numFmtId="44" fontId="36" fillId="0" borderId="34" xfId="1" applyFont="1" applyBorder="1" applyAlignment="1">
      <alignment horizontal="center"/>
    </xf>
    <xf numFmtId="0" fontId="27" fillId="0" borderId="0" xfId="0" applyFont="1"/>
    <xf numFmtId="0" fontId="0" fillId="0" borderId="0" xfId="0" applyAlignment="1">
      <alignment horizontal="left"/>
    </xf>
    <xf numFmtId="0" fontId="0" fillId="2" borderId="13" xfId="3" applyFont="1" applyFill="1" applyBorder="1" applyAlignment="1">
      <alignment horizontal="center"/>
    </xf>
    <xf numFmtId="168" fontId="0" fillId="2" borderId="13" xfId="3" applyNumberFormat="1" applyFont="1" applyFill="1" applyBorder="1" applyAlignment="1">
      <alignment horizontal="center"/>
    </xf>
    <xf numFmtId="0" fontId="37" fillId="2" borderId="0" xfId="0" applyFont="1" applyFill="1"/>
    <xf numFmtId="0" fontId="37" fillId="2" borderId="13" xfId="3" applyFont="1" applyFill="1" applyBorder="1" applyAlignment="1">
      <alignment horizontal="center"/>
    </xf>
    <xf numFmtId="0" fontId="4" fillId="2" borderId="2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38" fillId="0" borderId="0" xfId="0" applyFont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44" fontId="40" fillId="0" borderId="0" xfId="0" applyNumberFormat="1" applyFont="1" applyAlignment="1">
      <alignment wrapText="1"/>
    </xf>
    <xf numFmtId="0" fontId="0" fillId="2" borderId="13" xfId="0" applyFill="1" applyBorder="1" applyAlignment="1">
      <alignment horizontal="center"/>
    </xf>
    <xf numFmtId="49" fontId="0" fillId="2" borderId="13" xfId="0" applyNumberFormat="1" applyFill="1" applyBorder="1" applyAlignment="1">
      <alignment horizontal="center"/>
    </xf>
    <xf numFmtId="16" fontId="0" fillId="2" borderId="13" xfId="0" applyNumberFormat="1" applyFill="1" applyBorder="1" applyAlignment="1">
      <alignment horizontal="center"/>
    </xf>
    <xf numFmtId="0" fontId="41" fillId="9" borderId="0" xfId="0" applyFont="1" applyFill="1"/>
    <xf numFmtId="0" fontId="27" fillId="9" borderId="0" xfId="0" applyFont="1" applyFill="1"/>
    <xf numFmtId="0" fontId="27" fillId="2" borderId="0" xfId="0" applyFont="1" applyFill="1"/>
    <xf numFmtId="0" fontId="42" fillId="2" borderId="0" xfId="0" applyFont="1" applyFill="1"/>
    <xf numFmtId="0" fontId="43" fillId="2" borderId="0" xfId="0" applyFont="1" applyFill="1"/>
    <xf numFmtId="0" fontId="0" fillId="2" borderId="0" xfId="0" applyFont="1" applyFill="1"/>
    <xf numFmtId="0" fontId="4" fillId="2" borderId="2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center" vertical="top" wrapText="1"/>
    </xf>
    <xf numFmtId="0" fontId="4" fillId="2" borderId="13" xfId="0" applyFont="1" applyFill="1" applyBorder="1" applyAlignment="1">
      <alignment horizontal="center" vertical="top" wrapText="1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2" borderId="13" xfId="0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13" fillId="2" borderId="1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right" vertical="center"/>
    </xf>
    <xf numFmtId="0" fontId="13" fillId="2" borderId="2" xfId="0" applyFont="1" applyFill="1" applyBorder="1" applyAlignment="1">
      <alignment horizontal="right" vertical="center"/>
    </xf>
    <xf numFmtId="0" fontId="13" fillId="2" borderId="3" xfId="0" applyFont="1" applyFill="1" applyBorder="1" applyAlignment="1">
      <alignment horizontal="right" vertical="center"/>
    </xf>
    <xf numFmtId="0" fontId="14" fillId="2" borderId="12" xfId="0" applyFont="1" applyFill="1" applyBorder="1" applyAlignment="1">
      <alignment horizontal="center"/>
    </xf>
    <xf numFmtId="0" fontId="14" fillId="2" borderId="23" xfId="0" applyFont="1" applyFill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0" fontId="14" fillId="2" borderId="19" xfId="0" applyFont="1" applyFill="1" applyBorder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 wrapText="1"/>
    </xf>
    <xf numFmtId="0" fontId="14" fillId="2" borderId="17" xfId="0" applyFont="1" applyFill="1" applyBorder="1" applyAlignment="1">
      <alignment horizontal="center" vertical="center" wrapText="1"/>
    </xf>
    <xf numFmtId="0" fontId="14" fillId="2" borderId="21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 wrapText="1"/>
    </xf>
    <xf numFmtId="0" fontId="14" fillId="2" borderId="25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1" xfId="0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166" fontId="30" fillId="2" borderId="0" xfId="0" applyNumberFormat="1" applyFont="1" applyFill="1" applyAlignment="1">
      <alignment horizontal="center"/>
    </xf>
  </cellXfs>
  <cellStyles count="4">
    <cellStyle name="Ênfase2" xfId="3" builtinId="33"/>
    <cellStyle name="Moeda" xfId="1" builtinId="4"/>
    <cellStyle name="Normal" xfId="0" builtinId="0"/>
    <cellStyle name="Normal 2" xfId="2" xr:uid="{00000000-0005-0000-0000-000003000000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0.59999389629810485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 Narrow"/>
        <scheme val="none"/>
      </font>
      <numFmt numFmtId="34" formatCode="_-&quot;R$&quot;\ * #,##0.00_-;\-&quot;R$&quot;\ * #,##0.00_-;_-&quot;R$&quot;\ * &quot;-&quot;??_-;_-@_-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 Narrow"/>
        <scheme val="none"/>
      </font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Rounded MT Bol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Rounded MT Bol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Rounded MT Bol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Rounded MT Bol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Rounded MT Bold"/>
        <scheme val="none"/>
      </font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Rounded MT Bold"/>
        <scheme val="none"/>
      </font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Rounded MT Bol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strike val="0"/>
        <outline val="0"/>
        <shadow val="0"/>
        <u val="none"/>
        <vertAlign val="baseline"/>
        <color theme="1" tint="4.9989318521683403E-2"/>
      </font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color theme="1" tint="4.9989318521683403E-2"/>
      </font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66" formatCode="0000"/>
      <alignment horizont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47623</xdr:rowOff>
    </xdr:from>
    <xdr:to>
      <xdr:col>20</xdr:col>
      <xdr:colOff>581025</xdr:colOff>
      <xdr:row>33</xdr:row>
      <xdr:rowOff>161924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98E663F8-D85A-C766-6652-B6D1756A2404}"/>
            </a:ext>
          </a:extLst>
        </xdr:cNvPr>
        <xdr:cNvSpPr/>
      </xdr:nvSpPr>
      <xdr:spPr>
        <a:xfrm>
          <a:off x="0" y="47623"/>
          <a:ext cx="12773025" cy="6400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2:I2452" totalsRowShown="0" headerRowDxfId="101" tableBorderDxfId="100" headerRowCellStyle="Normal" dataCellStyle="Normal">
  <sortState xmlns:xlrd2="http://schemas.microsoft.com/office/spreadsheetml/2017/richdata2" ref="B3:I1917">
    <sortCondition ref="B3:B1917"/>
  </sortState>
  <tableColumns count="8">
    <tableColumn id="1" xr3:uid="{00000000-0010-0000-0000-000001000000}" name="ID" dataCellStyle="Normal"/>
    <tableColumn id="2" xr3:uid="{00000000-0010-0000-0000-000002000000}" name="BENEFICIÁRIOS" dataCellStyle="Normal"/>
    <tableColumn id="3" xr3:uid="{00000000-0010-0000-0000-000003000000}" name="CPF" dataCellStyle="Normal"/>
    <tableColumn id="4" xr3:uid="{00000000-0010-0000-0000-000004000000}" name="Banco" dataCellStyle="Normal"/>
    <tableColumn id="5" xr3:uid="{00000000-0010-0000-0000-000005000000}" name="Ag." dataDxfId="99" dataCellStyle="Normal"/>
    <tableColumn id="6" xr3:uid="{00000000-0010-0000-0000-000006000000}" name="OP." dataDxfId="98" dataCellStyle="Normal"/>
    <tableColumn id="7" xr3:uid="{00000000-0010-0000-0000-000007000000}" name="Nº Conta" dataDxfId="97" dataCellStyle="Normal"/>
    <tableColumn id="8" xr3:uid="{00000000-0010-0000-0000-000008000000}" name="Região" dataCellStyle="Normal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ela7" displayName="Tabela7" ref="B3:AE31" totalsRowCount="1" headerRowDxfId="96" dataDxfId="94" totalsRowDxfId="92" headerRowBorderDxfId="95" tableBorderDxfId="93">
  <sortState xmlns:xlrd2="http://schemas.microsoft.com/office/spreadsheetml/2017/richdata2" ref="B4:AE30">
    <sortCondition ref="B4:B30"/>
  </sortState>
  <tableColumns count="30">
    <tableColumn id="1" xr3:uid="{00000000-0010-0000-0100-000001000000}" name="ID" dataDxfId="91" totalsRowDxfId="29"/>
    <tableColumn id="2" xr3:uid="{00000000-0010-0000-0100-000002000000}" name="Colaborador" dataDxfId="90" totalsRowDxfId="28">
      <calculatedColumnFormula>IFERROR(VLOOKUP(Tabela7[[#This Row],[ID]],Tabela1[],2,0),"")</calculatedColumnFormula>
    </tableColumn>
    <tableColumn id="3" xr3:uid="{00000000-0010-0000-0100-000003000000}" name="Turma" dataDxfId="89" totalsRowDxfId="27"/>
    <tableColumn id="4" xr3:uid="{00000000-0010-0000-0100-000004000000}" name="Setor" dataDxfId="88" totalsRowDxfId="26"/>
    <tableColumn id="5" xr3:uid="{00000000-0010-0000-0100-000005000000}" name="Quadra" dataDxfId="87" totalsRowDxfId="25"/>
    <tableColumn id="6" xr3:uid="{00000000-0010-0000-0100-000006000000}" name="26/jan" totalsRowFunction="custom" dataDxfId="86" totalsRowDxfId="24">
      <totalsRowFormula>SUBTOTAL(109,G4:G30)</totalsRowFormula>
    </tableColumn>
    <tableColumn id="7" xr3:uid="{00000000-0010-0000-0100-000007000000}" name="27/jan" totalsRowFunction="custom" dataDxfId="85" totalsRowDxfId="23">
      <totalsRowFormula>SUBTOTAL(109,H4:H30)</totalsRowFormula>
    </tableColumn>
    <tableColumn id="8" xr3:uid="{00000000-0010-0000-0100-000008000000}" name="28/jan" totalsRowFunction="custom" dataDxfId="84" totalsRowDxfId="22">
      <totalsRowFormula>SUBTOTAL(109,I4:I30)</totalsRowFormula>
    </tableColumn>
    <tableColumn id="9" xr3:uid="{00000000-0010-0000-0100-000009000000}" name="29/jan" totalsRowFunction="custom" dataDxfId="83" totalsRowDxfId="21">
      <totalsRowFormula>SUBTOTAL(109,J4:J30)</totalsRowFormula>
    </tableColumn>
    <tableColumn id="10" xr3:uid="{00000000-0010-0000-0100-00000A000000}" name="23/jan" totalsRowFunction="custom" dataDxfId="82" totalsRowDxfId="20">
      <totalsRowFormula>SUBTOTAL(109,K4:K30)</totalsRowFormula>
    </tableColumn>
    <tableColumn id="11" xr3:uid="{00000000-0010-0000-0100-00000B000000}" name="23/01 à 29/01" totalsRowFunction="custom" dataDxfId="81" totalsRowDxfId="19">
      <calculatedColumnFormula>SUM(Tabela7[[#This Row],[26/jan]:[23/jan]])</calculatedColumnFormula>
      <totalsRowFormula>SUBTOTAL(109,L4:L30)</totalsRowFormula>
    </tableColumn>
    <tableColumn id="12" xr3:uid="{00000000-0010-0000-0100-00000C000000}" name="11/jul2" dataDxfId="80" totalsRowDxfId="18"/>
    <tableColumn id="13" xr3:uid="{00000000-0010-0000-0100-00000D000000}" name="12/jul3" dataDxfId="79" totalsRowDxfId="17"/>
    <tableColumn id="14" xr3:uid="{00000000-0010-0000-0100-00000E000000}" name="13/jul4" dataDxfId="78" totalsRowDxfId="16"/>
    <tableColumn id="15" xr3:uid="{00000000-0010-0000-0100-00000F000000}" name="14/jul5" dataDxfId="77" totalsRowDxfId="15"/>
    <tableColumn id="16" xr3:uid="{00000000-0010-0000-0100-000010000000}" name="08/jul26" dataDxfId="76" totalsRowDxfId="14"/>
    <tableColumn id="17" xr3:uid="{00000000-0010-0000-0100-000011000000}" name="08/07 À 14/077" dataDxfId="75" totalsRowDxfId="13">
      <calculatedColumnFormula>SUM(Tabela7[[#This Row],[11/jul2]:[08/jul26]])</calculatedColumnFormula>
    </tableColumn>
    <tableColumn id="18" xr3:uid="{00000000-0010-0000-0100-000012000000}" name="18/jul2" dataDxfId="74" totalsRowDxfId="12"/>
    <tableColumn id="19" xr3:uid="{00000000-0010-0000-0100-000013000000}" name="19/jul2" dataDxfId="73" totalsRowDxfId="11"/>
    <tableColumn id="20" xr3:uid="{00000000-0010-0000-0100-000014000000}" name="20/jul" dataDxfId="72" totalsRowDxfId="10"/>
    <tableColumn id="21" xr3:uid="{00000000-0010-0000-0100-000015000000}" name="21/jul" dataDxfId="71" totalsRowDxfId="9"/>
    <tableColumn id="22" xr3:uid="{00000000-0010-0000-0100-000016000000}" name="15/jul2" dataDxfId="70" totalsRowDxfId="8"/>
    <tableColumn id="23" xr3:uid="{00000000-0010-0000-0100-000017000000}" name="15/07 À 21/07" dataDxfId="69" totalsRowDxfId="7">
      <calculatedColumnFormula>SUM(Tabela7[[#This Row],[18/jul2]:[15/jul2]])</calculatedColumnFormula>
    </tableColumn>
    <tableColumn id="24" xr3:uid="{00000000-0010-0000-0100-000018000000}" name="25/jul2" dataDxfId="68" totalsRowDxfId="6"/>
    <tableColumn id="25" xr3:uid="{00000000-0010-0000-0100-000019000000}" name="26/jul2" dataDxfId="67" totalsRowDxfId="5"/>
    <tableColumn id="26" xr3:uid="{00000000-0010-0000-0100-00001A000000}" name="27/jul" dataDxfId="66" totalsRowDxfId="4"/>
    <tableColumn id="27" xr3:uid="{00000000-0010-0000-0100-00001B000000}" name="28/jul2" dataDxfId="65" totalsRowDxfId="3"/>
    <tableColumn id="28" xr3:uid="{00000000-0010-0000-0100-00001C000000}" name="22/jul2" dataDxfId="64" totalsRowDxfId="2"/>
    <tableColumn id="29" xr3:uid="{00000000-0010-0000-0100-00001D000000}" name="25/07 À 28/07" dataDxfId="63" totalsRowDxfId="1">
      <calculatedColumnFormula>SUM(Tabela7[[#This Row],[25/jul2]:[22/jul2]])</calculatedColumnFormula>
    </tableColumn>
    <tableColumn id="37" xr3:uid="{00000000-0010-0000-0100-000025000000}" name="Total" dataDxfId="62" totalsRowDxfId="0">
      <calculatedColumnFormula>SUM(Tabela7[[#This Row],[25/07 À 28/07]]+Tabela7[[#This Row],[15/07 À 21/07]]+Tabela7[[#This Row],[08/07 À 14/077]]+Tabela7[[#This Row],[23/01 à 29/01]])</calculatedColumnFormula>
    </tableColumn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ela8" displayName="Tabela8" ref="B3:L309" totalsRowCount="1" headerRowDxfId="61" dataDxfId="60" totalsRowDxfId="58" tableBorderDxfId="59" headerRowCellStyle="Normal" dataCellStyle="Normal">
  <autoFilter ref="B3:L308" xr:uid="{00000000-0009-0000-0100-000008000000}">
    <filterColumn colId="3">
      <customFilters>
        <customFilter operator="notEqual" val=" "/>
      </customFilters>
    </filterColumn>
  </autoFilter>
  <tableColumns count="11">
    <tableColumn id="1" xr3:uid="{00000000-0010-0000-0200-000001000000}" name="ID" dataDxfId="57" totalsRowDxfId="56" dataCellStyle="Normal">
      <calculatedColumnFormula>VALUE('CONTROLE DE PRODUÇÃO'!#REF!)</calculatedColumnFormula>
    </tableColumn>
    <tableColumn id="2" xr3:uid="{00000000-0010-0000-0200-000002000000}" name="COLABORADOR" totalsRowFunction="count" dataDxfId="55" totalsRowDxfId="54" dataCellStyle="Normal">
      <calculatedColumnFormula>IFERROR(VLOOKUP(Tabela8[[#This Row],[ID]],Tabela7[],2,0),"")</calculatedColumnFormula>
    </tableColumn>
    <tableColumn id="3" xr3:uid="{00000000-0010-0000-0200-000003000000}" name="CPF" dataDxfId="53" totalsRowDxfId="52" dataCellStyle="Normal">
      <calculatedColumnFormula>VLOOKUP(Tabela8[[#This Row],[ID]],Tabela1[],3,0)</calculatedColumnFormula>
    </tableColumn>
    <tableColumn id="4" xr3:uid="{00000000-0010-0000-0200-000004000000}" name="Banco" dataDxfId="51" totalsRowDxfId="50" dataCellStyle="Normal">
      <calculatedColumnFormula>IFERROR(VLOOKUP(Tabela8[[#This Row],[ID]],Tabela1[],4,0),"")</calculatedColumnFormula>
    </tableColumn>
    <tableColumn id="5" xr3:uid="{00000000-0010-0000-0200-000005000000}" name="Ag." dataDxfId="49" totalsRowDxfId="48" dataCellStyle="Normal">
      <calculatedColumnFormula>IFERROR(VLOOKUP(Tabela8[[#This Row],[ID]],Tabela1[],5,0),"")</calculatedColumnFormula>
    </tableColumn>
    <tableColumn id="6" xr3:uid="{00000000-0010-0000-0200-000006000000}" name="OP." dataDxfId="47" totalsRowDxfId="46" dataCellStyle="Normal">
      <calculatedColumnFormula>IFERROR(VLOOKUP(Tabela8[[#This Row],[ID]],Tabela1[],6,0),"")</calculatedColumnFormula>
    </tableColumn>
    <tableColumn id="7" xr3:uid="{00000000-0010-0000-0200-000007000000}" name="Nº Conta" dataDxfId="45" totalsRowDxfId="44" dataCellStyle="Normal">
      <calculatedColumnFormula>IFERROR(VLOOKUP(Tabela8[[#This Row],[ID]],Tabela1[],7,0),"")</calculatedColumnFormula>
    </tableColumn>
    <tableColumn id="8" xr3:uid="{00000000-0010-0000-0200-000008000000}" name="PERIODO" dataDxfId="43" totalsRowDxfId="42" dataCellStyle="Normal"/>
    <tableColumn id="11" xr3:uid="{00000000-0010-0000-0200-00000B000000}" name="SEMANA" dataDxfId="41" totalsRowDxfId="40" dataCellStyle="Normal"/>
    <tableColumn id="9" xr3:uid="{00000000-0010-0000-0200-000009000000}" name="Latas a Pagar" totalsRowFunction="custom" dataDxfId="39" totalsRowDxfId="38" dataCellStyle="Normal">
      <calculatedColumnFormula>IFERROR(VLOOKUP(Tabela8[[#This Row],[ID]],Tabela7[],11,0),"")</calculatedColumnFormula>
      <totalsRowFormula>SUBTOTAL(109,K4:K308)</totalsRowFormula>
    </tableColumn>
    <tableColumn id="10" xr3:uid="{00000000-0010-0000-0200-00000A000000}" name="VALOR DEPOSITO" totalsRowFunction="custom" dataDxfId="37" totalsRowDxfId="36" dataCellStyle="Moeda">
      <calculatedColumnFormula>Tabela8[[#This Row],[Latas a Pagar]]*Tabela9[VALOR LATA]</calculatedColumnFormula>
      <totalsRowFormula>SUBTOTAL(109,L4:L308)</totalsRow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5" displayName="Tabela5" ref="A3:A8" totalsRowShown="0">
  <autoFilter ref="A3:A8" xr:uid="{00000000-0009-0000-0100-000005000000}"/>
  <tableColumns count="1">
    <tableColumn id="1" xr3:uid="{00000000-0010-0000-0300-000001000000}" name="BANCO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6" displayName="Tabela6" ref="C3:C5" totalsRowShown="0">
  <autoFilter ref="C3:C5" xr:uid="{00000000-0009-0000-0100-000006000000}"/>
  <tableColumns count="1">
    <tableColumn id="1" xr3:uid="{00000000-0010-0000-0400-000001000000}" name="Àre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9" displayName="Tabela9" ref="E3:E4" totalsRowShown="0" dataDxfId="35" dataCellStyle="Moeda">
  <autoFilter ref="E3:E4" xr:uid="{00000000-0009-0000-0100-000009000000}"/>
  <tableColumns count="1">
    <tableColumn id="1" xr3:uid="{00000000-0010-0000-0500-000001000000}" name="VALOR LATA" dataDxfId="34" dataCellStyle="Moeda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10" displayName="Tabela10" ref="G4:G10" totalsRowShown="0">
  <autoFilter ref="G4:G10" xr:uid="{00000000-0009-0000-0100-00000A000000}"/>
  <tableColumns count="1">
    <tableColumn id="1" xr3:uid="{00000000-0010-0000-0600-000001000000}" name="Coluna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11" displayName="Tabela11" ref="A10:B15" totalsRowShown="0" dataDxfId="33" tableBorderDxfId="32">
  <tableColumns count="2">
    <tableColumn id="1" xr3:uid="{00000000-0010-0000-0700-000001000000}" name="PERIODO" dataDxfId="31"/>
    <tableColumn id="2" xr3:uid="{00000000-0010-0000-0700-000002000000}" name="Coluna1" dataDxfId="30">
      <calculatedColumnFormula>'CONTROLE DE PRODUÇÃO'!L:L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2452"/>
  <sheetViews>
    <sheetView showGridLines="0" tabSelected="1" zoomScale="130" zoomScaleNormal="130" zoomScaleSheetLayoutView="70" workbookViewId="0">
      <selection activeCell="C2350" sqref="C2350"/>
    </sheetView>
  </sheetViews>
  <sheetFormatPr defaultRowHeight="15" x14ac:dyDescent="0.25"/>
  <cols>
    <col min="2" max="2" width="8.85546875" customWidth="1"/>
    <col min="3" max="3" width="38.7109375" bestFit="1" customWidth="1"/>
    <col min="4" max="4" width="14.42578125" style="105" bestFit="1" customWidth="1"/>
    <col min="5" max="5" width="14.42578125" bestFit="1" customWidth="1"/>
    <col min="6" max="6" width="8.85546875" style="121" bestFit="1" customWidth="1"/>
    <col min="7" max="7" width="9.140625" style="103" bestFit="1" customWidth="1"/>
    <col min="8" max="8" width="16.28515625" style="103" customWidth="1"/>
    <col min="9" max="9" width="9" bestFit="1" customWidth="1"/>
    <col min="12" max="12" width="16.42578125" customWidth="1"/>
    <col min="13" max="13" width="10.85546875" customWidth="1"/>
    <col min="14" max="14" width="8.140625" customWidth="1"/>
    <col min="15" max="15" width="6.85546875" customWidth="1"/>
    <col min="16" max="16" width="12.5703125" customWidth="1"/>
  </cols>
  <sheetData>
    <row r="1" spans="2:9" ht="11.25" customHeight="1" x14ac:dyDescent="0.25"/>
    <row r="2" spans="2:9" ht="22.5" customHeight="1" x14ac:dyDescent="0.25">
      <c r="B2" s="120" t="s">
        <v>0</v>
      </c>
      <c r="C2" s="120" t="s">
        <v>1</v>
      </c>
      <c r="D2" s="120" t="s">
        <v>2</v>
      </c>
      <c r="E2" s="120" t="s">
        <v>3</v>
      </c>
      <c r="F2" s="122" t="s">
        <v>4</v>
      </c>
      <c r="G2" s="120" t="s">
        <v>5</v>
      </c>
      <c r="H2" s="120" t="s">
        <v>6</v>
      </c>
      <c r="I2" s="120" t="s">
        <v>7</v>
      </c>
    </row>
    <row r="3" spans="2:9" x14ac:dyDescent="0.25">
      <c r="B3">
        <v>1</v>
      </c>
      <c r="C3" t="s">
        <v>8</v>
      </c>
      <c r="D3">
        <v>0</v>
      </c>
      <c r="E3" t="s">
        <v>9</v>
      </c>
      <c r="F3" s="121">
        <v>1192</v>
      </c>
      <c r="G3" s="123">
        <v>13</v>
      </c>
      <c r="H3" s="103" t="s">
        <v>10</v>
      </c>
    </row>
    <row r="4" spans="2:9" x14ac:dyDescent="0.25">
      <c r="B4">
        <v>2</v>
      </c>
      <c r="C4" t="s">
        <v>11</v>
      </c>
      <c r="D4">
        <v>0</v>
      </c>
      <c r="E4" t="s">
        <v>9</v>
      </c>
      <c r="F4" s="121">
        <v>4825</v>
      </c>
      <c r="G4" s="123">
        <v>13</v>
      </c>
      <c r="H4" s="103" t="s">
        <v>12</v>
      </c>
    </row>
    <row r="5" spans="2:9" x14ac:dyDescent="0.25">
      <c r="B5">
        <v>3</v>
      </c>
      <c r="C5" t="s">
        <v>13</v>
      </c>
      <c r="D5">
        <v>0</v>
      </c>
      <c r="E5" t="s">
        <v>9</v>
      </c>
      <c r="F5" s="121">
        <v>4818</v>
      </c>
      <c r="G5" s="123">
        <v>13</v>
      </c>
      <c r="H5" s="103" t="s">
        <v>14</v>
      </c>
    </row>
    <row r="6" spans="2:9" x14ac:dyDescent="0.25">
      <c r="B6">
        <v>4</v>
      </c>
      <c r="C6" t="s">
        <v>15</v>
      </c>
      <c r="D6">
        <v>0</v>
      </c>
      <c r="E6" t="s">
        <v>9</v>
      </c>
      <c r="F6" s="121">
        <v>2734</v>
      </c>
      <c r="G6" s="123">
        <v>13</v>
      </c>
      <c r="H6" s="103" t="s">
        <v>16</v>
      </c>
    </row>
    <row r="7" spans="2:9" x14ac:dyDescent="0.25">
      <c r="B7">
        <v>5</v>
      </c>
      <c r="C7" t="s">
        <v>17</v>
      </c>
      <c r="D7" t="s">
        <v>18</v>
      </c>
      <c r="E7" t="s">
        <v>9</v>
      </c>
      <c r="F7" s="121">
        <v>780</v>
      </c>
      <c r="G7" s="103">
        <v>1288</v>
      </c>
      <c r="H7" s="103" t="s">
        <v>19</v>
      </c>
    </row>
    <row r="8" spans="2:9" x14ac:dyDescent="0.25">
      <c r="B8">
        <v>6</v>
      </c>
      <c r="C8" t="s">
        <v>20</v>
      </c>
      <c r="D8">
        <v>0</v>
      </c>
      <c r="E8" t="s">
        <v>21</v>
      </c>
      <c r="F8" s="121">
        <v>3871</v>
      </c>
      <c r="G8" s="103" t="s">
        <v>22</v>
      </c>
      <c r="H8" s="103" t="s">
        <v>23</v>
      </c>
    </row>
    <row r="9" spans="2:9" x14ac:dyDescent="0.25">
      <c r="B9">
        <v>7</v>
      </c>
      <c r="C9" t="s">
        <v>24</v>
      </c>
      <c r="D9">
        <v>0</v>
      </c>
      <c r="E9" t="s">
        <v>9</v>
      </c>
      <c r="F9" s="121">
        <v>4134</v>
      </c>
      <c r="G9" s="103">
        <v>1288</v>
      </c>
      <c r="H9" s="103" t="s">
        <v>25</v>
      </c>
    </row>
    <row r="10" spans="2:9" x14ac:dyDescent="0.25">
      <c r="B10">
        <v>8</v>
      </c>
      <c r="C10" t="s">
        <v>26</v>
      </c>
      <c r="D10" t="s">
        <v>27</v>
      </c>
      <c r="E10" t="s">
        <v>9</v>
      </c>
      <c r="F10" s="121">
        <v>949</v>
      </c>
      <c r="G10" s="123">
        <v>1288</v>
      </c>
      <c r="H10" s="103" t="s">
        <v>28</v>
      </c>
    </row>
    <row r="11" spans="2:9" x14ac:dyDescent="0.25">
      <c r="B11">
        <v>9</v>
      </c>
      <c r="C11" t="s">
        <v>29</v>
      </c>
      <c r="D11">
        <v>0</v>
      </c>
      <c r="E11" t="s">
        <v>9</v>
      </c>
      <c r="F11" s="121">
        <v>4825</v>
      </c>
      <c r="G11" s="123">
        <v>13</v>
      </c>
      <c r="H11" s="103" t="s">
        <v>30</v>
      </c>
    </row>
    <row r="12" spans="2:9" x14ac:dyDescent="0.25">
      <c r="B12">
        <v>10</v>
      </c>
      <c r="C12" t="s">
        <v>31</v>
      </c>
      <c r="D12">
        <v>0</v>
      </c>
      <c r="E12" t="s">
        <v>9</v>
      </c>
      <c r="F12" s="121">
        <v>780</v>
      </c>
      <c r="G12" s="123">
        <v>13</v>
      </c>
      <c r="H12" s="103" t="s">
        <v>32</v>
      </c>
    </row>
    <row r="13" spans="2:9" x14ac:dyDescent="0.25">
      <c r="B13">
        <v>11</v>
      </c>
      <c r="C13" t="s">
        <v>33</v>
      </c>
      <c r="D13" t="s">
        <v>34</v>
      </c>
      <c r="E13" t="s">
        <v>35</v>
      </c>
      <c r="F13" s="121" t="s">
        <v>36</v>
      </c>
      <c r="G13" s="103" t="s">
        <v>37</v>
      </c>
      <c r="H13" s="103" t="s">
        <v>38</v>
      </c>
    </row>
    <row r="14" spans="2:9" x14ac:dyDescent="0.25">
      <c r="B14">
        <v>12</v>
      </c>
      <c r="C14" t="s">
        <v>39</v>
      </c>
      <c r="D14">
        <v>0</v>
      </c>
      <c r="E14" t="s">
        <v>9</v>
      </c>
      <c r="F14" s="121">
        <v>4825</v>
      </c>
      <c r="G14" s="103">
        <v>1288</v>
      </c>
      <c r="H14" s="103" t="s">
        <v>40</v>
      </c>
    </row>
    <row r="15" spans="2:9" x14ac:dyDescent="0.25">
      <c r="B15">
        <v>13</v>
      </c>
      <c r="C15" t="s">
        <v>41</v>
      </c>
      <c r="D15">
        <v>0</v>
      </c>
      <c r="E15" t="s">
        <v>21</v>
      </c>
      <c r="F15" s="121">
        <v>3925</v>
      </c>
      <c r="G15" s="103" t="s">
        <v>22</v>
      </c>
      <c r="H15" s="103" t="s">
        <v>42</v>
      </c>
    </row>
    <row r="16" spans="2:9" x14ac:dyDescent="0.25">
      <c r="B16">
        <v>14</v>
      </c>
      <c r="C16" t="s">
        <v>43</v>
      </c>
      <c r="D16">
        <v>0</v>
      </c>
      <c r="E16" t="s">
        <v>21</v>
      </c>
      <c r="F16" s="121" t="s">
        <v>44</v>
      </c>
      <c r="G16" s="103" t="s">
        <v>22</v>
      </c>
      <c r="H16" s="103" t="s">
        <v>45</v>
      </c>
    </row>
    <row r="17" spans="2:8" x14ac:dyDescent="0.25">
      <c r="B17">
        <v>15</v>
      </c>
      <c r="C17" t="s">
        <v>46</v>
      </c>
      <c r="D17">
        <v>0</v>
      </c>
      <c r="E17" t="s">
        <v>9</v>
      </c>
      <c r="F17" s="121">
        <v>949</v>
      </c>
      <c r="G17" s="123">
        <v>13</v>
      </c>
      <c r="H17" s="103" t="s">
        <v>47</v>
      </c>
    </row>
    <row r="18" spans="2:8" x14ac:dyDescent="0.25">
      <c r="B18">
        <v>16</v>
      </c>
      <c r="C18" t="s">
        <v>48</v>
      </c>
      <c r="D18">
        <v>0</v>
      </c>
      <c r="E18" t="s">
        <v>9</v>
      </c>
      <c r="F18" s="121">
        <v>949</v>
      </c>
      <c r="G18" s="123">
        <v>23</v>
      </c>
      <c r="H18" s="103" t="s">
        <v>49</v>
      </c>
    </row>
    <row r="19" spans="2:8" x14ac:dyDescent="0.25">
      <c r="B19">
        <v>17</v>
      </c>
      <c r="C19" t="s">
        <v>50</v>
      </c>
      <c r="D19">
        <v>0</v>
      </c>
      <c r="E19" t="s">
        <v>51</v>
      </c>
      <c r="F19" s="121">
        <v>3025</v>
      </c>
      <c r="H19" s="103">
        <v>0</v>
      </c>
    </row>
    <row r="20" spans="2:8" x14ac:dyDescent="0.25">
      <c r="B20">
        <v>18</v>
      </c>
      <c r="C20" t="s">
        <v>52</v>
      </c>
      <c r="D20">
        <v>0</v>
      </c>
      <c r="E20" t="s">
        <v>9</v>
      </c>
      <c r="F20" s="121">
        <v>780</v>
      </c>
      <c r="G20" s="103">
        <v>1288</v>
      </c>
      <c r="H20" s="103" t="s">
        <v>53</v>
      </c>
    </row>
    <row r="21" spans="2:8" x14ac:dyDescent="0.25">
      <c r="B21">
        <v>19</v>
      </c>
      <c r="C21" t="s">
        <v>54</v>
      </c>
      <c r="D21">
        <v>0</v>
      </c>
      <c r="E21" t="s">
        <v>9</v>
      </c>
      <c r="F21" s="121">
        <v>780</v>
      </c>
      <c r="G21" s="103">
        <v>1288</v>
      </c>
      <c r="H21" s="103" t="s">
        <v>55</v>
      </c>
    </row>
    <row r="22" spans="2:8" x14ac:dyDescent="0.25">
      <c r="B22">
        <v>20</v>
      </c>
      <c r="C22" t="s">
        <v>56</v>
      </c>
      <c r="D22">
        <v>0</v>
      </c>
      <c r="E22" t="s">
        <v>9</v>
      </c>
      <c r="F22" s="121">
        <v>4825</v>
      </c>
      <c r="G22" s="103">
        <v>1288</v>
      </c>
      <c r="H22" s="103" t="s">
        <v>57</v>
      </c>
    </row>
    <row r="23" spans="2:8" x14ac:dyDescent="0.25">
      <c r="B23">
        <v>21</v>
      </c>
      <c r="C23" t="s">
        <v>58</v>
      </c>
      <c r="D23">
        <v>0</v>
      </c>
      <c r="E23" t="s">
        <v>21</v>
      </c>
      <c r="F23" s="121" t="s">
        <v>59</v>
      </c>
      <c r="G23" s="103" t="s">
        <v>22</v>
      </c>
      <c r="H23" s="103" t="s">
        <v>60</v>
      </c>
    </row>
    <row r="24" spans="2:8" x14ac:dyDescent="0.25">
      <c r="B24">
        <v>22</v>
      </c>
      <c r="C24" t="s">
        <v>61</v>
      </c>
      <c r="D24">
        <v>0</v>
      </c>
      <c r="E24" t="s">
        <v>9</v>
      </c>
      <c r="F24" s="121">
        <v>780</v>
      </c>
      <c r="G24" s="123">
        <v>23</v>
      </c>
      <c r="H24" s="103" t="s">
        <v>62</v>
      </c>
    </row>
    <row r="25" spans="2:8" x14ac:dyDescent="0.25">
      <c r="B25">
        <v>23</v>
      </c>
      <c r="C25" t="s">
        <v>63</v>
      </c>
      <c r="D25">
        <v>0</v>
      </c>
      <c r="E25" t="s">
        <v>9</v>
      </c>
      <c r="F25" s="121">
        <v>2734</v>
      </c>
      <c r="G25" s="103">
        <v>1288</v>
      </c>
      <c r="H25" s="103" t="s">
        <v>64</v>
      </c>
    </row>
    <row r="26" spans="2:8" x14ac:dyDescent="0.25">
      <c r="B26">
        <v>24</v>
      </c>
      <c r="C26" t="s">
        <v>65</v>
      </c>
      <c r="D26">
        <v>0</v>
      </c>
      <c r="E26" t="s">
        <v>21</v>
      </c>
      <c r="F26" s="121" t="s">
        <v>66</v>
      </c>
      <c r="G26" s="103" t="s">
        <v>22</v>
      </c>
      <c r="H26" s="103" t="s">
        <v>67</v>
      </c>
    </row>
    <row r="27" spans="2:8" x14ac:dyDescent="0.25">
      <c r="B27">
        <v>25</v>
      </c>
      <c r="C27" t="s">
        <v>68</v>
      </c>
      <c r="D27" t="s">
        <v>5153</v>
      </c>
      <c r="E27" t="s">
        <v>9</v>
      </c>
      <c r="F27" s="121">
        <v>4825</v>
      </c>
      <c r="G27" s="123"/>
      <c r="H27" s="103" t="s">
        <v>5131</v>
      </c>
    </row>
    <row r="28" spans="2:8" x14ac:dyDescent="0.25">
      <c r="B28">
        <v>26</v>
      </c>
      <c r="C28" t="s">
        <v>69</v>
      </c>
      <c r="D28">
        <v>0</v>
      </c>
      <c r="E28" t="s">
        <v>9</v>
      </c>
      <c r="F28" s="121">
        <v>780</v>
      </c>
      <c r="G28" s="103">
        <v>1288</v>
      </c>
      <c r="H28" s="103" t="s">
        <v>70</v>
      </c>
    </row>
    <row r="29" spans="2:8" x14ac:dyDescent="0.25">
      <c r="B29">
        <v>27</v>
      </c>
      <c r="C29" t="s">
        <v>71</v>
      </c>
      <c r="D29">
        <v>0</v>
      </c>
      <c r="E29" t="s">
        <v>21</v>
      </c>
      <c r="F29" s="121" t="s">
        <v>72</v>
      </c>
      <c r="G29" s="103" t="s">
        <v>22</v>
      </c>
      <c r="H29" s="103" t="s">
        <v>73</v>
      </c>
    </row>
    <row r="30" spans="2:8" x14ac:dyDescent="0.25">
      <c r="B30">
        <v>28</v>
      </c>
      <c r="C30" t="s">
        <v>74</v>
      </c>
      <c r="D30">
        <v>0</v>
      </c>
      <c r="E30" t="s">
        <v>9</v>
      </c>
      <c r="F30" s="121">
        <v>4601</v>
      </c>
      <c r="G30" s="103">
        <v>1288</v>
      </c>
      <c r="H30" s="103" t="s">
        <v>75</v>
      </c>
    </row>
    <row r="31" spans="2:8" x14ac:dyDescent="0.25">
      <c r="B31">
        <v>29</v>
      </c>
      <c r="C31" t="s">
        <v>76</v>
      </c>
      <c r="D31">
        <v>0</v>
      </c>
      <c r="E31" t="s">
        <v>9</v>
      </c>
      <c r="F31" s="121">
        <v>4825</v>
      </c>
      <c r="G31" s="123">
        <v>13</v>
      </c>
      <c r="H31" s="103" t="s">
        <v>77</v>
      </c>
    </row>
    <row r="32" spans="2:8" x14ac:dyDescent="0.25">
      <c r="B32">
        <v>30</v>
      </c>
      <c r="C32" t="s">
        <v>78</v>
      </c>
      <c r="D32">
        <v>0</v>
      </c>
      <c r="E32" t="s">
        <v>9</v>
      </c>
      <c r="F32" s="121">
        <v>4825</v>
      </c>
      <c r="G32" s="123">
        <v>13</v>
      </c>
      <c r="H32" s="103" t="s">
        <v>79</v>
      </c>
    </row>
    <row r="33" spans="2:8" x14ac:dyDescent="0.25">
      <c r="B33">
        <v>31</v>
      </c>
      <c r="C33" t="s">
        <v>80</v>
      </c>
      <c r="D33">
        <v>0</v>
      </c>
      <c r="E33" t="s">
        <v>9</v>
      </c>
      <c r="F33" s="121">
        <v>780</v>
      </c>
      <c r="G33" s="123">
        <v>23</v>
      </c>
      <c r="H33" s="103" t="s">
        <v>81</v>
      </c>
    </row>
    <row r="34" spans="2:8" x14ac:dyDescent="0.25">
      <c r="B34">
        <v>32</v>
      </c>
      <c r="C34" t="s">
        <v>82</v>
      </c>
      <c r="D34">
        <v>0</v>
      </c>
      <c r="E34" t="s">
        <v>9</v>
      </c>
      <c r="F34" s="121">
        <v>4139</v>
      </c>
      <c r="G34" s="123">
        <v>13</v>
      </c>
      <c r="H34" s="103" t="s">
        <v>83</v>
      </c>
    </row>
    <row r="35" spans="2:8" x14ac:dyDescent="0.25">
      <c r="B35">
        <v>33</v>
      </c>
      <c r="C35" t="s">
        <v>84</v>
      </c>
      <c r="D35">
        <v>0</v>
      </c>
      <c r="E35" t="s">
        <v>9</v>
      </c>
      <c r="F35" s="121">
        <v>4825</v>
      </c>
      <c r="G35" s="103">
        <v>1288</v>
      </c>
      <c r="H35" s="103" t="s">
        <v>85</v>
      </c>
    </row>
    <row r="36" spans="2:8" x14ac:dyDescent="0.25">
      <c r="B36">
        <v>34</v>
      </c>
      <c r="C36" t="s">
        <v>86</v>
      </c>
      <c r="D36">
        <v>0</v>
      </c>
      <c r="E36" t="s">
        <v>35</v>
      </c>
      <c r="F36" s="121" t="s">
        <v>36</v>
      </c>
      <c r="G36" s="123" t="s">
        <v>87</v>
      </c>
      <c r="H36" s="103" t="s">
        <v>88</v>
      </c>
    </row>
    <row r="37" spans="2:8" x14ac:dyDescent="0.25">
      <c r="B37">
        <v>35</v>
      </c>
      <c r="C37" t="s">
        <v>89</v>
      </c>
      <c r="D37">
        <v>0</v>
      </c>
      <c r="E37" t="s">
        <v>9</v>
      </c>
      <c r="F37" s="121">
        <v>949</v>
      </c>
      <c r="G37" s="123">
        <v>13</v>
      </c>
      <c r="H37" s="103" t="s">
        <v>90</v>
      </c>
    </row>
    <row r="38" spans="2:8" x14ac:dyDescent="0.25">
      <c r="B38">
        <v>36</v>
      </c>
      <c r="C38" t="s">
        <v>91</v>
      </c>
      <c r="D38">
        <v>0</v>
      </c>
      <c r="E38" t="s">
        <v>9</v>
      </c>
      <c r="F38" s="121">
        <v>4825</v>
      </c>
      <c r="G38" s="123">
        <v>13</v>
      </c>
      <c r="H38" s="103" t="s">
        <v>92</v>
      </c>
    </row>
    <row r="39" spans="2:8" x14ac:dyDescent="0.25">
      <c r="B39">
        <v>37</v>
      </c>
      <c r="C39" t="s">
        <v>93</v>
      </c>
      <c r="D39">
        <v>0</v>
      </c>
      <c r="E39" t="s">
        <v>21</v>
      </c>
      <c r="F39" s="121" t="s">
        <v>44</v>
      </c>
      <c r="G39" s="103" t="s">
        <v>22</v>
      </c>
      <c r="H39" s="103" t="s">
        <v>94</v>
      </c>
    </row>
    <row r="40" spans="2:8" x14ac:dyDescent="0.25">
      <c r="B40">
        <v>38</v>
      </c>
      <c r="C40" t="s">
        <v>95</v>
      </c>
      <c r="D40">
        <v>0</v>
      </c>
      <c r="E40" t="s">
        <v>9</v>
      </c>
      <c r="F40" s="121">
        <v>4825</v>
      </c>
      <c r="G40" s="123">
        <v>13</v>
      </c>
      <c r="H40" s="103" t="s">
        <v>96</v>
      </c>
    </row>
    <row r="41" spans="2:8" x14ac:dyDescent="0.25">
      <c r="B41">
        <v>39</v>
      </c>
      <c r="C41" t="s">
        <v>97</v>
      </c>
      <c r="D41">
        <v>0</v>
      </c>
      <c r="E41" t="s">
        <v>9</v>
      </c>
      <c r="F41" s="121">
        <v>4825</v>
      </c>
      <c r="G41" s="103">
        <v>1288</v>
      </c>
      <c r="H41" s="103" t="s">
        <v>98</v>
      </c>
    </row>
    <row r="42" spans="2:8" x14ac:dyDescent="0.25">
      <c r="B42">
        <v>40</v>
      </c>
      <c r="C42" t="s">
        <v>99</v>
      </c>
      <c r="D42">
        <v>0</v>
      </c>
      <c r="E42" t="s">
        <v>21</v>
      </c>
      <c r="F42" s="121" t="s">
        <v>44</v>
      </c>
      <c r="G42" s="103" t="s">
        <v>22</v>
      </c>
      <c r="H42" s="103" t="s">
        <v>100</v>
      </c>
    </row>
    <row r="43" spans="2:8" x14ac:dyDescent="0.25">
      <c r="B43">
        <v>41</v>
      </c>
      <c r="C43" t="s">
        <v>101</v>
      </c>
      <c r="D43">
        <v>0</v>
      </c>
      <c r="E43" t="s">
        <v>21</v>
      </c>
      <c r="F43" s="121">
        <v>3860</v>
      </c>
      <c r="G43" s="103" t="s">
        <v>22</v>
      </c>
      <c r="H43" s="103" t="s">
        <v>102</v>
      </c>
    </row>
    <row r="44" spans="2:8" x14ac:dyDescent="0.25">
      <c r="B44">
        <v>42</v>
      </c>
      <c r="C44" t="s">
        <v>103</v>
      </c>
      <c r="D44">
        <v>0</v>
      </c>
      <c r="E44" t="s">
        <v>9</v>
      </c>
      <c r="F44" s="121">
        <v>4825</v>
      </c>
      <c r="H44" s="103" t="s">
        <v>104</v>
      </c>
    </row>
    <row r="45" spans="2:8" x14ac:dyDescent="0.25">
      <c r="B45">
        <v>43</v>
      </c>
      <c r="C45" t="s">
        <v>105</v>
      </c>
      <c r="D45">
        <v>0</v>
      </c>
      <c r="E45" t="s">
        <v>9</v>
      </c>
      <c r="F45" s="121">
        <v>780</v>
      </c>
      <c r="G45" s="123">
        <v>13</v>
      </c>
      <c r="H45" s="103" t="s">
        <v>106</v>
      </c>
    </row>
    <row r="46" spans="2:8" x14ac:dyDescent="0.25">
      <c r="B46">
        <v>44</v>
      </c>
      <c r="C46" t="s">
        <v>107</v>
      </c>
      <c r="D46">
        <v>0</v>
      </c>
      <c r="E46" t="s">
        <v>21</v>
      </c>
      <c r="F46" s="121" t="s">
        <v>108</v>
      </c>
      <c r="G46" s="103" t="s">
        <v>22</v>
      </c>
      <c r="H46" s="103" t="s">
        <v>109</v>
      </c>
    </row>
    <row r="47" spans="2:8" x14ac:dyDescent="0.25">
      <c r="B47">
        <v>45</v>
      </c>
      <c r="C47" t="s">
        <v>110</v>
      </c>
      <c r="D47">
        <v>0</v>
      </c>
      <c r="E47" t="s">
        <v>9</v>
      </c>
      <c r="F47" s="121">
        <v>949</v>
      </c>
      <c r="G47" s="123">
        <v>13</v>
      </c>
      <c r="H47" s="103" t="s">
        <v>111</v>
      </c>
    </row>
    <row r="48" spans="2:8" x14ac:dyDescent="0.25">
      <c r="B48">
        <v>46</v>
      </c>
      <c r="C48" t="s">
        <v>112</v>
      </c>
      <c r="D48">
        <v>0</v>
      </c>
      <c r="E48" t="s">
        <v>9</v>
      </c>
      <c r="F48" s="121">
        <v>4825</v>
      </c>
      <c r="G48" s="123">
        <v>13</v>
      </c>
      <c r="H48" s="103" t="s">
        <v>113</v>
      </c>
    </row>
    <row r="49" spans="2:8" x14ac:dyDescent="0.25">
      <c r="B49">
        <v>47</v>
      </c>
      <c r="C49" t="s">
        <v>114</v>
      </c>
      <c r="D49">
        <v>0</v>
      </c>
      <c r="E49" t="s">
        <v>9</v>
      </c>
      <c r="F49" s="121">
        <v>780</v>
      </c>
      <c r="G49" s="123">
        <v>23</v>
      </c>
      <c r="H49" s="103" t="s">
        <v>115</v>
      </c>
    </row>
    <row r="50" spans="2:8" x14ac:dyDescent="0.25">
      <c r="B50">
        <v>48</v>
      </c>
      <c r="C50" t="s">
        <v>116</v>
      </c>
      <c r="D50">
        <v>0</v>
      </c>
      <c r="E50" t="s">
        <v>9</v>
      </c>
      <c r="F50" s="121">
        <v>4825</v>
      </c>
      <c r="G50" s="123">
        <v>13</v>
      </c>
      <c r="H50" s="103" t="s">
        <v>117</v>
      </c>
    </row>
    <row r="51" spans="2:8" x14ac:dyDescent="0.25">
      <c r="B51">
        <v>49</v>
      </c>
      <c r="C51" t="s">
        <v>118</v>
      </c>
      <c r="D51">
        <v>0</v>
      </c>
      <c r="E51" t="s">
        <v>9</v>
      </c>
      <c r="F51" s="121">
        <v>949</v>
      </c>
      <c r="G51" s="123">
        <v>1288</v>
      </c>
      <c r="H51" s="103" t="s">
        <v>119</v>
      </c>
    </row>
    <row r="52" spans="2:8" x14ac:dyDescent="0.25">
      <c r="B52">
        <v>50</v>
      </c>
      <c r="C52" t="s">
        <v>120</v>
      </c>
      <c r="D52">
        <v>0</v>
      </c>
      <c r="E52" t="s">
        <v>21</v>
      </c>
      <c r="F52" s="121" t="s">
        <v>44</v>
      </c>
      <c r="G52" s="103" t="s">
        <v>22</v>
      </c>
      <c r="H52" s="103" t="s">
        <v>121</v>
      </c>
    </row>
    <row r="53" spans="2:8" x14ac:dyDescent="0.25">
      <c r="B53">
        <v>51</v>
      </c>
      <c r="C53" t="s">
        <v>122</v>
      </c>
      <c r="D53">
        <v>0</v>
      </c>
      <c r="E53" t="s">
        <v>9</v>
      </c>
      <c r="F53" s="121">
        <v>4825</v>
      </c>
      <c r="G53" s="123">
        <v>13</v>
      </c>
      <c r="H53" s="103" t="s">
        <v>123</v>
      </c>
    </row>
    <row r="54" spans="2:8" x14ac:dyDescent="0.25">
      <c r="B54">
        <v>52</v>
      </c>
      <c r="C54" t="s">
        <v>124</v>
      </c>
      <c r="D54" t="s">
        <v>125</v>
      </c>
      <c r="E54" t="s">
        <v>21</v>
      </c>
      <c r="F54" s="121" t="s">
        <v>44</v>
      </c>
      <c r="G54" s="103" t="s">
        <v>37</v>
      </c>
      <c r="H54" s="103" t="s">
        <v>126</v>
      </c>
    </row>
    <row r="55" spans="2:8" x14ac:dyDescent="0.25">
      <c r="B55">
        <v>53</v>
      </c>
      <c r="C55" t="s">
        <v>127</v>
      </c>
      <c r="D55" t="s">
        <v>128</v>
      </c>
      <c r="E55" t="s">
        <v>9</v>
      </c>
      <c r="F55" s="121">
        <v>4818</v>
      </c>
      <c r="G55" s="123"/>
      <c r="H55" s="103" t="s">
        <v>129</v>
      </c>
    </row>
    <row r="56" spans="2:8" x14ac:dyDescent="0.25">
      <c r="B56">
        <v>54</v>
      </c>
      <c r="C56" t="s">
        <v>130</v>
      </c>
      <c r="D56" t="s">
        <v>131</v>
      </c>
      <c r="E56" t="s">
        <v>21</v>
      </c>
      <c r="F56" s="121" t="s">
        <v>44</v>
      </c>
      <c r="G56" s="103" t="s">
        <v>37</v>
      </c>
      <c r="H56" s="103" t="s">
        <v>132</v>
      </c>
    </row>
    <row r="57" spans="2:8" x14ac:dyDescent="0.25">
      <c r="B57">
        <v>55</v>
      </c>
      <c r="C57" t="s">
        <v>133</v>
      </c>
      <c r="D57">
        <v>0</v>
      </c>
      <c r="E57" t="s">
        <v>9</v>
      </c>
      <c r="F57" s="121">
        <v>412</v>
      </c>
      <c r="G57" s="103">
        <v>1288</v>
      </c>
      <c r="H57" s="103" t="s">
        <v>134</v>
      </c>
    </row>
    <row r="58" spans="2:8" x14ac:dyDescent="0.25">
      <c r="B58">
        <v>56</v>
      </c>
      <c r="C58" t="s">
        <v>135</v>
      </c>
      <c r="D58">
        <v>0</v>
      </c>
      <c r="E58" t="s">
        <v>9</v>
      </c>
      <c r="F58" s="121">
        <v>4825</v>
      </c>
      <c r="G58" s="123">
        <v>13</v>
      </c>
      <c r="H58" s="103" t="s">
        <v>136</v>
      </c>
    </row>
    <row r="59" spans="2:8" x14ac:dyDescent="0.25">
      <c r="B59">
        <v>57</v>
      </c>
      <c r="C59" t="s">
        <v>137</v>
      </c>
      <c r="D59">
        <v>0</v>
      </c>
      <c r="E59" t="s">
        <v>9</v>
      </c>
      <c r="F59" s="121">
        <v>4825</v>
      </c>
      <c r="G59" s="123">
        <v>13</v>
      </c>
      <c r="H59" s="103" t="s">
        <v>138</v>
      </c>
    </row>
    <row r="60" spans="2:8" x14ac:dyDescent="0.25">
      <c r="B60">
        <v>58</v>
      </c>
      <c r="C60" t="s">
        <v>139</v>
      </c>
      <c r="D60">
        <v>0</v>
      </c>
      <c r="E60" t="s">
        <v>21</v>
      </c>
      <c r="F60" s="121" t="s">
        <v>140</v>
      </c>
      <c r="G60" s="103" t="s">
        <v>22</v>
      </c>
      <c r="H60" s="103" t="s">
        <v>141</v>
      </c>
    </row>
    <row r="61" spans="2:8" x14ac:dyDescent="0.25">
      <c r="B61">
        <v>59</v>
      </c>
      <c r="C61" t="s">
        <v>142</v>
      </c>
      <c r="D61">
        <v>0</v>
      </c>
      <c r="E61" t="s">
        <v>9</v>
      </c>
      <c r="F61" s="121">
        <v>4818</v>
      </c>
      <c r="G61" s="123">
        <v>13</v>
      </c>
      <c r="H61" s="103" t="s">
        <v>143</v>
      </c>
    </row>
    <row r="62" spans="2:8" x14ac:dyDescent="0.25">
      <c r="B62">
        <v>60</v>
      </c>
      <c r="C62" t="s">
        <v>144</v>
      </c>
      <c r="D62">
        <v>0</v>
      </c>
      <c r="E62" t="s">
        <v>9</v>
      </c>
      <c r="F62" s="121">
        <v>4825</v>
      </c>
      <c r="G62" s="123">
        <v>13</v>
      </c>
      <c r="H62" s="103" t="s">
        <v>145</v>
      </c>
    </row>
    <row r="63" spans="2:8" x14ac:dyDescent="0.25">
      <c r="B63">
        <v>61</v>
      </c>
      <c r="C63" t="s">
        <v>146</v>
      </c>
      <c r="D63">
        <v>0</v>
      </c>
      <c r="E63" t="s">
        <v>9</v>
      </c>
      <c r="F63" s="121">
        <v>2281</v>
      </c>
      <c r="G63" s="123">
        <v>13</v>
      </c>
      <c r="H63" s="103" t="s">
        <v>147</v>
      </c>
    </row>
    <row r="64" spans="2:8" x14ac:dyDescent="0.25">
      <c r="B64">
        <v>62</v>
      </c>
      <c r="C64" t="s">
        <v>148</v>
      </c>
      <c r="D64" t="s">
        <v>149</v>
      </c>
      <c r="E64" t="s">
        <v>9</v>
      </c>
      <c r="F64" s="121">
        <v>4825</v>
      </c>
      <c r="G64" s="103">
        <v>1288</v>
      </c>
      <c r="H64" s="103" t="s">
        <v>150</v>
      </c>
    </row>
    <row r="65" spans="2:8" x14ac:dyDescent="0.25">
      <c r="B65">
        <v>63</v>
      </c>
      <c r="C65" t="s">
        <v>151</v>
      </c>
      <c r="D65">
        <v>0</v>
      </c>
      <c r="E65" t="s">
        <v>9</v>
      </c>
      <c r="F65" s="121">
        <v>4825</v>
      </c>
      <c r="G65" s="103">
        <v>1288</v>
      </c>
      <c r="H65" s="103" t="s">
        <v>152</v>
      </c>
    </row>
    <row r="66" spans="2:8" x14ac:dyDescent="0.25">
      <c r="B66">
        <v>64</v>
      </c>
      <c r="C66" t="s">
        <v>153</v>
      </c>
      <c r="D66">
        <v>0</v>
      </c>
      <c r="E66" t="s">
        <v>9</v>
      </c>
      <c r="F66" s="121">
        <v>3204</v>
      </c>
      <c r="G66" s="123">
        <v>13</v>
      </c>
      <c r="H66" s="103" t="s">
        <v>154</v>
      </c>
    </row>
    <row r="67" spans="2:8" x14ac:dyDescent="0.25">
      <c r="B67">
        <v>65</v>
      </c>
      <c r="C67" t="s">
        <v>155</v>
      </c>
      <c r="D67">
        <v>0</v>
      </c>
      <c r="E67" t="s">
        <v>9</v>
      </c>
      <c r="F67" s="121">
        <v>68</v>
      </c>
      <c r="G67" s="103">
        <v>1288</v>
      </c>
      <c r="H67" s="103" t="s">
        <v>156</v>
      </c>
    </row>
    <row r="68" spans="2:8" x14ac:dyDescent="0.25">
      <c r="B68">
        <v>66</v>
      </c>
      <c r="C68" t="s">
        <v>157</v>
      </c>
      <c r="D68">
        <v>0</v>
      </c>
      <c r="E68" t="s">
        <v>9</v>
      </c>
      <c r="F68" s="121">
        <v>949</v>
      </c>
      <c r="G68" s="123">
        <v>13</v>
      </c>
      <c r="H68" s="103" t="s">
        <v>158</v>
      </c>
    </row>
    <row r="69" spans="2:8" x14ac:dyDescent="0.25">
      <c r="B69">
        <v>67</v>
      </c>
      <c r="C69" t="s">
        <v>159</v>
      </c>
      <c r="D69">
        <v>0</v>
      </c>
      <c r="E69" t="s">
        <v>9</v>
      </c>
      <c r="F69" s="121">
        <v>3138</v>
      </c>
      <c r="G69" s="123">
        <v>13</v>
      </c>
      <c r="H69" s="103" t="s">
        <v>160</v>
      </c>
    </row>
    <row r="70" spans="2:8" x14ac:dyDescent="0.25">
      <c r="B70">
        <v>68</v>
      </c>
      <c r="C70" t="s">
        <v>161</v>
      </c>
      <c r="D70">
        <v>0</v>
      </c>
      <c r="E70" t="s">
        <v>35</v>
      </c>
      <c r="F70" s="121" t="s">
        <v>36</v>
      </c>
      <c r="G70" s="103" t="s">
        <v>37</v>
      </c>
      <c r="H70" s="103" t="s">
        <v>162</v>
      </c>
    </row>
    <row r="71" spans="2:8" x14ac:dyDescent="0.25">
      <c r="B71">
        <v>69</v>
      </c>
      <c r="D71"/>
      <c r="G71" s="123"/>
    </row>
    <row r="72" spans="2:8" x14ac:dyDescent="0.25">
      <c r="B72">
        <v>70</v>
      </c>
      <c r="C72" t="s">
        <v>163</v>
      </c>
      <c r="D72">
        <v>0</v>
      </c>
      <c r="E72" t="s">
        <v>9</v>
      </c>
      <c r="F72" s="121">
        <v>4825</v>
      </c>
      <c r="G72" s="123">
        <v>13</v>
      </c>
      <c r="H72" s="103" t="s">
        <v>164</v>
      </c>
    </row>
    <row r="73" spans="2:8" x14ac:dyDescent="0.25">
      <c r="B73">
        <v>71</v>
      </c>
      <c r="C73" t="s">
        <v>165</v>
      </c>
      <c r="D73">
        <v>0</v>
      </c>
      <c r="E73" t="s">
        <v>9</v>
      </c>
      <c r="F73" s="121">
        <v>949</v>
      </c>
      <c r="G73" s="103">
        <v>1288</v>
      </c>
      <c r="H73" s="103" t="s">
        <v>166</v>
      </c>
    </row>
    <row r="74" spans="2:8" x14ac:dyDescent="0.25">
      <c r="B74">
        <v>72</v>
      </c>
      <c r="C74" t="s">
        <v>167</v>
      </c>
      <c r="D74">
        <v>0</v>
      </c>
      <c r="E74" t="s">
        <v>9</v>
      </c>
      <c r="F74" s="121">
        <v>4825</v>
      </c>
      <c r="G74" s="123">
        <v>13</v>
      </c>
      <c r="H74" s="103" t="s">
        <v>168</v>
      </c>
    </row>
    <row r="75" spans="2:8" x14ac:dyDescent="0.25">
      <c r="B75">
        <v>73</v>
      </c>
      <c r="C75" t="s">
        <v>169</v>
      </c>
      <c r="D75">
        <v>0</v>
      </c>
      <c r="E75" t="s">
        <v>9</v>
      </c>
      <c r="F75" s="121">
        <v>949</v>
      </c>
      <c r="G75" s="103">
        <v>1288</v>
      </c>
      <c r="H75" s="103" t="s">
        <v>170</v>
      </c>
    </row>
    <row r="76" spans="2:8" x14ac:dyDescent="0.25">
      <c r="B76">
        <v>74</v>
      </c>
      <c r="C76" t="s">
        <v>171</v>
      </c>
      <c r="D76" t="s">
        <v>172</v>
      </c>
      <c r="E76" t="s">
        <v>35</v>
      </c>
      <c r="F76" s="121" t="s">
        <v>36</v>
      </c>
      <c r="G76" s="103" t="s">
        <v>37</v>
      </c>
      <c r="H76" s="103" t="s">
        <v>173</v>
      </c>
    </row>
    <row r="77" spans="2:8" x14ac:dyDescent="0.25">
      <c r="B77">
        <v>75</v>
      </c>
      <c r="C77" t="s">
        <v>174</v>
      </c>
      <c r="D77">
        <v>0</v>
      </c>
      <c r="E77" t="s">
        <v>9</v>
      </c>
      <c r="F77" s="121">
        <v>949</v>
      </c>
      <c r="G77" s="103">
        <v>1288</v>
      </c>
      <c r="H77" s="103" t="s">
        <v>175</v>
      </c>
    </row>
    <row r="78" spans="2:8" x14ac:dyDescent="0.25">
      <c r="B78">
        <v>76</v>
      </c>
      <c r="C78" t="s">
        <v>176</v>
      </c>
      <c r="D78">
        <v>0</v>
      </c>
      <c r="E78" t="s">
        <v>9</v>
      </c>
      <c r="F78" s="121">
        <v>4818</v>
      </c>
      <c r="G78" s="123">
        <v>13</v>
      </c>
      <c r="H78" s="103" t="s">
        <v>177</v>
      </c>
    </row>
    <row r="79" spans="2:8" x14ac:dyDescent="0.25">
      <c r="B79">
        <v>77</v>
      </c>
      <c r="C79" t="s">
        <v>178</v>
      </c>
      <c r="D79" t="s">
        <v>179</v>
      </c>
      <c r="E79" t="s">
        <v>9</v>
      </c>
      <c r="F79" s="121">
        <v>949</v>
      </c>
      <c r="G79" s="123">
        <v>23</v>
      </c>
      <c r="H79" s="103" t="s">
        <v>180</v>
      </c>
    </row>
    <row r="80" spans="2:8" x14ac:dyDescent="0.25">
      <c r="B80">
        <v>78</v>
      </c>
      <c r="C80" t="s">
        <v>181</v>
      </c>
      <c r="D80">
        <v>0</v>
      </c>
      <c r="E80" t="s">
        <v>35</v>
      </c>
      <c r="F80" s="121" t="s">
        <v>36</v>
      </c>
      <c r="G80" s="103" t="s">
        <v>37</v>
      </c>
      <c r="H80" s="103" t="s">
        <v>182</v>
      </c>
    </row>
    <row r="81" spans="2:8" x14ac:dyDescent="0.25">
      <c r="B81">
        <v>79</v>
      </c>
      <c r="C81" t="s">
        <v>183</v>
      </c>
      <c r="D81">
        <v>0</v>
      </c>
      <c r="E81" t="s">
        <v>9</v>
      </c>
      <c r="F81" s="121">
        <v>949</v>
      </c>
      <c r="G81" s="123">
        <v>13</v>
      </c>
      <c r="H81" s="103" t="s">
        <v>184</v>
      </c>
    </row>
    <row r="82" spans="2:8" x14ac:dyDescent="0.25">
      <c r="B82">
        <v>80</v>
      </c>
      <c r="C82" t="s">
        <v>185</v>
      </c>
      <c r="D82" t="s">
        <v>186</v>
      </c>
      <c r="E82" t="s">
        <v>9</v>
      </c>
      <c r="F82" s="121">
        <v>1449</v>
      </c>
      <c r="G82" s="123">
        <v>13</v>
      </c>
      <c r="H82" s="103" t="s">
        <v>187</v>
      </c>
    </row>
    <row r="83" spans="2:8" x14ac:dyDescent="0.25">
      <c r="B83">
        <v>81</v>
      </c>
      <c r="C83" t="s">
        <v>188</v>
      </c>
      <c r="D83">
        <v>0</v>
      </c>
      <c r="E83" t="s">
        <v>21</v>
      </c>
      <c r="F83" s="121">
        <v>7802</v>
      </c>
      <c r="G83" s="103" t="s">
        <v>37</v>
      </c>
      <c r="H83" s="103" t="s">
        <v>189</v>
      </c>
    </row>
    <row r="84" spans="2:8" x14ac:dyDescent="0.25">
      <c r="B84">
        <v>82</v>
      </c>
      <c r="C84" t="s">
        <v>190</v>
      </c>
      <c r="D84" t="s">
        <v>191</v>
      </c>
      <c r="E84" t="s">
        <v>9</v>
      </c>
      <c r="F84" s="121">
        <v>4825</v>
      </c>
      <c r="G84" s="123">
        <v>13</v>
      </c>
      <c r="H84" s="103" t="s">
        <v>192</v>
      </c>
    </row>
    <row r="85" spans="2:8" x14ac:dyDescent="0.25">
      <c r="B85">
        <v>83</v>
      </c>
      <c r="C85" t="s">
        <v>193</v>
      </c>
      <c r="D85">
        <v>0</v>
      </c>
      <c r="E85" t="s">
        <v>9</v>
      </c>
      <c r="F85" s="121">
        <v>4825</v>
      </c>
      <c r="G85" s="103">
        <v>1288</v>
      </c>
      <c r="H85" s="103" t="s">
        <v>194</v>
      </c>
    </row>
    <row r="86" spans="2:8" x14ac:dyDescent="0.25">
      <c r="B86">
        <v>84</v>
      </c>
      <c r="C86" t="s">
        <v>195</v>
      </c>
      <c r="D86" t="s">
        <v>196</v>
      </c>
      <c r="E86" t="s">
        <v>9</v>
      </c>
      <c r="F86" s="121">
        <v>4825</v>
      </c>
      <c r="G86" s="123">
        <v>13</v>
      </c>
      <c r="H86" s="103" t="s">
        <v>197</v>
      </c>
    </row>
    <row r="87" spans="2:8" x14ac:dyDescent="0.25">
      <c r="B87">
        <v>85</v>
      </c>
      <c r="C87" t="s">
        <v>198</v>
      </c>
      <c r="D87">
        <v>0</v>
      </c>
      <c r="E87" t="s">
        <v>9</v>
      </c>
      <c r="F87" s="121">
        <v>780</v>
      </c>
      <c r="G87" s="123">
        <v>23</v>
      </c>
      <c r="H87" s="103" t="s">
        <v>199</v>
      </c>
    </row>
    <row r="88" spans="2:8" x14ac:dyDescent="0.25">
      <c r="B88">
        <v>86</v>
      </c>
      <c r="C88" t="s">
        <v>200</v>
      </c>
      <c r="D88">
        <v>0</v>
      </c>
      <c r="E88" t="s">
        <v>21</v>
      </c>
      <c r="F88" s="121" t="s">
        <v>44</v>
      </c>
      <c r="G88" s="103" t="s">
        <v>37</v>
      </c>
      <c r="H88" s="103" t="s">
        <v>201</v>
      </c>
    </row>
    <row r="89" spans="2:8" x14ac:dyDescent="0.25">
      <c r="B89">
        <v>87</v>
      </c>
      <c r="C89" t="s">
        <v>202</v>
      </c>
      <c r="D89">
        <v>0</v>
      </c>
      <c r="E89" t="s">
        <v>9</v>
      </c>
      <c r="F89" s="121">
        <v>4825</v>
      </c>
      <c r="G89" s="103">
        <v>1288</v>
      </c>
      <c r="H89" s="103" t="s">
        <v>203</v>
      </c>
    </row>
    <row r="90" spans="2:8" x14ac:dyDescent="0.25">
      <c r="B90">
        <v>88</v>
      </c>
      <c r="C90" t="s">
        <v>204</v>
      </c>
      <c r="D90" t="s">
        <v>205</v>
      </c>
      <c r="E90" t="s">
        <v>9</v>
      </c>
      <c r="F90" s="121">
        <v>949</v>
      </c>
      <c r="G90" s="123"/>
      <c r="H90" s="103" t="s">
        <v>206</v>
      </c>
    </row>
    <row r="91" spans="2:8" x14ac:dyDescent="0.25">
      <c r="B91">
        <v>89</v>
      </c>
      <c r="C91" t="s">
        <v>207</v>
      </c>
      <c r="D91" t="s">
        <v>208</v>
      </c>
      <c r="E91" t="s">
        <v>9</v>
      </c>
      <c r="F91" s="121">
        <v>4825</v>
      </c>
      <c r="G91" s="123"/>
      <c r="H91" s="103" t="s">
        <v>209</v>
      </c>
    </row>
    <row r="92" spans="2:8" x14ac:dyDescent="0.25">
      <c r="B92">
        <v>90</v>
      </c>
      <c r="C92" t="s">
        <v>210</v>
      </c>
      <c r="D92">
        <v>0</v>
      </c>
      <c r="E92" t="s">
        <v>9</v>
      </c>
      <c r="F92" s="121">
        <v>780</v>
      </c>
      <c r="G92" s="123">
        <v>23</v>
      </c>
      <c r="H92" s="103" t="s">
        <v>211</v>
      </c>
    </row>
    <row r="93" spans="2:8" x14ac:dyDescent="0.25">
      <c r="B93">
        <v>91</v>
      </c>
      <c r="C93" t="s">
        <v>212</v>
      </c>
      <c r="D93" t="s">
        <v>213</v>
      </c>
      <c r="E93" t="s">
        <v>21</v>
      </c>
      <c r="F93" s="121" t="s">
        <v>44</v>
      </c>
      <c r="H93" s="103" t="s">
        <v>214</v>
      </c>
    </row>
    <row r="94" spans="2:8" x14ac:dyDescent="0.25">
      <c r="B94">
        <v>92</v>
      </c>
      <c r="C94" t="s">
        <v>215</v>
      </c>
      <c r="D94">
        <v>0</v>
      </c>
      <c r="E94" t="s">
        <v>9</v>
      </c>
      <c r="F94" s="121">
        <v>4825</v>
      </c>
      <c r="G94" s="103">
        <v>1288</v>
      </c>
      <c r="H94" s="103" t="s">
        <v>216</v>
      </c>
    </row>
    <row r="95" spans="2:8" x14ac:dyDescent="0.25">
      <c r="B95">
        <v>93</v>
      </c>
      <c r="C95" t="s">
        <v>217</v>
      </c>
      <c r="D95" t="s">
        <v>218</v>
      </c>
      <c r="E95" t="s">
        <v>21</v>
      </c>
      <c r="F95" s="121">
        <v>7802</v>
      </c>
      <c r="G95" s="103" t="s">
        <v>37</v>
      </c>
      <c r="H95" s="103" t="s">
        <v>219</v>
      </c>
    </row>
    <row r="96" spans="2:8" x14ac:dyDescent="0.25">
      <c r="B96">
        <v>94</v>
      </c>
      <c r="C96" t="s">
        <v>220</v>
      </c>
      <c r="D96">
        <v>0</v>
      </c>
      <c r="E96" t="s">
        <v>21</v>
      </c>
      <c r="F96" s="121">
        <v>3862</v>
      </c>
      <c r="G96" s="103" t="s">
        <v>37</v>
      </c>
      <c r="H96" s="103" t="s">
        <v>221</v>
      </c>
    </row>
    <row r="97" spans="2:8" x14ac:dyDescent="0.25">
      <c r="B97">
        <v>95</v>
      </c>
      <c r="C97" t="s">
        <v>222</v>
      </c>
      <c r="D97">
        <v>0</v>
      </c>
      <c r="E97" t="s">
        <v>9</v>
      </c>
      <c r="F97" s="121">
        <v>4825</v>
      </c>
      <c r="G97" s="123">
        <v>13</v>
      </c>
      <c r="H97" s="103" t="s">
        <v>223</v>
      </c>
    </row>
    <row r="98" spans="2:8" x14ac:dyDescent="0.25">
      <c r="B98">
        <v>96</v>
      </c>
      <c r="C98" t="s">
        <v>224</v>
      </c>
      <c r="D98">
        <v>0</v>
      </c>
      <c r="E98" t="s">
        <v>9</v>
      </c>
      <c r="F98" s="121">
        <v>4535</v>
      </c>
      <c r="G98" s="123">
        <v>13</v>
      </c>
      <c r="H98" s="103" t="s">
        <v>225</v>
      </c>
    </row>
    <row r="99" spans="2:8" x14ac:dyDescent="0.25">
      <c r="B99">
        <v>97</v>
      </c>
      <c r="C99" t="s">
        <v>226</v>
      </c>
      <c r="D99">
        <v>0</v>
      </c>
      <c r="E99" t="s">
        <v>9</v>
      </c>
      <c r="F99" s="121">
        <v>3204</v>
      </c>
      <c r="G99" s="103">
        <v>1288</v>
      </c>
      <c r="H99" s="103" t="s">
        <v>227</v>
      </c>
    </row>
    <row r="100" spans="2:8" x14ac:dyDescent="0.25">
      <c r="B100">
        <v>98</v>
      </c>
      <c r="C100" t="s">
        <v>228</v>
      </c>
      <c r="D100">
        <v>0</v>
      </c>
      <c r="E100" t="s">
        <v>9</v>
      </c>
      <c r="F100" s="121">
        <v>4825</v>
      </c>
      <c r="G100" s="123">
        <v>13</v>
      </c>
      <c r="H100" s="103" t="s">
        <v>229</v>
      </c>
    </row>
    <row r="101" spans="2:8" x14ac:dyDescent="0.25">
      <c r="B101">
        <v>99</v>
      </c>
      <c r="C101" t="s">
        <v>230</v>
      </c>
      <c r="D101">
        <v>0</v>
      </c>
      <c r="E101" t="s">
        <v>9</v>
      </c>
      <c r="F101" s="121">
        <v>4818</v>
      </c>
      <c r="G101" s="123">
        <v>13</v>
      </c>
      <c r="H101" s="103" t="s">
        <v>231</v>
      </c>
    </row>
    <row r="102" spans="2:8" x14ac:dyDescent="0.25">
      <c r="B102">
        <v>100</v>
      </c>
      <c r="C102" t="s">
        <v>232</v>
      </c>
      <c r="D102">
        <v>0</v>
      </c>
      <c r="E102" t="s">
        <v>9</v>
      </c>
      <c r="F102" s="121">
        <v>4825</v>
      </c>
      <c r="G102" s="103">
        <v>1288</v>
      </c>
      <c r="H102" s="103" t="s">
        <v>233</v>
      </c>
    </row>
    <row r="103" spans="2:8" x14ac:dyDescent="0.25">
      <c r="B103">
        <v>101</v>
      </c>
      <c r="C103" t="s">
        <v>234</v>
      </c>
      <c r="D103" t="s">
        <v>5313</v>
      </c>
      <c r="E103" t="s">
        <v>9</v>
      </c>
      <c r="F103" s="121">
        <v>4825</v>
      </c>
      <c r="G103" s="123"/>
      <c r="H103" s="103" t="s">
        <v>5312</v>
      </c>
    </row>
    <row r="104" spans="2:8" x14ac:dyDescent="0.25">
      <c r="B104">
        <v>102</v>
      </c>
      <c r="C104" t="s">
        <v>235</v>
      </c>
      <c r="D104">
        <v>0</v>
      </c>
      <c r="E104" t="s">
        <v>9</v>
      </c>
      <c r="F104" s="121">
        <v>949</v>
      </c>
      <c r="G104" s="123">
        <v>23</v>
      </c>
      <c r="H104" s="103" t="s">
        <v>236</v>
      </c>
    </row>
    <row r="105" spans="2:8" x14ac:dyDescent="0.25">
      <c r="B105">
        <v>103</v>
      </c>
      <c r="C105" t="s">
        <v>237</v>
      </c>
      <c r="D105">
        <v>0</v>
      </c>
      <c r="E105" t="s">
        <v>9</v>
      </c>
      <c r="F105" s="121">
        <v>4818</v>
      </c>
      <c r="G105" s="123">
        <v>13</v>
      </c>
      <c r="H105" s="103" t="s">
        <v>238</v>
      </c>
    </row>
    <row r="106" spans="2:8" x14ac:dyDescent="0.25">
      <c r="B106">
        <v>104</v>
      </c>
      <c r="C106" t="s">
        <v>239</v>
      </c>
      <c r="D106">
        <v>0</v>
      </c>
      <c r="E106" t="s">
        <v>9</v>
      </c>
      <c r="F106" s="121">
        <v>4825</v>
      </c>
      <c r="G106" s="123">
        <v>13</v>
      </c>
      <c r="H106" s="103" t="s">
        <v>240</v>
      </c>
    </row>
    <row r="107" spans="2:8" x14ac:dyDescent="0.25">
      <c r="B107">
        <v>105</v>
      </c>
      <c r="C107" t="s">
        <v>241</v>
      </c>
      <c r="D107">
        <v>0</v>
      </c>
      <c r="E107" t="s">
        <v>9</v>
      </c>
      <c r="F107" s="121">
        <v>4825</v>
      </c>
      <c r="G107" s="103">
        <v>1288</v>
      </c>
      <c r="H107" s="103" t="s">
        <v>242</v>
      </c>
    </row>
    <row r="108" spans="2:8" x14ac:dyDescent="0.25">
      <c r="B108">
        <v>106</v>
      </c>
      <c r="C108" t="s">
        <v>243</v>
      </c>
      <c r="D108">
        <v>0</v>
      </c>
      <c r="E108" t="s">
        <v>21</v>
      </c>
      <c r="F108" s="121">
        <v>3905</v>
      </c>
      <c r="G108" s="103" t="s">
        <v>37</v>
      </c>
      <c r="H108" s="103" t="s">
        <v>244</v>
      </c>
    </row>
    <row r="109" spans="2:8" x14ac:dyDescent="0.25">
      <c r="B109">
        <v>107</v>
      </c>
      <c r="C109" t="s">
        <v>245</v>
      </c>
      <c r="D109">
        <v>0</v>
      </c>
      <c r="E109" t="s">
        <v>35</v>
      </c>
      <c r="F109" s="121" t="s">
        <v>36</v>
      </c>
      <c r="G109" s="103" t="s">
        <v>87</v>
      </c>
      <c r="H109" s="103" t="s">
        <v>246</v>
      </c>
    </row>
    <row r="110" spans="2:8" x14ac:dyDescent="0.25">
      <c r="B110">
        <v>108</v>
      </c>
      <c r="D110">
        <v>0</v>
      </c>
      <c r="G110" s="123"/>
    </row>
    <row r="111" spans="2:8" x14ac:dyDescent="0.25">
      <c r="B111">
        <v>109</v>
      </c>
      <c r="D111">
        <v>0</v>
      </c>
      <c r="G111" s="123"/>
    </row>
    <row r="112" spans="2:8" x14ac:dyDescent="0.25">
      <c r="B112">
        <v>110</v>
      </c>
      <c r="D112">
        <v>0</v>
      </c>
      <c r="G112" s="123"/>
    </row>
    <row r="113" spans="2:8" x14ac:dyDescent="0.25">
      <c r="B113">
        <v>111</v>
      </c>
      <c r="D113">
        <v>0</v>
      </c>
      <c r="G113" s="123"/>
    </row>
    <row r="114" spans="2:8" x14ac:dyDescent="0.25">
      <c r="B114">
        <v>112</v>
      </c>
      <c r="D114">
        <v>0</v>
      </c>
      <c r="G114" s="123"/>
    </row>
    <row r="115" spans="2:8" x14ac:dyDescent="0.25">
      <c r="B115">
        <v>113</v>
      </c>
      <c r="D115">
        <v>0</v>
      </c>
      <c r="G115" s="123"/>
    </row>
    <row r="116" spans="2:8" x14ac:dyDescent="0.25">
      <c r="B116">
        <v>114</v>
      </c>
      <c r="D116">
        <v>0</v>
      </c>
      <c r="G116" s="123"/>
    </row>
    <row r="117" spans="2:8" x14ac:dyDescent="0.25">
      <c r="B117">
        <v>115</v>
      </c>
      <c r="D117">
        <v>0</v>
      </c>
      <c r="G117" s="123"/>
    </row>
    <row r="118" spans="2:8" x14ac:dyDescent="0.25">
      <c r="B118">
        <v>116</v>
      </c>
      <c r="D118">
        <v>0</v>
      </c>
      <c r="G118" s="123"/>
    </row>
    <row r="119" spans="2:8" x14ac:dyDescent="0.25">
      <c r="B119">
        <v>117</v>
      </c>
      <c r="D119">
        <v>0</v>
      </c>
      <c r="G119" s="123"/>
    </row>
    <row r="120" spans="2:8" x14ac:dyDescent="0.25">
      <c r="B120">
        <v>118</v>
      </c>
      <c r="D120">
        <v>0</v>
      </c>
      <c r="G120" s="123"/>
    </row>
    <row r="121" spans="2:8" x14ac:dyDescent="0.25">
      <c r="B121">
        <v>119</v>
      </c>
      <c r="D121">
        <v>0</v>
      </c>
      <c r="G121" s="123"/>
    </row>
    <row r="122" spans="2:8" x14ac:dyDescent="0.25">
      <c r="B122">
        <v>120</v>
      </c>
      <c r="D122">
        <v>0</v>
      </c>
      <c r="G122" s="123"/>
    </row>
    <row r="123" spans="2:8" x14ac:dyDescent="0.25">
      <c r="B123">
        <v>121</v>
      </c>
      <c r="D123">
        <v>0</v>
      </c>
      <c r="G123" s="123"/>
    </row>
    <row r="124" spans="2:8" x14ac:dyDescent="0.25">
      <c r="B124">
        <v>122</v>
      </c>
      <c r="D124">
        <v>0</v>
      </c>
      <c r="G124" s="123"/>
    </row>
    <row r="125" spans="2:8" x14ac:dyDescent="0.25">
      <c r="B125">
        <v>123</v>
      </c>
      <c r="D125">
        <v>0</v>
      </c>
      <c r="G125" s="123"/>
    </row>
    <row r="126" spans="2:8" x14ac:dyDescent="0.25">
      <c r="B126">
        <v>124</v>
      </c>
      <c r="C126" t="s">
        <v>247</v>
      </c>
      <c r="D126" t="s">
        <v>248</v>
      </c>
      <c r="E126" t="s">
        <v>9</v>
      </c>
      <c r="F126" s="121">
        <v>2281</v>
      </c>
      <c r="G126" s="123"/>
      <c r="H126" s="103" t="s">
        <v>249</v>
      </c>
    </row>
    <row r="127" spans="2:8" x14ac:dyDescent="0.25">
      <c r="B127">
        <v>125</v>
      </c>
      <c r="C127" t="s">
        <v>250</v>
      </c>
      <c r="D127" t="s">
        <v>251</v>
      </c>
      <c r="E127" t="s">
        <v>9</v>
      </c>
      <c r="F127" s="121">
        <v>4818</v>
      </c>
      <c r="G127" s="123"/>
      <c r="H127" s="103" t="s">
        <v>252</v>
      </c>
    </row>
    <row r="128" spans="2:8" x14ac:dyDescent="0.25">
      <c r="B128">
        <v>126</v>
      </c>
      <c r="C128" t="s">
        <v>253</v>
      </c>
      <c r="D128" t="s">
        <v>254</v>
      </c>
      <c r="E128" t="s">
        <v>9</v>
      </c>
      <c r="F128" s="121">
        <v>4818</v>
      </c>
      <c r="G128" s="123">
        <v>13</v>
      </c>
      <c r="H128" s="103" t="s">
        <v>255</v>
      </c>
    </row>
    <row r="129" spans="2:8" x14ac:dyDescent="0.25">
      <c r="B129">
        <v>127</v>
      </c>
      <c r="C129" t="s">
        <v>256</v>
      </c>
      <c r="D129" t="s">
        <v>257</v>
      </c>
      <c r="E129" t="s">
        <v>9</v>
      </c>
      <c r="F129" s="121">
        <v>949</v>
      </c>
      <c r="G129" s="123">
        <v>23</v>
      </c>
      <c r="H129" s="103" t="s">
        <v>258</v>
      </c>
    </row>
    <row r="130" spans="2:8" x14ac:dyDescent="0.25">
      <c r="B130">
        <v>128</v>
      </c>
      <c r="C130" t="s">
        <v>259</v>
      </c>
      <c r="D130">
        <v>0</v>
      </c>
      <c r="E130" t="s">
        <v>9</v>
      </c>
      <c r="F130" s="121">
        <v>1053</v>
      </c>
      <c r="G130" s="123">
        <v>13</v>
      </c>
      <c r="H130" s="103" t="s">
        <v>260</v>
      </c>
    </row>
    <row r="131" spans="2:8" x14ac:dyDescent="0.25">
      <c r="B131">
        <v>129</v>
      </c>
      <c r="C131" t="s">
        <v>261</v>
      </c>
      <c r="D131">
        <v>0</v>
      </c>
      <c r="E131" t="s">
        <v>9</v>
      </c>
      <c r="F131" s="121">
        <v>4825</v>
      </c>
      <c r="G131" s="123"/>
      <c r="H131" s="103" t="s">
        <v>262</v>
      </c>
    </row>
    <row r="132" spans="2:8" x14ac:dyDescent="0.25">
      <c r="B132">
        <v>130</v>
      </c>
      <c r="C132" t="s">
        <v>263</v>
      </c>
      <c r="D132">
        <v>0</v>
      </c>
      <c r="E132" t="s">
        <v>21</v>
      </c>
      <c r="F132" s="121" t="s">
        <v>264</v>
      </c>
      <c r="G132" s="123" t="s">
        <v>37</v>
      </c>
      <c r="H132" s="103" t="s">
        <v>265</v>
      </c>
    </row>
    <row r="133" spans="2:8" x14ac:dyDescent="0.25">
      <c r="B133">
        <v>131</v>
      </c>
      <c r="C133" t="s">
        <v>266</v>
      </c>
      <c r="D133" t="s">
        <v>267</v>
      </c>
      <c r="E133" t="s">
        <v>9</v>
      </c>
      <c r="F133" s="121">
        <v>4825</v>
      </c>
      <c r="G133" s="123"/>
      <c r="H133" s="103" t="s">
        <v>268</v>
      </c>
    </row>
    <row r="134" spans="2:8" x14ac:dyDescent="0.25">
      <c r="B134">
        <v>132</v>
      </c>
      <c r="C134" t="s">
        <v>269</v>
      </c>
      <c r="D134" t="s">
        <v>270</v>
      </c>
      <c r="E134" t="s">
        <v>35</v>
      </c>
      <c r="F134" s="121" t="s">
        <v>36</v>
      </c>
      <c r="G134" s="103" t="s">
        <v>22</v>
      </c>
      <c r="H134" s="103" t="s">
        <v>271</v>
      </c>
    </row>
    <row r="135" spans="2:8" x14ac:dyDescent="0.25">
      <c r="B135">
        <v>133</v>
      </c>
      <c r="C135" t="s">
        <v>272</v>
      </c>
      <c r="D135">
        <v>0</v>
      </c>
      <c r="E135" t="s">
        <v>9</v>
      </c>
      <c r="F135" s="121">
        <v>4825</v>
      </c>
      <c r="G135" s="123">
        <v>13</v>
      </c>
      <c r="H135" s="103" t="s">
        <v>273</v>
      </c>
    </row>
    <row r="136" spans="2:8" x14ac:dyDescent="0.25">
      <c r="B136">
        <v>134</v>
      </c>
      <c r="C136" t="s">
        <v>274</v>
      </c>
      <c r="D136" t="s">
        <v>275</v>
      </c>
      <c r="E136" t="s">
        <v>9</v>
      </c>
      <c r="F136" s="121">
        <v>4825</v>
      </c>
      <c r="G136" s="123"/>
      <c r="H136" s="103" t="s">
        <v>276</v>
      </c>
    </row>
    <row r="137" spans="2:8" x14ac:dyDescent="0.25">
      <c r="B137">
        <v>135</v>
      </c>
      <c r="C137" t="s">
        <v>277</v>
      </c>
      <c r="D137" t="s">
        <v>278</v>
      </c>
      <c r="E137" t="s">
        <v>9</v>
      </c>
      <c r="F137" s="121">
        <v>3880</v>
      </c>
      <c r="G137" s="123">
        <v>1288</v>
      </c>
      <c r="H137" s="103" t="s">
        <v>279</v>
      </c>
    </row>
    <row r="138" spans="2:8" x14ac:dyDescent="0.25">
      <c r="B138">
        <v>136</v>
      </c>
      <c r="C138" t="s">
        <v>280</v>
      </c>
      <c r="D138" t="s">
        <v>281</v>
      </c>
      <c r="E138" t="s">
        <v>9</v>
      </c>
      <c r="F138" s="121">
        <v>3880</v>
      </c>
      <c r="G138" s="123">
        <v>1288</v>
      </c>
      <c r="H138" s="103" t="s">
        <v>282</v>
      </c>
    </row>
    <row r="139" spans="2:8" x14ac:dyDescent="0.25">
      <c r="B139">
        <v>137</v>
      </c>
      <c r="C139" t="s">
        <v>283</v>
      </c>
      <c r="D139">
        <v>0</v>
      </c>
      <c r="E139" t="s">
        <v>21</v>
      </c>
      <c r="F139" s="121" t="s">
        <v>44</v>
      </c>
      <c r="G139" s="123"/>
      <c r="H139" s="103" t="s">
        <v>284</v>
      </c>
    </row>
    <row r="140" spans="2:8" x14ac:dyDescent="0.25">
      <c r="B140">
        <v>138</v>
      </c>
      <c r="C140" t="s">
        <v>285</v>
      </c>
      <c r="D140" t="s">
        <v>286</v>
      </c>
      <c r="E140" t="s">
        <v>9</v>
      </c>
      <c r="F140" s="121">
        <v>4825</v>
      </c>
      <c r="G140" s="123"/>
      <c r="H140" s="103" t="s">
        <v>287</v>
      </c>
    </row>
    <row r="141" spans="2:8" x14ac:dyDescent="0.25">
      <c r="B141">
        <v>139</v>
      </c>
      <c r="C141" t="s">
        <v>288</v>
      </c>
      <c r="D141" t="s">
        <v>289</v>
      </c>
      <c r="E141" t="s">
        <v>9</v>
      </c>
      <c r="F141" s="121">
        <v>4825</v>
      </c>
      <c r="G141" s="123"/>
      <c r="H141" s="103" t="s">
        <v>290</v>
      </c>
    </row>
    <row r="142" spans="2:8" x14ac:dyDescent="0.25">
      <c r="B142">
        <v>140</v>
      </c>
      <c r="C142" t="s">
        <v>291</v>
      </c>
      <c r="D142" t="s">
        <v>292</v>
      </c>
      <c r="E142" t="s">
        <v>21</v>
      </c>
      <c r="F142" s="121" t="s">
        <v>293</v>
      </c>
      <c r="G142" s="123"/>
      <c r="H142" s="103" t="s">
        <v>294</v>
      </c>
    </row>
    <row r="143" spans="2:8" x14ac:dyDescent="0.25">
      <c r="B143">
        <v>141</v>
      </c>
      <c r="C143" t="s">
        <v>295</v>
      </c>
      <c r="D143" t="s">
        <v>296</v>
      </c>
      <c r="E143" t="s">
        <v>9</v>
      </c>
      <c r="F143" s="121">
        <v>4818</v>
      </c>
      <c r="G143" s="123"/>
      <c r="H143" s="103" t="s">
        <v>297</v>
      </c>
    </row>
    <row r="144" spans="2:8" x14ac:dyDescent="0.25">
      <c r="B144">
        <v>142</v>
      </c>
      <c r="C144" t="s">
        <v>298</v>
      </c>
      <c r="D144" t="s">
        <v>299</v>
      </c>
      <c r="E144" t="s">
        <v>9</v>
      </c>
      <c r="F144" s="121">
        <v>4818</v>
      </c>
      <c r="G144" s="123"/>
      <c r="H144" s="103" t="s">
        <v>300</v>
      </c>
    </row>
    <row r="145" spans="2:8" x14ac:dyDescent="0.25">
      <c r="B145">
        <v>143</v>
      </c>
      <c r="C145" t="s">
        <v>301</v>
      </c>
      <c r="D145" t="s">
        <v>302</v>
      </c>
      <c r="E145" t="s">
        <v>35</v>
      </c>
      <c r="F145" s="121" t="s">
        <v>36</v>
      </c>
      <c r="G145" s="123" t="s">
        <v>303</v>
      </c>
      <c r="H145" s="103" t="s">
        <v>304</v>
      </c>
    </row>
    <row r="146" spans="2:8" x14ac:dyDescent="0.25">
      <c r="B146">
        <v>144</v>
      </c>
      <c r="C146" t="s">
        <v>305</v>
      </c>
      <c r="D146">
        <v>0</v>
      </c>
      <c r="E146" t="s">
        <v>9</v>
      </c>
      <c r="F146" s="121">
        <v>783</v>
      </c>
      <c r="G146" s="123">
        <v>13</v>
      </c>
      <c r="H146" s="103" t="s">
        <v>306</v>
      </c>
    </row>
    <row r="147" spans="2:8" x14ac:dyDescent="0.25">
      <c r="B147">
        <v>145</v>
      </c>
      <c r="C147" t="s">
        <v>307</v>
      </c>
      <c r="D147" t="s">
        <v>308</v>
      </c>
      <c r="E147" t="s">
        <v>35</v>
      </c>
      <c r="F147" s="121" t="s">
        <v>36</v>
      </c>
      <c r="G147" s="123" t="s">
        <v>37</v>
      </c>
      <c r="H147" s="103" t="s">
        <v>309</v>
      </c>
    </row>
    <row r="148" spans="2:8" x14ac:dyDescent="0.25">
      <c r="B148">
        <v>146</v>
      </c>
      <c r="C148" t="s">
        <v>310</v>
      </c>
      <c r="D148" t="s">
        <v>311</v>
      </c>
      <c r="E148" t="s">
        <v>9</v>
      </c>
      <c r="F148" s="121">
        <v>4818</v>
      </c>
      <c r="G148" s="123">
        <v>13</v>
      </c>
      <c r="H148" s="103" t="s">
        <v>312</v>
      </c>
    </row>
    <row r="149" spans="2:8" x14ac:dyDescent="0.25">
      <c r="B149">
        <v>147</v>
      </c>
      <c r="C149" t="s">
        <v>313</v>
      </c>
      <c r="D149" t="s">
        <v>314</v>
      </c>
      <c r="E149" t="s">
        <v>21</v>
      </c>
      <c r="F149" s="121" t="s">
        <v>44</v>
      </c>
      <c r="G149" s="123" t="s">
        <v>303</v>
      </c>
      <c r="H149" s="103" t="s">
        <v>315</v>
      </c>
    </row>
    <row r="150" spans="2:8" x14ac:dyDescent="0.25">
      <c r="B150">
        <v>148</v>
      </c>
      <c r="C150" t="s">
        <v>316</v>
      </c>
      <c r="D150">
        <v>0</v>
      </c>
      <c r="E150" t="s">
        <v>9</v>
      </c>
      <c r="F150" s="121">
        <v>3880</v>
      </c>
      <c r="G150" s="123">
        <v>1288</v>
      </c>
      <c r="H150" s="103" t="s">
        <v>317</v>
      </c>
    </row>
    <row r="151" spans="2:8" x14ac:dyDescent="0.25">
      <c r="B151">
        <v>149</v>
      </c>
      <c r="C151" t="s">
        <v>318</v>
      </c>
      <c r="D151">
        <v>0</v>
      </c>
      <c r="E151" t="s">
        <v>9</v>
      </c>
      <c r="F151" s="121">
        <v>4818</v>
      </c>
      <c r="G151" s="123"/>
      <c r="H151" s="103" t="s">
        <v>319</v>
      </c>
    </row>
    <row r="152" spans="2:8" x14ac:dyDescent="0.25">
      <c r="B152">
        <v>150</v>
      </c>
      <c r="C152" t="s">
        <v>320</v>
      </c>
      <c r="D152">
        <v>0</v>
      </c>
      <c r="E152" t="s">
        <v>9</v>
      </c>
      <c r="F152" s="121">
        <v>949</v>
      </c>
      <c r="G152" s="123">
        <v>13</v>
      </c>
      <c r="H152" s="103" t="s">
        <v>321</v>
      </c>
    </row>
    <row r="153" spans="2:8" x14ac:dyDescent="0.25">
      <c r="B153">
        <v>151</v>
      </c>
      <c r="C153" t="s">
        <v>322</v>
      </c>
      <c r="D153" t="s">
        <v>323</v>
      </c>
      <c r="E153" t="s">
        <v>35</v>
      </c>
      <c r="F153" s="121" t="s">
        <v>36</v>
      </c>
      <c r="G153" s="123" t="s">
        <v>37</v>
      </c>
      <c r="H153" s="103" t="s">
        <v>324</v>
      </c>
    </row>
    <row r="154" spans="2:8" x14ac:dyDescent="0.25">
      <c r="B154">
        <v>152</v>
      </c>
      <c r="C154" t="s">
        <v>325</v>
      </c>
      <c r="D154">
        <v>0</v>
      </c>
      <c r="E154" t="s">
        <v>9</v>
      </c>
      <c r="F154" s="121">
        <v>949</v>
      </c>
      <c r="G154" s="123">
        <v>13</v>
      </c>
      <c r="H154" s="103" t="s">
        <v>326</v>
      </c>
    </row>
    <row r="155" spans="2:8" x14ac:dyDescent="0.25">
      <c r="B155">
        <v>153</v>
      </c>
      <c r="C155" t="s">
        <v>327</v>
      </c>
      <c r="D155" t="s">
        <v>328</v>
      </c>
      <c r="E155" t="s">
        <v>9</v>
      </c>
      <c r="F155" s="121">
        <v>949</v>
      </c>
      <c r="G155" s="123"/>
      <c r="H155" s="103" t="s">
        <v>329</v>
      </c>
    </row>
    <row r="156" spans="2:8" x14ac:dyDescent="0.25">
      <c r="B156">
        <v>154</v>
      </c>
      <c r="C156" t="s">
        <v>330</v>
      </c>
      <c r="D156" t="s">
        <v>331</v>
      </c>
      <c r="E156" t="s">
        <v>35</v>
      </c>
      <c r="F156" s="121" t="s">
        <v>36</v>
      </c>
      <c r="G156" s="123"/>
      <c r="H156" s="103" t="s">
        <v>332</v>
      </c>
    </row>
    <row r="157" spans="2:8" x14ac:dyDescent="0.25">
      <c r="B157">
        <v>155</v>
      </c>
      <c r="C157" t="s">
        <v>333</v>
      </c>
      <c r="D157" t="s">
        <v>334</v>
      </c>
      <c r="E157" t="s">
        <v>21</v>
      </c>
      <c r="F157" s="121" t="s">
        <v>335</v>
      </c>
      <c r="G157" s="123" t="s">
        <v>37</v>
      </c>
      <c r="H157" s="103" t="s">
        <v>336</v>
      </c>
    </row>
    <row r="158" spans="2:8" x14ac:dyDescent="0.25">
      <c r="B158">
        <v>156</v>
      </c>
      <c r="C158" t="s">
        <v>337</v>
      </c>
      <c r="D158" t="s">
        <v>338</v>
      </c>
      <c r="E158" t="s">
        <v>9</v>
      </c>
      <c r="F158" s="121">
        <v>4818</v>
      </c>
      <c r="G158" s="123">
        <v>13</v>
      </c>
      <c r="H158" s="103" t="s">
        <v>339</v>
      </c>
    </row>
    <row r="159" spans="2:8" x14ac:dyDescent="0.25">
      <c r="B159">
        <v>157</v>
      </c>
      <c r="C159" t="s">
        <v>340</v>
      </c>
      <c r="D159" t="s">
        <v>341</v>
      </c>
      <c r="E159" t="s">
        <v>21</v>
      </c>
      <c r="F159" s="121" t="s">
        <v>44</v>
      </c>
      <c r="G159" s="123" t="s">
        <v>37</v>
      </c>
      <c r="H159" s="103" t="s">
        <v>342</v>
      </c>
    </row>
    <row r="160" spans="2:8" x14ac:dyDescent="0.25">
      <c r="B160">
        <v>158</v>
      </c>
      <c r="C160" t="s">
        <v>343</v>
      </c>
      <c r="D160">
        <v>0</v>
      </c>
      <c r="E160" t="s">
        <v>9</v>
      </c>
      <c r="F160" s="121">
        <v>4825</v>
      </c>
      <c r="G160" s="123">
        <v>13</v>
      </c>
      <c r="H160" s="103" t="s">
        <v>344</v>
      </c>
    </row>
    <row r="161" spans="2:8" x14ac:dyDescent="0.25">
      <c r="B161">
        <v>159</v>
      </c>
      <c r="C161" t="s">
        <v>345</v>
      </c>
      <c r="D161" t="s">
        <v>346</v>
      </c>
      <c r="E161" t="s">
        <v>9</v>
      </c>
      <c r="F161" s="121">
        <v>4601</v>
      </c>
      <c r="G161" s="123"/>
      <c r="H161" s="103" t="s">
        <v>347</v>
      </c>
    </row>
    <row r="162" spans="2:8" x14ac:dyDescent="0.25">
      <c r="B162">
        <v>160</v>
      </c>
      <c r="C162" t="s">
        <v>348</v>
      </c>
      <c r="D162" t="s">
        <v>349</v>
      </c>
      <c r="E162" t="s">
        <v>21</v>
      </c>
      <c r="F162" s="121">
        <v>7526</v>
      </c>
      <c r="G162" s="123"/>
      <c r="H162" s="103" t="s">
        <v>350</v>
      </c>
    </row>
    <row r="163" spans="2:8" x14ac:dyDescent="0.25">
      <c r="B163">
        <v>161</v>
      </c>
      <c r="C163" t="s">
        <v>351</v>
      </c>
      <c r="D163" t="s">
        <v>352</v>
      </c>
      <c r="E163" t="s">
        <v>35</v>
      </c>
      <c r="F163" s="121" t="s">
        <v>36</v>
      </c>
      <c r="G163" s="123" t="s">
        <v>37</v>
      </c>
      <c r="H163" s="103" t="s">
        <v>353</v>
      </c>
    </row>
    <row r="164" spans="2:8" x14ac:dyDescent="0.25">
      <c r="B164">
        <v>162</v>
      </c>
      <c r="C164" t="s">
        <v>354</v>
      </c>
      <c r="D164" t="s">
        <v>355</v>
      </c>
      <c r="E164" t="s">
        <v>21</v>
      </c>
      <c r="F164" s="121">
        <v>3737</v>
      </c>
      <c r="G164" s="123"/>
      <c r="H164" s="103" t="s">
        <v>356</v>
      </c>
    </row>
    <row r="165" spans="2:8" x14ac:dyDescent="0.25">
      <c r="B165">
        <v>163</v>
      </c>
      <c r="C165" t="s">
        <v>357</v>
      </c>
      <c r="D165" t="s">
        <v>358</v>
      </c>
      <c r="E165" t="s">
        <v>35</v>
      </c>
      <c r="F165" s="121" t="s">
        <v>359</v>
      </c>
      <c r="G165" s="123"/>
      <c r="H165" s="103" t="s">
        <v>360</v>
      </c>
    </row>
    <row r="166" spans="2:8" x14ac:dyDescent="0.25">
      <c r="B166">
        <v>164</v>
      </c>
      <c r="C166" t="s">
        <v>361</v>
      </c>
      <c r="D166" t="s">
        <v>362</v>
      </c>
      <c r="E166" t="s">
        <v>21</v>
      </c>
      <c r="F166" s="121" t="s">
        <v>363</v>
      </c>
      <c r="G166" s="123" t="s">
        <v>37</v>
      </c>
      <c r="H166" s="103" t="s">
        <v>364</v>
      </c>
    </row>
    <row r="167" spans="2:8" x14ac:dyDescent="0.25">
      <c r="B167">
        <v>165</v>
      </c>
      <c r="C167" t="s">
        <v>365</v>
      </c>
      <c r="D167" t="s">
        <v>366</v>
      </c>
      <c r="E167" t="s">
        <v>9</v>
      </c>
      <c r="F167" s="121">
        <v>783</v>
      </c>
      <c r="G167" s="123">
        <v>13</v>
      </c>
      <c r="H167" s="103" t="s">
        <v>367</v>
      </c>
    </row>
    <row r="168" spans="2:8" x14ac:dyDescent="0.25">
      <c r="B168">
        <v>166</v>
      </c>
      <c r="C168" t="s">
        <v>368</v>
      </c>
      <c r="D168" t="s">
        <v>369</v>
      </c>
      <c r="E168" t="s">
        <v>9</v>
      </c>
      <c r="F168" s="121">
        <v>3880</v>
      </c>
      <c r="G168" s="123"/>
      <c r="H168" s="103" t="s">
        <v>370</v>
      </c>
    </row>
    <row r="169" spans="2:8" x14ac:dyDescent="0.25">
      <c r="B169">
        <v>167</v>
      </c>
      <c r="C169" t="s">
        <v>371</v>
      </c>
      <c r="D169" t="s">
        <v>372</v>
      </c>
      <c r="E169" t="s">
        <v>9</v>
      </c>
      <c r="F169" s="121">
        <v>4818</v>
      </c>
      <c r="G169" s="123"/>
      <c r="H169" s="103" t="s">
        <v>373</v>
      </c>
    </row>
    <row r="170" spans="2:8" x14ac:dyDescent="0.25">
      <c r="B170">
        <v>168</v>
      </c>
      <c r="C170" t="s">
        <v>374</v>
      </c>
      <c r="D170" t="s">
        <v>375</v>
      </c>
      <c r="E170" t="s">
        <v>9</v>
      </c>
      <c r="F170" s="121">
        <v>4818</v>
      </c>
      <c r="G170" s="123"/>
      <c r="H170" s="103" t="s">
        <v>376</v>
      </c>
    </row>
    <row r="171" spans="2:8" x14ac:dyDescent="0.25">
      <c r="B171">
        <v>169</v>
      </c>
      <c r="C171" t="s">
        <v>377</v>
      </c>
      <c r="D171" t="s">
        <v>378</v>
      </c>
      <c r="E171" t="s">
        <v>35</v>
      </c>
      <c r="F171" s="121" t="s">
        <v>379</v>
      </c>
      <c r="G171" s="123" t="s">
        <v>37</v>
      </c>
      <c r="H171" s="103" t="s">
        <v>380</v>
      </c>
    </row>
    <row r="172" spans="2:8" x14ac:dyDescent="0.25">
      <c r="B172">
        <v>170</v>
      </c>
      <c r="C172" t="s">
        <v>381</v>
      </c>
      <c r="D172" t="s">
        <v>382</v>
      </c>
      <c r="E172" t="s">
        <v>9</v>
      </c>
      <c r="F172" s="121">
        <v>4601</v>
      </c>
      <c r="G172" s="123">
        <v>13</v>
      </c>
      <c r="H172" s="103" t="s">
        <v>383</v>
      </c>
    </row>
    <row r="173" spans="2:8" x14ac:dyDescent="0.25">
      <c r="B173">
        <v>171</v>
      </c>
      <c r="C173" t="s">
        <v>384</v>
      </c>
      <c r="D173">
        <v>0</v>
      </c>
      <c r="E173" t="s">
        <v>9</v>
      </c>
      <c r="F173" s="121">
        <v>4825</v>
      </c>
      <c r="G173" s="123"/>
      <c r="H173" s="103" t="s">
        <v>385</v>
      </c>
    </row>
    <row r="174" spans="2:8" x14ac:dyDescent="0.25">
      <c r="B174">
        <v>172</v>
      </c>
      <c r="C174" t="s">
        <v>386</v>
      </c>
      <c r="D174">
        <v>0</v>
      </c>
      <c r="E174" t="s">
        <v>21</v>
      </c>
      <c r="F174" s="121">
        <v>7802</v>
      </c>
      <c r="G174" s="103" t="s">
        <v>37</v>
      </c>
      <c r="H174" s="103" t="s">
        <v>387</v>
      </c>
    </row>
    <row r="175" spans="2:8" x14ac:dyDescent="0.25">
      <c r="B175">
        <v>173</v>
      </c>
      <c r="C175" t="s">
        <v>388</v>
      </c>
      <c r="D175">
        <v>0</v>
      </c>
      <c r="E175" t="s">
        <v>9</v>
      </c>
      <c r="F175" s="121">
        <v>780</v>
      </c>
      <c r="G175" s="103">
        <v>1288</v>
      </c>
      <c r="H175" s="103" t="s">
        <v>389</v>
      </c>
    </row>
    <row r="176" spans="2:8" x14ac:dyDescent="0.25">
      <c r="B176">
        <v>174</v>
      </c>
      <c r="C176" t="s">
        <v>390</v>
      </c>
      <c r="D176" t="s">
        <v>5082</v>
      </c>
      <c r="E176" t="s">
        <v>9</v>
      </c>
      <c r="F176" s="121">
        <v>4825</v>
      </c>
      <c r="G176" s="103">
        <v>1288</v>
      </c>
      <c r="H176" s="103" t="s">
        <v>391</v>
      </c>
    </row>
    <row r="177" spans="2:8" x14ac:dyDescent="0.25">
      <c r="B177">
        <v>175</v>
      </c>
      <c r="C177" t="s">
        <v>392</v>
      </c>
      <c r="D177">
        <v>0</v>
      </c>
    </row>
    <row r="178" spans="2:8" x14ac:dyDescent="0.25">
      <c r="B178">
        <v>176</v>
      </c>
      <c r="C178" t="s">
        <v>393</v>
      </c>
      <c r="D178" t="s">
        <v>394</v>
      </c>
      <c r="E178" t="s">
        <v>9</v>
      </c>
      <c r="F178" s="121">
        <v>949</v>
      </c>
      <c r="G178" s="103">
        <v>1288</v>
      </c>
      <c r="H178" s="103" t="s">
        <v>395</v>
      </c>
    </row>
    <row r="179" spans="2:8" x14ac:dyDescent="0.25">
      <c r="B179">
        <v>177</v>
      </c>
      <c r="C179" t="s">
        <v>396</v>
      </c>
      <c r="D179">
        <v>0</v>
      </c>
      <c r="E179" t="s">
        <v>9</v>
      </c>
      <c r="F179" s="121">
        <v>4601</v>
      </c>
      <c r="G179" s="123">
        <v>13</v>
      </c>
      <c r="H179" s="103" t="s">
        <v>397</v>
      </c>
    </row>
    <row r="180" spans="2:8" x14ac:dyDescent="0.25">
      <c r="B180">
        <v>178</v>
      </c>
      <c r="C180" t="s">
        <v>398</v>
      </c>
      <c r="D180" t="s">
        <v>399</v>
      </c>
      <c r="E180" t="s">
        <v>9</v>
      </c>
      <c r="F180" s="121">
        <v>4825</v>
      </c>
      <c r="G180" s="123">
        <v>13</v>
      </c>
      <c r="H180" s="103" t="s">
        <v>400</v>
      </c>
    </row>
    <row r="181" spans="2:8" x14ac:dyDescent="0.25">
      <c r="B181">
        <v>179</v>
      </c>
      <c r="C181" t="s">
        <v>401</v>
      </c>
      <c r="D181">
        <v>0</v>
      </c>
      <c r="E181" t="s">
        <v>9</v>
      </c>
      <c r="F181" s="121">
        <v>4825</v>
      </c>
      <c r="G181" s="123">
        <v>13</v>
      </c>
      <c r="H181" s="103" t="s">
        <v>402</v>
      </c>
    </row>
    <row r="182" spans="2:8" x14ac:dyDescent="0.25">
      <c r="B182">
        <v>180</v>
      </c>
      <c r="C182" t="s">
        <v>403</v>
      </c>
      <c r="D182" t="s">
        <v>404</v>
      </c>
      <c r="E182" t="s">
        <v>21</v>
      </c>
      <c r="F182" s="121">
        <v>3929</v>
      </c>
      <c r="G182" s="103" t="s">
        <v>37</v>
      </c>
      <c r="H182" s="103" t="s">
        <v>405</v>
      </c>
    </row>
    <row r="183" spans="2:8" x14ac:dyDescent="0.25">
      <c r="B183">
        <v>181</v>
      </c>
      <c r="C183" t="s">
        <v>406</v>
      </c>
      <c r="D183">
        <v>0</v>
      </c>
      <c r="E183" t="s">
        <v>9</v>
      </c>
      <c r="F183" s="121">
        <v>4825</v>
      </c>
      <c r="G183" s="103">
        <v>1288</v>
      </c>
      <c r="H183" s="103" t="s">
        <v>407</v>
      </c>
    </row>
    <row r="184" spans="2:8" x14ac:dyDescent="0.25">
      <c r="B184">
        <v>182</v>
      </c>
      <c r="C184" t="s">
        <v>408</v>
      </c>
      <c r="D184">
        <v>0</v>
      </c>
      <c r="E184" t="s">
        <v>9</v>
      </c>
      <c r="F184" s="121">
        <v>4825</v>
      </c>
      <c r="G184" s="123">
        <v>13</v>
      </c>
      <c r="H184" s="103" t="s">
        <v>409</v>
      </c>
    </row>
    <row r="185" spans="2:8" x14ac:dyDescent="0.25">
      <c r="B185">
        <v>183</v>
      </c>
      <c r="C185" t="s">
        <v>410</v>
      </c>
      <c r="D185">
        <v>0</v>
      </c>
      <c r="E185" t="s">
        <v>9</v>
      </c>
      <c r="F185" s="121">
        <v>4825</v>
      </c>
      <c r="G185" s="103">
        <v>1288</v>
      </c>
      <c r="H185" s="103" t="s">
        <v>411</v>
      </c>
    </row>
    <row r="186" spans="2:8" x14ac:dyDescent="0.25">
      <c r="B186">
        <v>184</v>
      </c>
      <c r="C186" t="s">
        <v>412</v>
      </c>
      <c r="D186" t="s">
        <v>413</v>
      </c>
      <c r="E186" t="s">
        <v>9</v>
      </c>
      <c r="F186" s="121">
        <v>4825</v>
      </c>
      <c r="G186" s="123"/>
      <c r="H186" s="103" t="s">
        <v>414</v>
      </c>
    </row>
    <row r="187" spans="2:8" x14ac:dyDescent="0.25">
      <c r="B187">
        <v>185</v>
      </c>
      <c r="C187" t="s">
        <v>415</v>
      </c>
      <c r="D187">
        <v>0</v>
      </c>
      <c r="E187" t="s">
        <v>9</v>
      </c>
      <c r="F187" s="121">
        <v>4818</v>
      </c>
      <c r="G187" s="123">
        <v>13</v>
      </c>
      <c r="H187" s="103" t="s">
        <v>416</v>
      </c>
    </row>
    <row r="188" spans="2:8" x14ac:dyDescent="0.25">
      <c r="B188">
        <v>186</v>
      </c>
      <c r="C188" t="s">
        <v>417</v>
      </c>
      <c r="D188">
        <v>0</v>
      </c>
      <c r="E188" t="s">
        <v>21</v>
      </c>
      <c r="F188" s="121" t="s">
        <v>44</v>
      </c>
      <c r="G188" s="103" t="s">
        <v>37</v>
      </c>
      <c r="H188" s="103" t="s">
        <v>418</v>
      </c>
    </row>
    <row r="189" spans="2:8" x14ac:dyDescent="0.25">
      <c r="B189">
        <v>187</v>
      </c>
      <c r="C189" t="s">
        <v>419</v>
      </c>
      <c r="D189">
        <v>0</v>
      </c>
      <c r="E189" t="s">
        <v>9</v>
      </c>
      <c r="F189" s="121">
        <v>4825</v>
      </c>
      <c r="G189" s="103">
        <v>1288</v>
      </c>
      <c r="H189" s="103" t="s">
        <v>420</v>
      </c>
    </row>
    <row r="190" spans="2:8" x14ac:dyDescent="0.25">
      <c r="B190">
        <v>188</v>
      </c>
      <c r="C190" t="s">
        <v>421</v>
      </c>
      <c r="D190">
        <v>0</v>
      </c>
      <c r="E190" t="s">
        <v>9</v>
      </c>
      <c r="F190" s="121">
        <v>4825</v>
      </c>
      <c r="G190" s="123">
        <v>13</v>
      </c>
      <c r="H190" s="103" t="s">
        <v>422</v>
      </c>
    </row>
    <row r="191" spans="2:8" x14ac:dyDescent="0.25">
      <c r="B191">
        <v>189</v>
      </c>
      <c r="C191" t="s">
        <v>423</v>
      </c>
      <c r="D191">
        <v>0</v>
      </c>
      <c r="E191" t="s">
        <v>21</v>
      </c>
      <c r="F191" s="121" t="s">
        <v>44</v>
      </c>
      <c r="G191" s="103" t="s">
        <v>37</v>
      </c>
      <c r="H191" s="103" t="s">
        <v>424</v>
      </c>
    </row>
    <row r="192" spans="2:8" x14ac:dyDescent="0.25">
      <c r="B192">
        <v>190</v>
      </c>
      <c r="C192" t="s">
        <v>425</v>
      </c>
      <c r="D192" t="s">
        <v>426</v>
      </c>
      <c r="E192" t="s">
        <v>9</v>
      </c>
      <c r="F192" s="121">
        <v>4818</v>
      </c>
      <c r="G192" s="103">
        <v>1288</v>
      </c>
      <c r="H192" s="103" t="s">
        <v>427</v>
      </c>
    </row>
    <row r="193" spans="2:8" x14ac:dyDescent="0.25">
      <c r="B193">
        <v>191</v>
      </c>
      <c r="C193" t="s">
        <v>428</v>
      </c>
      <c r="D193">
        <v>0</v>
      </c>
      <c r="E193" t="s">
        <v>35</v>
      </c>
      <c r="F193" s="121" t="s">
        <v>36</v>
      </c>
      <c r="G193" s="103" t="s">
        <v>87</v>
      </c>
      <c r="H193" s="103" t="s">
        <v>429</v>
      </c>
    </row>
    <row r="194" spans="2:8" x14ac:dyDescent="0.25">
      <c r="B194">
        <v>192</v>
      </c>
      <c r="C194" t="s">
        <v>430</v>
      </c>
      <c r="D194">
        <v>0</v>
      </c>
      <c r="E194" t="s">
        <v>21</v>
      </c>
      <c r="F194" s="121" t="s">
        <v>431</v>
      </c>
      <c r="G194" s="103" t="s">
        <v>37</v>
      </c>
      <c r="H194" s="103" t="s">
        <v>432</v>
      </c>
    </row>
    <row r="195" spans="2:8" x14ac:dyDescent="0.25">
      <c r="B195">
        <v>193</v>
      </c>
      <c r="C195" t="s">
        <v>433</v>
      </c>
      <c r="D195">
        <v>0</v>
      </c>
      <c r="E195" t="s">
        <v>9</v>
      </c>
      <c r="F195" s="121">
        <v>1020</v>
      </c>
      <c r="G195" s="123">
        <v>13</v>
      </c>
      <c r="H195" s="103" t="s">
        <v>434</v>
      </c>
    </row>
    <row r="196" spans="2:8" x14ac:dyDescent="0.25">
      <c r="B196">
        <v>194</v>
      </c>
      <c r="C196" t="s">
        <v>435</v>
      </c>
      <c r="D196">
        <v>0</v>
      </c>
      <c r="E196" t="s">
        <v>35</v>
      </c>
      <c r="F196" s="121" t="s">
        <v>36</v>
      </c>
      <c r="G196" s="103" t="s">
        <v>87</v>
      </c>
      <c r="H196" s="103" t="s">
        <v>436</v>
      </c>
    </row>
    <row r="197" spans="2:8" x14ac:dyDescent="0.25">
      <c r="B197">
        <v>195</v>
      </c>
      <c r="C197" t="s">
        <v>437</v>
      </c>
      <c r="D197">
        <v>0</v>
      </c>
      <c r="E197" t="s">
        <v>9</v>
      </c>
      <c r="F197" s="121">
        <v>4825</v>
      </c>
      <c r="G197" s="103">
        <v>1288</v>
      </c>
      <c r="H197" s="103" t="s">
        <v>438</v>
      </c>
    </row>
    <row r="198" spans="2:8" x14ac:dyDescent="0.25">
      <c r="B198">
        <v>196</v>
      </c>
      <c r="C198" t="s">
        <v>439</v>
      </c>
      <c r="D198">
        <v>0</v>
      </c>
      <c r="E198" t="s">
        <v>9</v>
      </c>
      <c r="F198" s="121">
        <v>4825</v>
      </c>
      <c r="G198" s="123">
        <v>13</v>
      </c>
      <c r="H198" s="103" t="s">
        <v>440</v>
      </c>
    </row>
    <row r="199" spans="2:8" x14ac:dyDescent="0.25">
      <c r="B199">
        <v>197</v>
      </c>
      <c r="C199" t="s">
        <v>441</v>
      </c>
      <c r="D199">
        <v>0</v>
      </c>
      <c r="E199" t="s">
        <v>9</v>
      </c>
      <c r="F199" s="121">
        <v>4818</v>
      </c>
      <c r="G199" s="123">
        <v>13</v>
      </c>
      <c r="H199" s="103" t="s">
        <v>442</v>
      </c>
    </row>
    <row r="200" spans="2:8" x14ac:dyDescent="0.25">
      <c r="B200">
        <v>198</v>
      </c>
      <c r="C200" t="s">
        <v>443</v>
      </c>
      <c r="D200" t="s">
        <v>444</v>
      </c>
      <c r="E200" t="s">
        <v>9</v>
      </c>
      <c r="F200" s="121">
        <v>4818</v>
      </c>
      <c r="G200" s="103">
        <v>1288</v>
      </c>
      <c r="H200" s="103" t="s">
        <v>445</v>
      </c>
    </row>
    <row r="201" spans="2:8" x14ac:dyDescent="0.25">
      <c r="B201">
        <v>199</v>
      </c>
      <c r="C201" t="s">
        <v>446</v>
      </c>
      <c r="D201">
        <v>0</v>
      </c>
      <c r="E201" t="s">
        <v>9</v>
      </c>
      <c r="F201" s="121">
        <v>1061</v>
      </c>
      <c r="G201" s="103">
        <v>1288</v>
      </c>
      <c r="H201" s="103" t="s">
        <v>447</v>
      </c>
    </row>
    <row r="202" spans="2:8" x14ac:dyDescent="0.25">
      <c r="B202">
        <v>200</v>
      </c>
      <c r="C202" t="s">
        <v>448</v>
      </c>
      <c r="D202">
        <v>0</v>
      </c>
      <c r="E202" t="s">
        <v>9</v>
      </c>
      <c r="F202" s="121">
        <v>4825</v>
      </c>
      <c r="G202" s="123">
        <v>13</v>
      </c>
      <c r="H202" s="103" t="s">
        <v>449</v>
      </c>
    </row>
    <row r="203" spans="2:8" x14ac:dyDescent="0.25">
      <c r="B203">
        <v>201</v>
      </c>
      <c r="C203" t="s">
        <v>337</v>
      </c>
      <c r="D203">
        <v>0</v>
      </c>
      <c r="E203" t="s">
        <v>9</v>
      </c>
      <c r="F203" s="121">
        <v>4818</v>
      </c>
      <c r="G203" s="123">
        <v>13</v>
      </c>
      <c r="H203" s="103" t="s">
        <v>339</v>
      </c>
    </row>
    <row r="204" spans="2:8" x14ac:dyDescent="0.25">
      <c r="B204">
        <v>202</v>
      </c>
      <c r="C204" t="s">
        <v>450</v>
      </c>
      <c r="D204" t="s">
        <v>451</v>
      </c>
      <c r="E204" t="s">
        <v>35</v>
      </c>
      <c r="F204" s="121" t="s">
        <v>452</v>
      </c>
      <c r="G204" s="103" t="s">
        <v>37</v>
      </c>
      <c r="H204" s="103" t="s">
        <v>453</v>
      </c>
    </row>
    <row r="205" spans="2:8" x14ac:dyDescent="0.25">
      <c r="B205">
        <v>203</v>
      </c>
      <c r="C205" t="s">
        <v>454</v>
      </c>
      <c r="D205" t="s">
        <v>5212</v>
      </c>
      <c r="E205" t="s">
        <v>9</v>
      </c>
      <c r="F205" s="121">
        <v>4825</v>
      </c>
      <c r="H205" s="103" t="s">
        <v>455</v>
      </c>
    </row>
    <row r="206" spans="2:8" x14ac:dyDescent="0.25">
      <c r="B206">
        <v>204</v>
      </c>
      <c r="C206" t="s">
        <v>456</v>
      </c>
      <c r="D206" t="s">
        <v>457</v>
      </c>
      <c r="E206" t="s">
        <v>9</v>
      </c>
      <c r="F206" s="121">
        <v>4825</v>
      </c>
      <c r="H206" s="103" t="s">
        <v>458</v>
      </c>
    </row>
    <row r="207" spans="2:8" x14ac:dyDescent="0.25">
      <c r="B207">
        <v>205</v>
      </c>
      <c r="C207" t="s">
        <v>459</v>
      </c>
      <c r="D207" t="s">
        <v>460</v>
      </c>
      <c r="E207" t="s">
        <v>21</v>
      </c>
      <c r="F207" s="121">
        <v>3905</v>
      </c>
      <c r="H207" s="103" t="s">
        <v>461</v>
      </c>
    </row>
    <row r="208" spans="2:8" x14ac:dyDescent="0.25">
      <c r="B208">
        <v>206</v>
      </c>
      <c r="C208" t="s">
        <v>462</v>
      </c>
      <c r="D208" t="s">
        <v>463</v>
      </c>
      <c r="E208" t="s">
        <v>21</v>
      </c>
      <c r="F208" s="121" t="s">
        <v>44</v>
      </c>
      <c r="G208" s="103" t="s">
        <v>37</v>
      </c>
      <c r="H208" s="103" t="s">
        <v>464</v>
      </c>
    </row>
    <row r="209" spans="2:8" x14ac:dyDescent="0.25">
      <c r="B209">
        <v>207</v>
      </c>
      <c r="C209" t="s">
        <v>465</v>
      </c>
      <c r="D209" t="s">
        <v>466</v>
      </c>
      <c r="E209" t="s">
        <v>9</v>
      </c>
      <c r="F209" s="121">
        <v>4825</v>
      </c>
      <c r="H209" s="103" t="s">
        <v>467</v>
      </c>
    </row>
    <row r="210" spans="2:8" x14ac:dyDescent="0.25">
      <c r="B210">
        <v>208</v>
      </c>
      <c r="C210" t="s">
        <v>468</v>
      </c>
      <c r="D210">
        <v>0</v>
      </c>
      <c r="E210" t="s">
        <v>9</v>
      </c>
      <c r="F210" s="121">
        <v>4825</v>
      </c>
      <c r="G210" s="123">
        <v>13</v>
      </c>
      <c r="H210" s="103" t="s">
        <v>469</v>
      </c>
    </row>
    <row r="211" spans="2:8" x14ac:dyDescent="0.25">
      <c r="B211">
        <v>209</v>
      </c>
      <c r="C211" t="s">
        <v>470</v>
      </c>
      <c r="D211" t="s">
        <v>471</v>
      </c>
      <c r="E211" t="s">
        <v>35</v>
      </c>
      <c r="F211" s="121" t="s">
        <v>36</v>
      </c>
      <c r="G211" s="103" t="s">
        <v>37</v>
      </c>
      <c r="H211" s="103" t="s">
        <v>472</v>
      </c>
    </row>
    <row r="212" spans="2:8" x14ac:dyDescent="0.25">
      <c r="B212">
        <v>210</v>
      </c>
      <c r="C212" t="s">
        <v>473</v>
      </c>
      <c r="D212" t="s">
        <v>474</v>
      </c>
      <c r="E212" t="s">
        <v>21</v>
      </c>
      <c r="F212" s="121" t="s">
        <v>293</v>
      </c>
      <c r="G212" s="123"/>
      <c r="H212" s="103" t="s">
        <v>475</v>
      </c>
    </row>
    <row r="213" spans="2:8" x14ac:dyDescent="0.25">
      <c r="B213">
        <v>211</v>
      </c>
      <c r="C213" t="s">
        <v>476</v>
      </c>
      <c r="D213" t="s">
        <v>477</v>
      </c>
      <c r="E213" t="s">
        <v>21</v>
      </c>
      <c r="F213" s="121" t="s">
        <v>44</v>
      </c>
      <c r="G213" s="123"/>
      <c r="H213" s="103" t="s">
        <v>478</v>
      </c>
    </row>
    <row r="214" spans="2:8" x14ac:dyDescent="0.25">
      <c r="B214">
        <v>212</v>
      </c>
      <c r="C214" t="s">
        <v>479</v>
      </c>
      <c r="D214" t="s">
        <v>480</v>
      </c>
      <c r="E214" t="s">
        <v>9</v>
      </c>
      <c r="F214" s="121">
        <v>3880</v>
      </c>
      <c r="G214" s="123">
        <v>1288</v>
      </c>
      <c r="H214" s="103" t="s">
        <v>481</v>
      </c>
    </row>
    <row r="215" spans="2:8" x14ac:dyDescent="0.25">
      <c r="B215">
        <v>213</v>
      </c>
      <c r="C215" t="s">
        <v>482</v>
      </c>
      <c r="D215" t="s">
        <v>483</v>
      </c>
      <c r="E215" t="s">
        <v>21</v>
      </c>
      <c r="F215" s="121">
        <v>7615</v>
      </c>
      <c r="G215" s="123"/>
      <c r="H215" s="103" t="s">
        <v>484</v>
      </c>
    </row>
    <row r="216" spans="2:8" x14ac:dyDescent="0.25">
      <c r="B216">
        <v>214</v>
      </c>
      <c r="C216" t="s">
        <v>485</v>
      </c>
      <c r="D216" t="s">
        <v>486</v>
      </c>
      <c r="E216" t="s">
        <v>9</v>
      </c>
      <c r="F216" s="121">
        <v>949</v>
      </c>
      <c r="G216" s="123">
        <v>13</v>
      </c>
      <c r="H216" s="103" t="s">
        <v>487</v>
      </c>
    </row>
    <row r="217" spans="2:8" x14ac:dyDescent="0.25">
      <c r="B217">
        <v>215</v>
      </c>
      <c r="C217" t="s">
        <v>488</v>
      </c>
      <c r="D217" t="s">
        <v>489</v>
      </c>
      <c r="E217" t="s">
        <v>9</v>
      </c>
      <c r="F217" s="121">
        <v>4818</v>
      </c>
      <c r="G217" s="123">
        <v>13</v>
      </c>
      <c r="H217" s="103" t="s">
        <v>490</v>
      </c>
    </row>
    <row r="218" spans="2:8" x14ac:dyDescent="0.25">
      <c r="B218">
        <v>216</v>
      </c>
      <c r="C218" t="s">
        <v>491</v>
      </c>
      <c r="D218" t="s">
        <v>492</v>
      </c>
      <c r="E218" t="s">
        <v>21</v>
      </c>
      <c r="F218" s="121" t="s">
        <v>264</v>
      </c>
      <c r="G218" s="123" t="s">
        <v>22</v>
      </c>
      <c r="H218" s="103" t="s">
        <v>493</v>
      </c>
    </row>
    <row r="219" spans="2:8" x14ac:dyDescent="0.25">
      <c r="B219">
        <v>217</v>
      </c>
      <c r="C219" t="s">
        <v>494</v>
      </c>
      <c r="D219" t="s">
        <v>495</v>
      </c>
      <c r="E219" t="s">
        <v>9</v>
      </c>
      <c r="F219" s="121">
        <v>949</v>
      </c>
      <c r="G219" s="123"/>
      <c r="H219" s="103" t="s">
        <v>496</v>
      </c>
    </row>
    <row r="220" spans="2:8" x14ac:dyDescent="0.25">
      <c r="B220">
        <v>218</v>
      </c>
      <c r="C220" t="s">
        <v>497</v>
      </c>
      <c r="D220" t="s">
        <v>498</v>
      </c>
      <c r="E220" t="s">
        <v>9</v>
      </c>
      <c r="F220" s="121">
        <v>4818</v>
      </c>
      <c r="G220" s="123"/>
      <c r="H220" s="103" t="s">
        <v>499</v>
      </c>
    </row>
    <row r="221" spans="2:8" x14ac:dyDescent="0.25">
      <c r="B221">
        <v>219</v>
      </c>
      <c r="C221" t="s">
        <v>500</v>
      </c>
      <c r="D221" t="s">
        <v>501</v>
      </c>
      <c r="E221" t="s">
        <v>9</v>
      </c>
      <c r="F221" s="121">
        <v>780</v>
      </c>
      <c r="G221" s="123"/>
      <c r="H221" s="103" t="s">
        <v>502</v>
      </c>
    </row>
    <row r="222" spans="2:8" x14ac:dyDescent="0.25">
      <c r="B222">
        <v>220</v>
      </c>
      <c r="C222" t="s">
        <v>503</v>
      </c>
      <c r="D222" t="s">
        <v>504</v>
      </c>
      <c r="E222" t="s">
        <v>35</v>
      </c>
      <c r="F222" s="121" t="s">
        <v>36</v>
      </c>
      <c r="G222" s="123" t="s">
        <v>37</v>
      </c>
      <c r="H222" s="103" t="s">
        <v>505</v>
      </c>
    </row>
    <row r="223" spans="2:8" x14ac:dyDescent="0.25">
      <c r="B223">
        <v>221</v>
      </c>
      <c r="C223" t="s">
        <v>506</v>
      </c>
      <c r="D223" t="s">
        <v>507</v>
      </c>
      <c r="E223" t="s">
        <v>9</v>
      </c>
      <c r="F223" s="121">
        <v>3880</v>
      </c>
      <c r="G223" s="123">
        <v>1288</v>
      </c>
      <c r="H223" s="103" t="s">
        <v>4964</v>
      </c>
    </row>
    <row r="224" spans="2:8" x14ac:dyDescent="0.25">
      <c r="B224">
        <v>222</v>
      </c>
      <c r="C224" t="s">
        <v>508</v>
      </c>
      <c r="D224" t="s">
        <v>509</v>
      </c>
      <c r="E224" t="s">
        <v>9</v>
      </c>
      <c r="F224" s="121">
        <v>4818</v>
      </c>
      <c r="G224" s="123"/>
      <c r="H224" s="103" t="s">
        <v>510</v>
      </c>
    </row>
    <row r="225" spans="2:8" x14ac:dyDescent="0.25">
      <c r="B225">
        <v>223</v>
      </c>
      <c r="C225" t="s">
        <v>511</v>
      </c>
      <c r="D225" t="s">
        <v>512</v>
      </c>
      <c r="E225" t="s">
        <v>21</v>
      </c>
      <c r="F225" s="121" t="s">
        <v>431</v>
      </c>
      <c r="G225" s="123" t="s">
        <v>37</v>
      </c>
      <c r="H225" s="103" t="s">
        <v>513</v>
      </c>
    </row>
    <row r="226" spans="2:8" x14ac:dyDescent="0.25">
      <c r="B226">
        <v>224</v>
      </c>
      <c r="C226" t="s">
        <v>514</v>
      </c>
      <c r="D226" t="s">
        <v>515</v>
      </c>
      <c r="E226" t="s">
        <v>21</v>
      </c>
      <c r="F226" s="121">
        <v>3899</v>
      </c>
      <c r="G226" s="123"/>
      <c r="H226" s="103" t="s">
        <v>516</v>
      </c>
    </row>
    <row r="227" spans="2:8" x14ac:dyDescent="0.25">
      <c r="B227">
        <v>225</v>
      </c>
      <c r="C227" t="s">
        <v>517</v>
      </c>
      <c r="D227" t="s">
        <v>518</v>
      </c>
      <c r="E227" t="s">
        <v>9</v>
      </c>
      <c r="F227" s="121">
        <v>4825</v>
      </c>
      <c r="G227" s="123">
        <v>13</v>
      </c>
      <c r="H227" s="103" t="s">
        <v>519</v>
      </c>
    </row>
    <row r="228" spans="2:8" x14ac:dyDescent="0.25">
      <c r="B228">
        <v>226</v>
      </c>
      <c r="C228" t="s">
        <v>520</v>
      </c>
      <c r="D228" t="s">
        <v>521</v>
      </c>
      <c r="E228" t="s">
        <v>9</v>
      </c>
      <c r="F228" s="121">
        <v>68</v>
      </c>
      <c r="G228" s="123">
        <v>13</v>
      </c>
      <c r="H228" s="103" t="s">
        <v>522</v>
      </c>
    </row>
    <row r="229" spans="2:8" x14ac:dyDescent="0.25">
      <c r="B229">
        <v>227</v>
      </c>
      <c r="C229" t="s">
        <v>523</v>
      </c>
      <c r="D229" t="s">
        <v>524</v>
      </c>
      <c r="E229" t="s">
        <v>35</v>
      </c>
      <c r="F229" s="121" t="s">
        <v>525</v>
      </c>
      <c r="G229" s="123" t="s">
        <v>22</v>
      </c>
      <c r="H229" s="103" t="s">
        <v>526</v>
      </c>
    </row>
    <row r="230" spans="2:8" x14ac:dyDescent="0.25">
      <c r="B230">
        <v>228</v>
      </c>
      <c r="C230" t="s">
        <v>527</v>
      </c>
      <c r="D230" t="s">
        <v>528</v>
      </c>
      <c r="E230" t="s">
        <v>35</v>
      </c>
      <c r="F230" s="121" t="s">
        <v>36</v>
      </c>
      <c r="G230" s="123" t="s">
        <v>22</v>
      </c>
      <c r="H230" s="103" t="s">
        <v>529</v>
      </c>
    </row>
    <row r="231" spans="2:8" x14ac:dyDescent="0.25">
      <c r="B231">
        <v>229</v>
      </c>
      <c r="C231" t="s">
        <v>530</v>
      </c>
      <c r="D231" t="s">
        <v>531</v>
      </c>
      <c r="E231" t="s">
        <v>35</v>
      </c>
      <c r="F231" s="121" t="s">
        <v>532</v>
      </c>
      <c r="G231" s="123" t="s">
        <v>37</v>
      </c>
      <c r="H231" s="103" t="s">
        <v>533</v>
      </c>
    </row>
    <row r="232" spans="2:8" x14ac:dyDescent="0.25">
      <c r="B232">
        <v>230</v>
      </c>
      <c r="C232" t="s">
        <v>534</v>
      </c>
      <c r="D232" t="s">
        <v>535</v>
      </c>
      <c r="E232" t="s">
        <v>9</v>
      </c>
      <c r="F232" s="121">
        <v>4818</v>
      </c>
      <c r="G232" s="123"/>
      <c r="H232" s="103" t="s">
        <v>536</v>
      </c>
    </row>
    <row r="233" spans="2:8" x14ac:dyDescent="0.25">
      <c r="B233">
        <v>231</v>
      </c>
      <c r="C233" t="s">
        <v>537</v>
      </c>
      <c r="D233">
        <v>0</v>
      </c>
      <c r="E233" t="s">
        <v>9</v>
      </c>
      <c r="F233" s="121">
        <v>949</v>
      </c>
      <c r="G233" s="123">
        <v>23</v>
      </c>
      <c r="H233" s="103" t="s">
        <v>538</v>
      </c>
    </row>
    <row r="234" spans="2:8" x14ac:dyDescent="0.25">
      <c r="B234">
        <v>232</v>
      </c>
      <c r="C234" t="s">
        <v>539</v>
      </c>
      <c r="D234" t="s">
        <v>540</v>
      </c>
      <c r="E234" t="s">
        <v>21</v>
      </c>
      <c r="F234" s="121">
        <v>3905</v>
      </c>
      <c r="G234" s="123"/>
      <c r="H234" s="103" t="s">
        <v>541</v>
      </c>
    </row>
    <row r="235" spans="2:8" x14ac:dyDescent="0.25">
      <c r="B235">
        <v>233</v>
      </c>
      <c r="C235" t="s">
        <v>542</v>
      </c>
      <c r="D235" t="s">
        <v>543</v>
      </c>
      <c r="E235" t="s">
        <v>9</v>
      </c>
      <c r="F235" s="121">
        <v>247</v>
      </c>
      <c r="G235" s="123">
        <v>13</v>
      </c>
      <c r="H235" s="103" t="s">
        <v>544</v>
      </c>
    </row>
    <row r="236" spans="2:8" x14ac:dyDescent="0.25">
      <c r="B236">
        <v>234</v>
      </c>
      <c r="C236" t="s">
        <v>545</v>
      </c>
      <c r="D236" t="s">
        <v>546</v>
      </c>
      <c r="E236" t="s">
        <v>9</v>
      </c>
      <c r="F236" s="121">
        <v>4818</v>
      </c>
      <c r="G236" s="123">
        <v>13</v>
      </c>
      <c r="H236" s="103" t="s">
        <v>547</v>
      </c>
    </row>
    <row r="237" spans="2:8" x14ac:dyDescent="0.25">
      <c r="B237">
        <v>235</v>
      </c>
      <c r="C237" t="s">
        <v>548</v>
      </c>
      <c r="D237">
        <v>0</v>
      </c>
      <c r="E237" t="s">
        <v>9</v>
      </c>
      <c r="F237" s="121">
        <v>949</v>
      </c>
      <c r="G237" s="123">
        <v>23</v>
      </c>
      <c r="H237" s="103" t="s">
        <v>549</v>
      </c>
    </row>
    <row r="238" spans="2:8" x14ac:dyDescent="0.25">
      <c r="B238">
        <v>236</v>
      </c>
      <c r="C238" t="s">
        <v>550</v>
      </c>
      <c r="D238" t="s">
        <v>551</v>
      </c>
      <c r="E238" t="s">
        <v>9</v>
      </c>
      <c r="F238" s="121">
        <v>949</v>
      </c>
      <c r="G238" s="123"/>
      <c r="H238" s="103" t="s">
        <v>552</v>
      </c>
    </row>
    <row r="239" spans="2:8" x14ac:dyDescent="0.25">
      <c r="B239">
        <v>237</v>
      </c>
      <c r="C239" t="s">
        <v>553</v>
      </c>
      <c r="D239" t="s">
        <v>554</v>
      </c>
      <c r="E239" t="s">
        <v>9</v>
      </c>
      <c r="F239" s="121">
        <v>949</v>
      </c>
      <c r="G239" s="123"/>
      <c r="H239" s="103" t="s">
        <v>555</v>
      </c>
    </row>
    <row r="240" spans="2:8" x14ac:dyDescent="0.25">
      <c r="B240">
        <v>238</v>
      </c>
      <c r="C240" t="s">
        <v>556</v>
      </c>
      <c r="D240">
        <v>0</v>
      </c>
      <c r="E240" t="s">
        <v>21</v>
      </c>
      <c r="F240" s="121">
        <v>3899</v>
      </c>
      <c r="G240" s="103" t="s">
        <v>37</v>
      </c>
      <c r="H240" s="103" t="s">
        <v>557</v>
      </c>
    </row>
    <row r="241" spans="2:8" x14ac:dyDescent="0.25">
      <c r="B241">
        <v>239</v>
      </c>
      <c r="C241" t="s">
        <v>558</v>
      </c>
      <c r="D241">
        <v>0</v>
      </c>
      <c r="E241" t="s">
        <v>21</v>
      </c>
      <c r="F241" s="121">
        <v>3858</v>
      </c>
      <c r="G241" s="103" t="s">
        <v>37</v>
      </c>
      <c r="H241" s="103" t="s">
        <v>559</v>
      </c>
    </row>
    <row r="242" spans="2:8" x14ac:dyDescent="0.25">
      <c r="B242">
        <v>240</v>
      </c>
      <c r="C242" t="s">
        <v>560</v>
      </c>
      <c r="D242">
        <v>0</v>
      </c>
      <c r="E242" t="s">
        <v>9</v>
      </c>
      <c r="F242" s="121">
        <v>4825</v>
      </c>
      <c r="G242" s="103">
        <v>1288</v>
      </c>
      <c r="H242" s="103" t="s">
        <v>561</v>
      </c>
    </row>
    <row r="243" spans="2:8" x14ac:dyDescent="0.25">
      <c r="B243">
        <v>241</v>
      </c>
      <c r="C243" t="s">
        <v>562</v>
      </c>
      <c r="D243">
        <v>0</v>
      </c>
      <c r="E243" t="s">
        <v>21</v>
      </c>
      <c r="F243" s="121">
        <v>1195</v>
      </c>
      <c r="G243" s="103" t="s">
        <v>37</v>
      </c>
      <c r="H243" s="103" t="s">
        <v>563</v>
      </c>
    </row>
    <row r="244" spans="2:8" x14ac:dyDescent="0.25">
      <c r="B244">
        <v>242</v>
      </c>
      <c r="C244" t="s">
        <v>564</v>
      </c>
      <c r="D244">
        <v>0</v>
      </c>
      <c r="E244" t="s">
        <v>9</v>
      </c>
      <c r="F244" s="121">
        <v>949</v>
      </c>
      <c r="G244" s="123">
        <v>23</v>
      </c>
      <c r="H244" s="103" t="s">
        <v>565</v>
      </c>
    </row>
    <row r="245" spans="2:8" x14ac:dyDescent="0.25">
      <c r="B245">
        <v>243</v>
      </c>
      <c r="C245" t="s">
        <v>566</v>
      </c>
      <c r="D245">
        <v>0</v>
      </c>
      <c r="E245" t="s">
        <v>21</v>
      </c>
      <c r="F245" s="121">
        <v>3801</v>
      </c>
      <c r="G245" s="103" t="s">
        <v>37</v>
      </c>
      <c r="H245" s="103" t="s">
        <v>567</v>
      </c>
    </row>
    <row r="246" spans="2:8" x14ac:dyDescent="0.25">
      <c r="B246">
        <v>244</v>
      </c>
      <c r="C246" t="s">
        <v>568</v>
      </c>
      <c r="D246">
        <v>0</v>
      </c>
      <c r="E246" t="s">
        <v>21</v>
      </c>
      <c r="F246" s="121">
        <v>5216</v>
      </c>
      <c r="G246" s="103" t="s">
        <v>37</v>
      </c>
      <c r="H246" s="103" t="s">
        <v>569</v>
      </c>
    </row>
    <row r="247" spans="2:8" x14ac:dyDescent="0.25">
      <c r="B247">
        <v>245</v>
      </c>
      <c r="C247" t="s">
        <v>570</v>
      </c>
      <c r="D247" t="s">
        <v>571</v>
      </c>
      <c r="E247" t="s">
        <v>9</v>
      </c>
      <c r="F247" s="121">
        <v>4818</v>
      </c>
      <c r="G247" s="123"/>
      <c r="H247" s="103" t="s">
        <v>572</v>
      </c>
    </row>
    <row r="248" spans="2:8" x14ac:dyDescent="0.25">
      <c r="B248">
        <v>246</v>
      </c>
      <c r="C248" t="s">
        <v>573</v>
      </c>
      <c r="D248">
        <v>0</v>
      </c>
      <c r="E248" t="s">
        <v>35</v>
      </c>
      <c r="F248" s="121" t="s">
        <v>36</v>
      </c>
      <c r="G248" s="103" t="s">
        <v>37</v>
      </c>
      <c r="H248" s="103" t="s">
        <v>574</v>
      </c>
    </row>
    <row r="249" spans="2:8" x14ac:dyDescent="0.25">
      <c r="B249">
        <v>247</v>
      </c>
      <c r="C249" t="s">
        <v>575</v>
      </c>
      <c r="D249">
        <v>0</v>
      </c>
      <c r="E249" t="s">
        <v>9</v>
      </c>
      <c r="F249" s="121">
        <v>4818</v>
      </c>
      <c r="G249" s="123">
        <v>13</v>
      </c>
      <c r="H249" s="103" t="s">
        <v>576</v>
      </c>
    </row>
    <row r="250" spans="2:8" x14ac:dyDescent="0.25">
      <c r="B250">
        <v>248</v>
      </c>
      <c r="C250" t="s">
        <v>577</v>
      </c>
      <c r="D250">
        <v>0</v>
      </c>
      <c r="E250" t="s">
        <v>9</v>
      </c>
      <c r="F250" s="121">
        <v>949</v>
      </c>
      <c r="G250" s="103">
        <v>1288</v>
      </c>
      <c r="H250" s="103" t="s">
        <v>578</v>
      </c>
    </row>
    <row r="251" spans="2:8" x14ac:dyDescent="0.25">
      <c r="B251">
        <v>249</v>
      </c>
      <c r="C251" t="s">
        <v>579</v>
      </c>
      <c r="D251">
        <v>0</v>
      </c>
      <c r="E251" t="s">
        <v>9</v>
      </c>
      <c r="F251" s="121">
        <v>1340</v>
      </c>
      <c r="G251" s="123">
        <v>23</v>
      </c>
      <c r="H251" s="103" t="s">
        <v>580</v>
      </c>
    </row>
    <row r="252" spans="2:8" x14ac:dyDescent="0.25">
      <c r="B252">
        <v>250</v>
      </c>
      <c r="C252" t="s">
        <v>581</v>
      </c>
      <c r="D252" t="s">
        <v>5068</v>
      </c>
      <c r="E252" t="s">
        <v>21</v>
      </c>
      <c r="F252" s="121">
        <v>3532</v>
      </c>
      <c r="G252" s="103" t="s">
        <v>37</v>
      </c>
      <c r="H252" s="103" t="s">
        <v>582</v>
      </c>
    </row>
    <row r="253" spans="2:8" x14ac:dyDescent="0.25">
      <c r="B253">
        <v>251</v>
      </c>
      <c r="C253" t="s">
        <v>583</v>
      </c>
      <c r="D253" t="s">
        <v>4979</v>
      </c>
      <c r="E253" t="s">
        <v>9</v>
      </c>
      <c r="F253" s="121">
        <v>949</v>
      </c>
      <c r="G253" s="123">
        <v>13</v>
      </c>
      <c r="H253" s="103" t="s">
        <v>584</v>
      </c>
    </row>
    <row r="254" spans="2:8" x14ac:dyDescent="0.25">
      <c r="B254">
        <v>252</v>
      </c>
      <c r="C254" t="s">
        <v>585</v>
      </c>
      <c r="D254">
        <v>0</v>
      </c>
      <c r="E254" t="s">
        <v>9</v>
      </c>
      <c r="F254" s="121">
        <v>949</v>
      </c>
      <c r="G254" s="123">
        <v>23</v>
      </c>
      <c r="H254" s="103" t="s">
        <v>586</v>
      </c>
    </row>
    <row r="255" spans="2:8" x14ac:dyDescent="0.25">
      <c r="B255">
        <v>253</v>
      </c>
      <c r="C255" t="s">
        <v>587</v>
      </c>
      <c r="D255">
        <v>0</v>
      </c>
      <c r="E255" t="s">
        <v>9</v>
      </c>
      <c r="F255" s="121">
        <v>4601</v>
      </c>
      <c r="G255" s="103">
        <v>1288</v>
      </c>
      <c r="H255" s="103" t="s">
        <v>588</v>
      </c>
    </row>
    <row r="256" spans="2:8" x14ac:dyDescent="0.25">
      <c r="B256">
        <v>254</v>
      </c>
      <c r="C256" t="s">
        <v>589</v>
      </c>
      <c r="D256">
        <v>0</v>
      </c>
      <c r="E256" t="s">
        <v>9</v>
      </c>
      <c r="F256" s="121">
        <v>4825</v>
      </c>
      <c r="G256" s="123">
        <v>13</v>
      </c>
      <c r="H256" s="103" t="s">
        <v>590</v>
      </c>
    </row>
    <row r="257" spans="2:8" x14ac:dyDescent="0.25">
      <c r="B257">
        <v>255</v>
      </c>
      <c r="C257" t="s">
        <v>591</v>
      </c>
      <c r="D257" t="s">
        <v>592</v>
      </c>
      <c r="E257" t="s">
        <v>21</v>
      </c>
      <c r="F257" s="121">
        <v>3801</v>
      </c>
      <c r="G257" s="103" t="s">
        <v>37</v>
      </c>
      <c r="H257" s="103" t="s">
        <v>593</v>
      </c>
    </row>
    <row r="258" spans="2:8" x14ac:dyDescent="0.25">
      <c r="B258">
        <v>256</v>
      </c>
      <c r="C258" t="s">
        <v>594</v>
      </c>
      <c r="D258">
        <v>0</v>
      </c>
      <c r="E258" t="s">
        <v>9</v>
      </c>
      <c r="F258" s="121">
        <v>780</v>
      </c>
      <c r="G258" s="103">
        <v>1288</v>
      </c>
      <c r="H258" s="103" t="s">
        <v>595</v>
      </c>
    </row>
    <row r="259" spans="2:8" x14ac:dyDescent="0.25">
      <c r="B259">
        <v>257</v>
      </c>
      <c r="C259" t="s">
        <v>596</v>
      </c>
      <c r="D259">
        <v>0</v>
      </c>
      <c r="E259" t="s">
        <v>21</v>
      </c>
      <c r="F259" s="121">
        <v>3860</v>
      </c>
      <c r="G259" s="103" t="s">
        <v>37</v>
      </c>
      <c r="H259" s="103" t="s">
        <v>597</v>
      </c>
    </row>
    <row r="260" spans="2:8" x14ac:dyDescent="0.25">
      <c r="B260">
        <v>258</v>
      </c>
      <c r="C260" t="s">
        <v>598</v>
      </c>
      <c r="D260">
        <v>0</v>
      </c>
      <c r="E260" t="s">
        <v>9</v>
      </c>
      <c r="F260" s="121">
        <v>4825</v>
      </c>
      <c r="G260" s="103">
        <v>1288</v>
      </c>
      <c r="H260" s="103" t="s">
        <v>599</v>
      </c>
    </row>
    <row r="261" spans="2:8" x14ac:dyDescent="0.25">
      <c r="B261">
        <v>259</v>
      </c>
      <c r="C261" t="s">
        <v>600</v>
      </c>
      <c r="D261">
        <v>0</v>
      </c>
      <c r="E261" t="s">
        <v>9</v>
      </c>
      <c r="F261" s="121">
        <v>4601</v>
      </c>
      <c r="G261" s="123">
        <v>13</v>
      </c>
      <c r="H261" s="103" t="s">
        <v>601</v>
      </c>
    </row>
    <row r="262" spans="2:8" x14ac:dyDescent="0.25">
      <c r="B262">
        <v>260</v>
      </c>
      <c r="C262" t="s">
        <v>602</v>
      </c>
      <c r="D262">
        <v>0</v>
      </c>
      <c r="E262" t="s">
        <v>21</v>
      </c>
      <c r="F262" s="121">
        <v>3871</v>
      </c>
      <c r="G262" s="103" t="s">
        <v>37</v>
      </c>
      <c r="H262" s="103" t="s">
        <v>603</v>
      </c>
    </row>
    <row r="263" spans="2:8" x14ac:dyDescent="0.25">
      <c r="B263">
        <v>261</v>
      </c>
      <c r="C263" t="s">
        <v>604</v>
      </c>
      <c r="D263">
        <v>0</v>
      </c>
      <c r="E263" t="s">
        <v>35</v>
      </c>
      <c r="F263" s="121" t="s">
        <v>36</v>
      </c>
      <c r="G263" s="103" t="s">
        <v>605</v>
      </c>
      <c r="H263" s="103" t="s">
        <v>606</v>
      </c>
    </row>
    <row r="264" spans="2:8" x14ac:dyDescent="0.25">
      <c r="B264">
        <v>262</v>
      </c>
      <c r="C264" t="s">
        <v>607</v>
      </c>
      <c r="D264">
        <v>0</v>
      </c>
      <c r="E264" t="s">
        <v>21</v>
      </c>
      <c r="F264" s="121">
        <v>3905</v>
      </c>
      <c r="G264" s="103" t="s">
        <v>37</v>
      </c>
      <c r="H264" s="103" t="s">
        <v>608</v>
      </c>
    </row>
    <row r="265" spans="2:8" x14ac:dyDescent="0.25">
      <c r="B265">
        <v>263</v>
      </c>
      <c r="C265" t="s">
        <v>609</v>
      </c>
      <c r="D265" t="s">
        <v>610</v>
      </c>
      <c r="E265" t="s">
        <v>21</v>
      </c>
      <c r="F265" s="121">
        <v>3943</v>
      </c>
      <c r="G265" s="123" t="s">
        <v>37</v>
      </c>
      <c r="H265" s="103" t="s">
        <v>611</v>
      </c>
    </row>
    <row r="266" spans="2:8" x14ac:dyDescent="0.25">
      <c r="B266">
        <v>264</v>
      </c>
      <c r="C266" t="s">
        <v>612</v>
      </c>
      <c r="D266" t="s">
        <v>5180</v>
      </c>
      <c r="E266" t="s">
        <v>21</v>
      </c>
      <c r="F266" s="121">
        <v>3801</v>
      </c>
      <c r="G266" s="103" t="s">
        <v>37</v>
      </c>
      <c r="H266" s="103" t="s">
        <v>613</v>
      </c>
    </row>
    <row r="267" spans="2:8" x14ac:dyDescent="0.25">
      <c r="B267">
        <v>265</v>
      </c>
      <c r="C267" t="s">
        <v>614</v>
      </c>
      <c r="D267">
        <v>0</v>
      </c>
      <c r="E267" t="s">
        <v>21</v>
      </c>
      <c r="F267" s="121">
        <v>3655</v>
      </c>
      <c r="G267" s="103" t="s">
        <v>37</v>
      </c>
      <c r="H267" s="103" t="s">
        <v>615</v>
      </c>
    </row>
    <row r="268" spans="2:8" x14ac:dyDescent="0.25">
      <c r="B268">
        <v>266</v>
      </c>
      <c r="C268" t="s">
        <v>616</v>
      </c>
      <c r="D268">
        <v>0</v>
      </c>
      <c r="E268" t="s">
        <v>9</v>
      </c>
      <c r="F268" s="121">
        <v>4825</v>
      </c>
      <c r="G268" s="103">
        <v>1288</v>
      </c>
      <c r="H268" s="103" t="s">
        <v>617</v>
      </c>
    </row>
    <row r="269" spans="2:8" x14ac:dyDescent="0.25">
      <c r="B269">
        <v>267</v>
      </c>
      <c r="C269" t="s">
        <v>618</v>
      </c>
      <c r="D269">
        <v>0</v>
      </c>
      <c r="E269" t="s">
        <v>9</v>
      </c>
      <c r="F269" s="121">
        <v>4825</v>
      </c>
      <c r="G269" s="103">
        <v>1288</v>
      </c>
      <c r="H269" s="103" t="s">
        <v>619</v>
      </c>
    </row>
    <row r="270" spans="2:8" x14ac:dyDescent="0.25">
      <c r="B270">
        <v>268</v>
      </c>
      <c r="C270" t="s">
        <v>620</v>
      </c>
      <c r="D270">
        <v>0</v>
      </c>
      <c r="E270" t="s">
        <v>9</v>
      </c>
      <c r="F270" s="121">
        <v>791</v>
      </c>
      <c r="G270" s="123">
        <v>23</v>
      </c>
      <c r="H270" s="103" t="s">
        <v>621</v>
      </c>
    </row>
    <row r="271" spans="2:8" x14ac:dyDescent="0.25">
      <c r="B271">
        <v>269</v>
      </c>
      <c r="C271" t="s">
        <v>622</v>
      </c>
      <c r="D271">
        <v>0</v>
      </c>
      <c r="E271" t="s">
        <v>9</v>
      </c>
      <c r="F271" s="121">
        <v>3880</v>
      </c>
      <c r="G271" s="103">
        <v>1288</v>
      </c>
      <c r="H271" s="103" t="s">
        <v>623</v>
      </c>
    </row>
    <row r="272" spans="2:8" x14ac:dyDescent="0.25">
      <c r="B272">
        <v>270</v>
      </c>
      <c r="C272" t="s">
        <v>624</v>
      </c>
      <c r="D272" t="s">
        <v>625</v>
      </c>
      <c r="E272" t="s">
        <v>9</v>
      </c>
      <c r="F272" s="121">
        <v>4818</v>
      </c>
      <c r="G272" s="103">
        <v>1288</v>
      </c>
      <c r="H272" s="103" t="s">
        <v>626</v>
      </c>
    </row>
    <row r="273" spans="2:8" x14ac:dyDescent="0.25">
      <c r="B273">
        <v>271</v>
      </c>
      <c r="C273" t="s">
        <v>627</v>
      </c>
      <c r="D273">
        <v>0</v>
      </c>
      <c r="E273" t="s">
        <v>21</v>
      </c>
      <c r="F273" s="121" t="s">
        <v>44</v>
      </c>
      <c r="G273" s="103" t="s">
        <v>37</v>
      </c>
      <c r="H273" s="103" t="s">
        <v>628</v>
      </c>
    </row>
    <row r="274" spans="2:8" x14ac:dyDescent="0.25">
      <c r="B274">
        <v>272</v>
      </c>
      <c r="C274" t="s">
        <v>629</v>
      </c>
      <c r="D274">
        <v>0</v>
      </c>
      <c r="E274" t="s">
        <v>9</v>
      </c>
      <c r="F274" s="121">
        <v>4825</v>
      </c>
      <c r="G274" s="123">
        <v>13</v>
      </c>
      <c r="H274" s="103" t="s">
        <v>630</v>
      </c>
    </row>
    <row r="275" spans="2:8" x14ac:dyDescent="0.25">
      <c r="B275">
        <v>273</v>
      </c>
      <c r="C275" t="s">
        <v>631</v>
      </c>
      <c r="D275" t="s">
        <v>5139</v>
      </c>
      <c r="E275" t="s">
        <v>21</v>
      </c>
      <c r="F275" s="121">
        <v>3899</v>
      </c>
      <c r="G275" s="103" t="s">
        <v>37</v>
      </c>
      <c r="H275" s="103" t="s">
        <v>632</v>
      </c>
    </row>
    <row r="276" spans="2:8" x14ac:dyDescent="0.25">
      <c r="B276">
        <v>274</v>
      </c>
      <c r="C276" t="s">
        <v>633</v>
      </c>
      <c r="D276">
        <v>0</v>
      </c>
      <c r="E276" t="s">
        <v>21</v>
      </c>
      <c r="F276" s="121" t="s">
        <v>44</v>
      </c>
      <c r="G276" s="103" t="s">
        <v>37</v>
      </c>
      <c r="H276" s="103" t="s">
        <v>634</v>
      </c>
    </row>
    <row r="277" spans="2:8" x14ac:dyDescent="0.25">
      <c r="B277">
        <v>275</v>
      </c>
      <c r="C277" t="s">
        <v>635</v>
      </c>
      <c r="D277">
        <v>0</v>
      </c>
      <c r="E277" t="s">
        <v>9</v>
      </c>
      <c r="F277" s="121">
        <v>3419</v>
      </c>
      <c r="G277" s="103">
        <v>1288</v>
      </c>
      <c r="H277" s="103" t="s">
        <v>636</v>
      </c>
    </row>
    <row r="278" spans="2:8" x14ac:dyDescent="0.25">
      <c r="B278">
        <v>276</v>
      </c>
      <c r="C278" t="s">
        <v>637</v>
      </c>
      <c r="D278">
        <v>0</v>
      </c>
      <c r="E278" t="s">
        <v>9</v>
      </c>
      <c r="F278" s="121">
        <v>4825</v>
      </c>
      <c r="G278" s="123">
        <v>13</v>
      </c>
      <c r="H278" s="103" t="s">
        <v>638</v>
      </c>
    </row>
    <row r="279" spans="2:8" x14ac:dyDescent="0.25">
      <c r="B279">
        <v>277</v>
      </c>
      <c r="C279" t="s">
        <v>639</v>
      </c>
      <c r="D279">
        <v>0</v>
      </c>
      <c r="E279" t="s">
        <v>21</v>
      </c>
      <c r="F279" s="121" t="s">
        <v>264</v>
      </c>
      <c r="G279" s="103" t="s">
        <v>37</v>
      </c>
      <c r="H279" s="103" t="s">
        <v>640</v>
      </c>
    </row>
    <row r="280" spans="2:8" x14ac:dyDescent="0.25">
      <c r="B280">
        <v>278</v>
      </c>
      <c r="C280" t="s">
        <v>641</v>
      </c>
      <c r="D280">
        <v>0</v>
      </c>
      <c r="E280" t="s">
        <v>35</v>
      </c>
      <c r="F280" s="121" t="s">
        <v>379</v>
      </c>
      <c r="G280" s="103" t="s">
        <v>87</v>
      </c>
      <c r="H280" s="103" t="s">
        <v>642</v>
      </c>
    </row>
    <row r="281" spans="2:8" x14ac:dyDescent="0.25">
      <c r="B281">
        <v>279</v>
      </c>
      <c r="C281" t="s">
        <v>643</v>
      </c>
      <c r="D281">
        <v>0</v>
      </c>
      <c r="E281" t="s">
        <v>35</v>
      </c>
      <c r="F281" s="121" t="s">
        <v>36</v>
      </c>
      <c r="G281" s="103" t="s">
        <v>87</v>
      </c>
      <c r="H281" s="103" t="s">
        <v>644</v>
      </c>
    </row>
    <row r="282" spans="2:8" x14ac:dyDescent="0.25">
      <c r="B282">
        <v>280</v>
      </c>
      <c r="C282" t="s">
        <v>645</v>
      </c>
      <c r="D282">
        <v>0</v>
      </c>
      <c r="E282" t="s">
        <v>9</v>
      </c>
      <c r="F282" s="121">
        <v>4825</v>
      </c>
      <c r="G282" s="103">
        <v>1288</v>
      </c>
      <c r="H282" s="103" t="s">
        <v>646</v>
      </c>
    </row>
    <row r="283" spans="2:8" x14ac:dyDescent="0.25">
      <c r="B283">
        <v>281</v>
      </c>
      <c r="C283" t="s">
        <v>647</v>
      </c>
      <c r="D283">
        <v>0</v>
      </c>
      <c r="E283" t="s">
        <v>21</v>
      </c>
      <c r="F283" s="121" t="s">
        <v>44</v>
      </c>
      <c r="G283" s="103" t="s">
        <v>37</v>
      </c>
      <c r="H283" s="103" t="s">
        <v>648</v>
      </c>
    </row>
    <row r="284" spans="2:8" x14ac:dyDescent="0.25">
      <c r="B284">
        <v>282</v>
      </c>
      <c r="C284" t="s">
        <v>649</v>
      </c>
      <c r="D284">
        <v>0</v>
      </c>
      <c r="E284" t="s">
        <v>21</v>
      </c>
      <c r="F284" s="121">
        <v>3925</v>
      </c>
      <c r="G284" s="103" t="s">
        <v>37</v>
      </c>
      <c r="H284" s="103" t="s">
        <v>650</v>
      </c>
    </row>
    <row r="285" spans="2:8" x14ac:dyDescent="0.25">
      <c r="B285">
        <v>283</v>
      </c>
      <c r="C285" t="s">
        <v>651</v>
      </c>
      <c r="D285">
        <v>0</v>
      </c>
      <c r="E285" t="s">
        <v>9</v>
      </c>
      <c r="F285" s="121">
        <v>4825</v>
      </c>
      <c r="G285" s="123">
        <v>13</v>
      </c>
      <c r="H285" s="103" t="s">
        <v>652</v>
      </c>
    </row>
    <row r="286" spans="2:8" x14ac:dyDescent="0.25">
      <c r="B286">
        <v>284</v>
      </c>
      <c r="C286" t="s">
        <v>653</v>
      </c>
      <c r="D286">
        <v>0</v>
      </c>
      <c r="E286" t="s">
        <v>9</v>
      </c>
      <c r="F286" s="121">
        <v>4825</v>
      </c>
      <c r="G286" s="123">
        <v>13</v>
      </c>
      <c r="H286" s="103" t="s">
        <v>654</v>
      </c>
    </row>
    <row r="287" spans="2:8" x14ac:dyDescent="0.25">
      <c r="B287">
        <v>285</v>
      </c>
      <c r="C287" t="s">
        <v>655</v>
      </c>
      <c r="D287" t="s">
        <v>656</v>
      </c>
      <c r="E287" t="s">
        <v>9</v>
      </c>
      <c r="F287" s="121">
        <v>3880</v>
      </c>
      <c r="G287" s="103">
        <v>1288</v>
      </c>
      <c r="H287" s="103" t="s">
        <v>657</v>
      </c>
    </row>
    <row r="288" spans="2:8" x14ac:dyDescent="0.25">
      <c r="B288">
        <v>286</v>
      </c>
      <c r="C288" t="s">
        <v>658</v>
      </c>
      <c r="D288" t="s">
        <v>659</v>
      </c>
      <c r="E288" t="s">
        <v>9</v>
      </c>
      <c r="F288" s="121">
        <v>4825</v>
      </c>
      <c r="G288" s="103">
        <v>1288</v>
      </c>
      <c r="H288" s="103" t="s">
        <v>660</v>
      </c>
    </row>
    <row r="289" spans="2:8" x14ac:dyDescent="0.25">
      <c r="B289">
        <v>287</v>
      </c>
      <c r="C289" t="s">
        <v>661</v>
      </c>
      <c r="D289">
        <v>0</v>
      </c>
      <c r="E289" t="s">
        <v>21</v>
      </c>
      <c r="F289" s="121" t="s">
        <v>44</v>
      </c>
      <c r="G289" s="103" t="s">
        <v>37</v>
      </c>
      <c r="H289" s="103" t="s">
        <v>662</v>
      </c>
    </row>
    <row r="290" spans="2:8" x14ac:dyDescent="0.25">
      <c r="B290">
        <v>288</v>
      </c>
      <c r="C290" t="s">
        <v>663</v>
      </c>
      <c r="D290">
        <v>0</v>
      </c>
      <c r="E290" t="s">
        <v>21</v>
      </c>
      <c r="F290" s="121" t="s">
        <v>44</v>
      </c>
      <c r="G290" s="103" t="s">
        <v>37</v>
      </c>
      <c r="H290" s="103" t="s">
        <v>664</v>
      </c>
    </row>
    <row r="291" spans="2:8" x14ac:dyDescent="0.25">
      <c r="B291">
        <v>289</v>
      </c>
      <c r="C291" t="s">
        <v>665</v>
      </c>
      <c r="D291">
        <v>0</v>
      </c>
      <c r="E291" t="s">
        <v>9</v>
      </c>
      <c r="F291" s="121">
        <v>2281</v>
      </c>
      <c r="G291" s="103">
        <v>1288</v>
      </c>
      <c r="H291" s="103" t="s">
        <v>666</v>
      </c>
    </row>
    <row r="292" spans="2:8" x14ac:dyDescent="0.25">
      <c r="B292">
        <v>290</v>
      </c>
      <c r="C292" t="s">
        <v>667</v>
      </c>
      <c r="D292">
        <v>0</v>
      </c>
      <c r="E292" t="s">
        <v>9</v>
      </c>
      <c r="F292" s="121">
        <v>2281</v>
      </c>
      <c r="G292" s="123">
        <v>13</v>
      </c>
      <c r="H292" s="103" t="s">
        <v>668</v>
      </c>
    </row>
    <row r="293" spans="2:8" x14ac:dyDescent="0.25">
      <c r="B293">
        <v>291</v>
      </c>
      <c r="C293" t="s">
        <v>669</v>
      </c>
      <c r="D293">
        <v>0</v>
      </c>
      <c r="E293" t="s">
        <v>35</v>
      </c>
      <c r="F293" s="121" t="s">
        <v>670</v>
      </c>
      <c r="G293" s="103" t="s">
        <v>87</v>
      </c>
      <c r="H293" s="103" t="s">
        <v>671</v>
      </c>
    </row>
    <row r="294" spans="2:8" x14ac:dyDescent="0.25">
      <c r="B294">
        <v>292</v>
      </c>
      <c r="C294" t="s">
        <v>672</v>
      </c>
      <c r="D294">
        <v>0</v>
      </c>
      <c r="E294" t="s">
        <v>35</v>
      </c>
      <c r="F294" s="121" t="s">
        <v>673</v>
      </c>
      <c r="G294" s="103" t="s">
        <v>87</v>
      </c>
      <c r="H294" s="103" t="s">
        <v>674</v>
      </c>
    </row>
    <row r="295" spans="2:8" x14ac:dyDescent="0.25">
      <c r="B295">
        <v>293</v>
      </c>
      <c r="C295" t="s">
        <v>675</v>
      </c>
      <c r="D295">
        <v>0</v>
      </c>
      <c r="E295" t="s">
        <v>9</v>
      </c>
      <c r="F295" s="121">
        <v>4825</v>
      </c>
      <c r="G295" s="123">
        <v>13</v>
      </c>
      <c r="H295" s="103" t="s">
        <v>676</v>
      </c>
    </row>
    <row r="296" spans="2:8" x14ac:dyDescent="0.25">
      <c r="B296">
        <v>294</v>
      </c>
      <c r="C296" t="s">
        <v>677</v>
      </c>
      <c r="D296">
        <v>0</v>
      </c>
      <c r="E296" t="s">
        <v>9</v>
      </c>
      <c r="F296" s="121">
        <v>4825</v>
      </c>
      <c r="G296" s="123">
        <v>13</v>
      </c>
      <c r="H296" s="103" t="s">
        <v>678</v>
      </c>
    </row>
    <row r="297" spans="2:8" x14ac:dyDescent="0.25">
      <c r="B297">
        <v>295</v>
      </c>
      <c r="C297" t="s">
        <v>679</v>
      </c>
      <c r="D297">
        <v>0</v>
      </c>
      <c r="E297" t="s">
        <v>9</v>
      </c>
      <c r="F297" s="121">
        <v>3880</v>
      </c>
      <c r="G297" s="103">
        <v>1288</v>
      </c>
      <c r="H297" s="103" t="s">
        <v>680</v>
      </c>
    </row>
    <row r="298" spans="2:8" x14ac:dyDescent="0.25">
      <c r="B298">
        <v>296</v>
      </c>
      <c r="C298" t="s">
        <v>681</v>
      </c>
      <c r="D298" t="s">
        <v>682</v>
      </c>
      <c r="E298" t="s">
        <v>35</v>
      </c>
      <c r="F298" s="121" t="s">
        <v>36</v>
      </c>
      <c r="H298" s="103" t="s">
        <v>683</v>
      </c>
    </row>
    <row r="299" spans="2:8" x14ac:dyDescent="0.25">
      <c r="B299">
        <v>297</v>
      </c>
      <c r="C299" t="s">
        <v>684</v>
      </c>
      <c r="D299">
        <v>0</v>
      </c>
      <c r="E299" t="s">
        <v>21</v>
      </c>
      <c r="F299" s="121" t="s">
        <v>44</v>
      </c>
      <c r="G299" s="103" t="s">
        <v>37</v>
      </c>
      <c r="H299" s="103" t="s">
        <v>685</v>
      </c>
    </row>
    <row r="300" spans="2:8" x14ac:dyDescent="0.25">
      <c r="B300">
        <v>298</v>
      </c>
      <c r="C300" t="s">
        <v>686</v>
      </c>
      <c r="D300" t="s">
        <v>687</v>
      </c>
      <c r="E300" t="s">
        <v>21</v>
      </c>
      <c r="F300" s="121">
        <v>3943</v>
      </c>
      <c r="H300" s="103" t="s">
        <v>688</v>
      </c>
    </row>
    <row r="301" spans="2:8" x14ac:dyDescent="0.25">
      <c r="B301">
        <v>299</v>
      </c>
      <c r="C301" t="s">
        <v>689</v>
      </c>
      <c r="D301">
        <v>0</v>
      </c>
      <c r="E301" t="s">
        <v>9</v>
      </c>
      <c r="F301" s="121">
        <v>941</v>
      </c>
      <c r="G301" s="123">
        <v>13</v>
      </c>
      <c r="H301" s="103" t="s">
        <v>690</v>
      </c>
    </row>
    <row r="302" spans="2:8" x14ac:dyDescent="0.25">
      <c r="B302">
        <v>300</v>
      </c>
      <c r="C302" t="s">
        <v>691</v>
      </c>
      <c r="D302" t="s">
        <v>692</v>
      </c>
      <c r="E302" t="s">
        <v>9</v>
      </c>
      <c r="F302" s="121">
        <v>4818</v>
      </c>
      <c r="G302" s="103">
        <v>1288</v>
      </c>
      <c r="H302" s="103" t="s">
        <v>693</v>
      </c>
    </row>
    <row r="303" spans="2:8" x14ac:dyDescent="0.25">
      <c r="B303">
        <v>301</v>
      </c>
      <c r="C303" t="s">
        <v>694</v>
      </c>
      <c r="D303">
        <v>0</v>
      </c>
      <c r="E303" t="s">
        <v>9</v>
      </c>
      <c r="F303" s="121">
        <v>4825</v>
      </c>
      <c r="G303" s="123">
        <v>13</v>
      </c>
      <c r="H303" s="103" t="s">
        <v>695</v>
      </c>
    </row>
    <row r="304" spans="2:8" x14ac:dyDescent="0.25">
      <c r="B304">
        <v>302</v>
      </c>
      <c r="C304" t="s">
        <v>696</v>
      </c>
      <c r="D304">
        <v>0</v>
      </c>
      <c r="E304" t="s">
        <v>35</v>
      </c>
      <c r="F304" s="121" t="s">
        <v>697</v>
      </c>
      <c r="G304" s="103" t="s">
        <v>87</v>
      </c>
      <c r="H304" s="103" t="s">
        <v>698</v>
      </c>
    </row>
    <row r="305" spans="2:8" x14ac:dyDescent="0.25">
      <c r="B305">
        <v>303</v>
      </c>
      <c r="C305" t="s">
        <v>699</v>
      </c>
      <c r="D305">
        <v>0</v>
      </c>
      <c r="E305" t="s">
        <v>9</v>
      </c>
      <c r="F305" s="121">
        <v>4818</v>
      </c>
      <c r="G305" s="103">
        <v>1288</v>
      </c>
      <c r="H305" s="103" t="s">
        <v>700</v>
      </c>
    </row>
    <row r="306" spans="2:8" x14ac:dyDescent="0.25">
      <c r="B306">
        <v>304</v>
      </c>
      <c r="C306" t="s">
        <v>5308</v>
      </c>
      <c r="D306" t="s">
        <v>5309</v>
      </c>
      <c r="E306" t="s">
        <v>21</v>
      </c>
      <c r="F306" s="121" t="s">
        <v>431</v>
      </c>
      <c r="G306" s="103" t="s">
        <v>37</v>
      </c>
      <c r="H306" s="103" t="s">
        <v>5307</v>
      </c>
    </row>
    <row r="307" spans="2:8" x14ac:dyDescent="0.25">
      <c r="B307">
        <v>305</v>
      </c>
      <c r="C307" t="s">
        <v>701</v>
      </c>
      <c r="D307" t="s">
        <v>702</v>
      </c>
      <c r="E307" t="s">
        <v>9</v>
      </c>
      <c r="F307" s="121">
        <v>949</v>
      </c>
      <c r="G307" s="103">
        <v>1288</v>
      </c>
      <c r="H307" s="103" t="s">
        <v>703</v>
      </c>
    </row>
    <row r="308" spans="2:8" x14ac:dyDescent="0.25">
      <c r="B308">
        <v>306</v>
      </c>
      <c r="C308" t="s">
        <v>704</v>
      </c>
      <c r="D308">
        <v>0</v>
      </c>
      <c r="E308" t="s">
        <v>9</v>
      </c>
      <c r="F308" s="121">
        <v>949</v>
      </c>
      <c r="G308" s="123">
        <v>23</v>
      </c>
      <c r="H308" s="103" t="s">
        <v>705</v>
      </c>
    </row>
    <row r="309" spans="2:8" x14ac:dyDescent="0.25">
      <c r="B309">
        <v>307</v>
      </c>
      <c r="C309" t="s">
        <v>706</v>
      </c>
      <c r="D309">
        <v>0</v>
      </c>
      <c r="E309" t="s">
        <v>35</v>
      </c>
      <c r="F309" s="121" t="s">
        <v>36</v>
      </c>
      <c r="G309" s="103" t="s">
        <v>87</v>
      </c>
      <c r="H309" s="103" t="s">
        <v>707</v>
      </c>
    </row>
    <row r="310" spans="2:8" x14ac:dyDescent="0.25">
      <c r="B310">
        <v>308</v>
      </c>
      <c r="C310" t="s">
        <v>708</v>
      </c>
      <c r="D310" t="s">
        <v>709</v>
      </c>
      <c r="E310" t="s">
        <v>9</v>
      </c>
      <c r="F310" s="121">
        <v>949</v>
      </c>
      <c r="G310" s="123">
        <v>23</v>
      </c>
      <c r="H310" s="103" t="s">
        <v>538</v>
      </c>
    </row>
    <row r="311" spans="2:8" x14ac:dyDescent="0.25">
      <c r="B311">
        <v>309</v>
      </c>
      <c r="C311" t="s">
        <v>710</v>
      </c>
      <c r="D311">
        <v>0</v>
      </c>
      <c r="E311" t="s">
        <v>9</v>
      </c>
      <c r="F311" s="121">
        <v>3880</v>
      </c>
      <c r="G311" s="103" t="s">
        <v>711</v>
      </c>
      <c r="H311" s="103" t="s">
        <v>712</v>
      </c>
    </row>
    <row r="312" spans="2:8" x14ac:dyDescent="0.25">
      <c r="B312">
        <v>310</v>
      </c>
      <c r="C312" t="s">
        <v>713</v>
      </c>
      <c r="D312" t="s">
        <v>714</v>
      </c>
      <c r="E312" t="s">
        <v>9</v>
      </c>
      <c r="F312" s="121">
        <v>4818</v>
      </c>
      <c r="G312" s="103">
        <v>1288</v>
      </c>
      <c r="H312" s="103" t="s">
        <v>715</v>
      </c>
    </row>
    <row r="313" spans="2:8" x14ac:dyDescent="0.25">
      <c r="B313">
        <v>311</v>
      </c>
      <c r="C313" t="s">
        <v>716</v>
      </c>
      <c r="D313">
        <v>0</v>
      </c>
      <c r="E313" t="s">
        <v>35</v>
      </c>
      <c r="F313" s="121" t="s">
        <v>452</v>
      </c>
      <c r="G313" s="103" t="s">
        <v>87</v>
      </c>
      <c r="H313" s="103" t="s">
        <v>717</v>
      </c>
    </row>
    <row r="314" spans="2:8" x14ac:dyDescent="0.25">
      <c r="B314">
        <v>312</v>
      </c>
      <c r="C314" t="s">
        <v>120</v>
      </c>
      <c r="D314">
        <v>0</v>
      </c>
      <c r="E314" t="s">
        <v>21</v>
      </c>
      <c r="F314" s="121">
        <v>3801</v>
      </c>
      <c r="G314" s="103" t="s">
        <v>87</v>
      </c>
      <c r="H314" s="103" t="s">
        <v>121</v>
      </c>
    </row>
    <row r="315" spans="2:8" x14ac:dyDescent="0.25">
      <c r="B315">
        <v>313</v>
      </c>
      <c r="C315" t="s">
        <v>718</v>
      </c>
      <c r="D315" t="s">
        <v>719</v>
      </c>
      <c r="E315" t="s">
        <v>9</v>
      </c>
      <c r="F315" s="121">
        <v>4818</v>
      </c>
      <c r="G315" s="103" t="s">
        <v>720</v>
      </c>
      <c r="H315" s="103" t="s">
        <v>721</v>
      </c>
    </row>
    <row r="316" spans="2:8" x14ac:dyDescent="0.25">
      <c r="B316">
        <v>314</v>
      </c>
      <c r="C316" t="s">
        <v>722</v>
      </c>
      <c r="D316">
        <v>0</v>
      </c>
      <c r="E316" t="s">
        <v>9</v>
      </c>
      <c r="F316" s="121">
        <v>4818</v>
      </c>
      <c r="G316" s="103">
        <v>1288</v>
      </c>
      <c r="H316" s="103" t="s">
        <v>723</v>
      </c>
    </row>
    <row r="317" spans="2:8" x14ac:dyDescent="0.25">
      <c r="B317">
        <v>315</v>
      </c>
      <c r="C317" t="s">
        <v>724</v>
      </c>
      <c r="D317">
        <v>0</v>
      </c>
      <c r="E317" t="s">
        <v>9</v>
      </c>
      <c r="F317" s="121">
        <v>4818</v>
      </c>
      <c r="G317" s="103">
        <v>1288</v>
      </c>
      <c r="H317" s="103" t="s">
        <v>725</v>
      </c>
    </row>
    <row r="318" spans="2:8" x14ac:dyDescent="0.25">
      <c r="B318">
        <v>316</v>
      </c>
      <c r="C318" t="s">
        <v>726</v>
      </c>
      <c r="D318">
        <v>0</v>
      </c>
      <c r="E318" t="s">
        <v>9</v>
      </c>
      <c r="F318" s="121">
        <v>949</v>
      </c>
      <c r="G318" s="103">
        <v>13</v>
      </c>
      <c r="H318" s="103" t="s">
        <v>727</v>
      </c>
    </row>
    <row r="319" spans="2:8" x14ac:dyDescent="0.25">
      <c r="B319">
        <v>317</v>
      </c>
      <c r="C319" t="s">
        <v>728</v>
      </c>
      <c r="D319">
        <v>0</v>
      </c>
      <c r="E319" t="s">
        <v>21</v>
      </c>
      <c r="F319" s="121" t="s">
        <v>264</v>
      </c>
      <c r="G319" s="103" t="s">
        <v>605</v>
      </c>
      <c r="H319" s="103" t="s">
        <v>729</v>
      </c>
    </row>
    <row r="320" spans="2:8" x14ac:dyDescent="0.25">
      <c r="B320">
        <v>318</v>
      </c>
      <c r="C320" t="s">
        <v>730</v>
      </c>
      <c r="D320">
        <v>0</v>
      </c>
      <c r="E320" t="s">
        <v>9</v>
      </c>
      <c r="F320" s="121">
        <v>949</v>
      </c>
      <c r="G320" s="103" t="s">
        <v>731</v>
      </c>
      <c r="H320" s="103" t="s">
        <v>732</v>
      </c>
    </row>
    <row r="321" spans="2:8" x14ac:dyDescent="0.25">
      <c r="B321">
        <v>319</v>
      </c>
      <c r="C321" t="s">
        <v>733</v>
      </c>
      <c r="D321">
        <v>0</v>
      </c>
      <c r="E321" t="s">
        <v>21</v>
      </c>
      <c r="F321" s="121" t="s">
        <v>44</v>
      </c>
      <c r="G321" s="103" t="s">
        <v>605</v>
      </c>
      <c r="H321" s="103" t="s">
        <v>734</v>
      </c>
    </row>
    <row r="322" spans="2:8" x14ac:dyDescent="0.25">
      <c r="B322">
        <v>320</v>
      </c>
      <c r="C322" t="s">
        <v>735</v>
      </c>
      <c r="D322">
        <v>0</v>
      </c>
      <c r="E322" t="s">
        <v>9</v>
      </c>
      <c r="F322" s="121">
        <v>4825</v>
      </c>
      <c r="G322" s="103" t="s">
        <v>720</v>
      </c>
      <c r="H322" s="103" t="s">
        <v>736</v>
      </c>
    </row>
    <row r="323" spans="2:8" x14ac:dyDescent="0.25">
      <c r="B323">
        <v>321</v>
      </c>
      <c r="C323" t="s">
        <v>153</v>
      </c>
      <c r="D323">
        <v>0</v>
      </c>
      <c r="E323" t="s">
        <v>9</v>
      </c>
      <c r="F323" s="121">
        <v>3204</v>
      </c>
      <c r="G323" s="103" t="s">
        <v>720</v>
      </c>
      <c r="H323" s="103" t="s">
        <v>154</v>
      </c>
    </row>
    <row r="324" spans="2:8" x14ac:dyDescent="0.25">
      <c r="B324">
        <v>322</v>
      </c>
      <c r="C324" t="s">
        <v>737</v>
      </c>
      <c r="D324">
        <v>0</v>
      </c>
      <c r="E324" t="s">
        <v>9</v>
      </c>
      <c r="F324" s="121">
        <v>4825</v>
      </c>
      <c r="G324" s="103" t="s">
        <v>720</v>
      </c>
      <c r="H324" s="103" t="s">
        <v>738</v>
      </c>
    </row>
    <row r="325" spans="2:8" x14ac:dyDescent="0.25">
      <c r="B325">
        <v>323</v>
      </c>
      <c r="C325" t="s">
        <v>739</v>
      </c>
      <c r="D325">
        <v>0</v>
      </c>
      <c r="E325" t="s">
        <v>9</v>
      </c>
      <c r="F325" s="121">
        <v>128</v>
      </c>
      <c r="G325" s="103" t="s">
        <v>720</v>
      </c>
      <c r="H325" s="103" t="s">
        <v>740</v>
      </c>
    </row>
    <row r="326" spans="2:8" x14ac:dyDescent="0.25">
      <c r="B326">
        <v>324</v>
      </c>
      <c r="C326" t="s">
        <v>741</v>
      </c>
      <c r="D326" t="s">
        <v>742</v>
      </c>
      <c r="E326" t="s">
        <v>9</v>
      </c>
      <c r="F326" s="121">
        <v>4825</v>
      </c>
      <c r="G326" s="103" t="s">
        <v>720</v>
      </c>
      <c r="H326" s="103" t="s">
        <v>743</v>
      </c>
    </row>
    <row r="327" spans="2:8" x14ac:dyDescent="0.25">
      <c r="B327">
        <v>325</v>
      </c>
      <c r="C327" t="s">
        <v>744</v>
      </c>
      <c r="D327">
        <v>0</v>
      </c>
      <c r="E327" t="s">
        <v>9</v>
      </c>
      <c r="F327" s="121">
        <v>4825</v>
      </c>
      <c r="G327" s="103" t="s">
        <v>720</v>
      </c>
      <c r="H327" s="103" t="s">
        <v>745</v>
      </c>
    </row>
    <row r="328" spans="2:8" x14ac:dyDescent="0.25">
      <c r="B328">
        <v>326</v>
      </c>
      <c r="C328" t="s">
        <v>746</v>
      </c>
      <c r="D328">
        <v>0</v>
      </c>
      <c r="E328" t="s">
        <v>9</v>
      </c>
      <c r="F328" s="121">
        <v>4825</v>
      </c>
      <c r="G328" s="103" t="s">
        <v>720</v>
      </c>
      <c r="H328" s="103" t="s">
        <v>747</v>
      </c>
    </row>
    <row r="329" spans="2:8" x14ac:dyDescent="0.25">
      <c r="B329">
        <v>327</v>
      </c>
      <c r="C329" t="s">
        <v>748</v>
      </c>
      <c r="D329">
        <v>0</v>
      </c>
      <c r="E329" t="s">
        <v>21</v>
      </c>
      <c r="F329" s="121" t="s">
        <v>44</v>
      </c>
      <c r="G329" s="103" t="s">
        <v>37</v>
      </c>
      <c r="H329" s="103" t="s">
        <v>749</v>
      </c>
    </row>
    <row r="330" spans="2:8" x14ac:dyDescent="0.25">
      <c r="B330">
        <v>328</v>
      </c>
      <c r="C330" t="s">
        <v>750</v>
      </c>
      <c r="D330" t="s">
        <v>751</v>
      </c>
      <c r="E330" t="s">
        <v>9</v>
      </c>
      <c r="F330" s="121">
        <v>780</v>
      </c>
      <c r="H330" s="103" t="s">
        <v>752</v>
      </c>
    </row>
    <row r="331" spans="2:8" x14ac:dyDescent="0.25">
      <c r="B331">
        <v>329</v>
      </c>
      <c r="C331" t="s">
        <v>753</v>
      </c>
      <c r="D331">
        <v>0</v>
      </c>
      <c r="E331" t="s">
        <v>21</v>
      </c>
      <c r="F331" s="121" t="s">
        <v>44</v>
      </c>
      <c r="G331" s="103" t="s">
        <v>22</v>
      </c>
      <c r="H331" s="103" t="s">
        <v>754</v>
      </c>
    </row>
    <row r="332" spans="2:8" x14ac:dyDescent="0.25">
      <c r="B332">
        <v>330</v>
      </c>
      <c r="C332" t="s">
        <v>755</v>
      </c>
      <c r="D332" t="s">
        <v>756</v>
      </c>
      <c r="E332" t="s">
        <v>9</v>
      </c>
      <c r="F332" s="121">
        <v>4825</v>
      </c>
      <c r="H332" s="103" t="s">
        <v>757</v>
      </c>
    </row>
    <row r="333" spans="2:8" x14ac:dyDescent="0.25">
      <c r="B333">
        <v>331</v>
      </c>
      <c r="C333" t="s">
        <v>758</v>
      </c>
      <c r="D333">
        <v>0</v>
      </c>
      <c r="E333" t="s">
        <v>9</v>
      </c>
      <c r="F333" s="121">
        <v>780</v>
      </c>
      <c r="G333" s="103" t="s">
        <v>720</v>
      </c>
      <c r="H333" s="103" t="s">
        <v>759</v>
      </c>
    </row>
    <row r="334" spans="2:8" x14ac:dyDescent="0.25">
      <c r="B334">
        <v>332</v>
      </c>
      <c r="C334" t="s">
        <v>760</v>
      </c>
      <c r="D334">
        <v>0</v>
      </c>
      <c r="E334" t="s">
        <v>35</v>
      </c>
      <c r="F334" s="121" t="s">
        <v>761</v>
      </c>
      <c r="G334" s="103" t="s">
        <v>605</v>
      </c>
      <c r="H334" s="103" t="s">
        <v>762</v>
      </c>
    </row>
    <row r="335" spans="2:8" x14ac:dyDescent="0.25">
      <c r="B335">
        <v>333</v>
      </c>
      <c r="C335" t="s">
        <v>763</v>
      </c>
      <c r="D335">
        <v>0</v>
      </c>
      <c r="E335" t="s">
        <v>9</v>
      </c>
      <c r="F335" s="121">
        <v>780</v>
      </c>
      <c r="G335" s="103" t="s">
        <v>731</v>
      </c>
      <c r="H335" s="103" t="s">
        <v>764</v>
      </c>
    </row>
    <row r="336" spans="2:8" x14ac:dyDescent="0.25">
      <c r="B336">
        <v>334</v>
      </c>
      <c r="C336" t="s">
        <v>765</v>
      </c>
      <c r="D336">
        <v>0</v>
      </c>
      <c r="E336" t="s">
        <v>21</v>
      </c>
      <c r="F336" s="121" t="s">
        <v>44</v>
      </c>
      <c r="G336" s="103" t="s">
        <v>22</v>
      </c>
      <c r="H336" s="103" t="s">
        <v>766</v>
      </c>
    </row>
    <row r="337" spans="2:8" x14ac:dyDescent="0.25">
      <c r="B337">
        <v>335</v>
      </c>
      <c r="C337" t="s">
        <v>767</v>
      </c>
      <c r="D337">
        <v>0</v>
      </c>
      <c r="E337" t="s">
        <v>9</v>
      </c>
      <c r="F337" s="121">
        <v>4825</v>
      </c>
      <c r="G337" s="103" t="s">
        <v>720</v>
      </c>
      <c r="H337" s="103" t="s">
        <v>768</v>
      </c>
    </row>
    <row r="338" spans="2:8" x14ac:dyDescent="0.25">
      <c r="B338">
        <v>336</v>
      </c>
      <c r="C338" t="s">
        <v>769</v>
      </c>
      <c r="D338">
        <v>0</v>
      </c>
    </row>
    <row r="339" spans="2:8" x14ac:dyDescent="0.25">
      <c r="B339">
        <v>337</v>
      </c>
      <c r="C339" t="s">
        <v>770</v>
      </c>
      <c r="D339">
        <v>0</v>
      </c>
    </row>
    <row r="340" spans="2:8" x14ac:dyDescent="0.25">
      <c r="B340">
        <v>338</v>
      </c>
      <c r="C340" t="s">
        <v>771</v>
      </c>
      <c r="D340">
        <v>0</v>
      </c>
      <c r="E340" t="s">
        <v>9</v>
      </c>
      <c r="F340" s="121">
        <v>780</v>
      </c>
      <c r="G340" s="103" t="s">
        <v>720</v>
      </c>
      <c r="H340" s="103" t="s">
        <v>772</v>
      </c>
    </row>
    <row r="341" spans="2:8" x14ac:dyDescent="0.25">
      <c r="B341">
        <v>339</v>
      </c>
      <c r="C341" t="s">
        <v>773</v>
      </c>
      <c r="D341">
        <v>0</v>
      </c>
      <c r="E341" t="s">
        <v>21</v>
      </c>
      <c r="F341" s="121" t="s">
        <v>774</v>
      </c>
      <c r="G341" s="103" t="s">
        <v>37</v>
      </c>
      <c r="H341" s="103" t="s">
        <v>775</v>
      </c>
    </row>
    <row r="342" spans="2:8" x14ac:dyDescent="0.25">
      <c r="B342">
        <v>340</v>
      </c>
      <c r="C342" t="s">
        <v>776</v>
      </c>
      <c r="D342">
        <v>0</v>
      </c>
      <c r="E342" t="s">
        <v>9</v>
      </c>
      <c r="F342" s="121">
        <v>780</v>
      </c>
      <c r="G342" s="103" t="s">
        <v>731</v>
      </c>
      <c r="H342" s="103" t="s">
        <v>777</v>
      </c>
    </row>
    <row r="343" spans="2:8" x14ac:dyDescent="0.25">
      <c r="B343">
        <v>341</v>
      </c>
      <c r="C343" t="s">
        <v>778</v>
      </c>
      <c r="D343">
        <v>0</v>
      </c>
      <c r="E343" t="s">
        <v>21</v>
      </c>
      <c r="F343" s="121" t="s">
        <v>44</v>
      </c>
      <c r="G343" s="103" t="s">
        <v>22</v>
      </c>
      <c r="H343" s="103" t="s">
        <v>779</v>
      </c>
    </row>
    <row r="344" spans="2:8" x14ac:dyDescent="0.25">
      <c r="B344">
        <v>342</v>
      </c>
      <c r="C344" t="s">
        <v>780</v>
      </c>
      <c r="D344" t="s">
        <v>781</v>
      </c>
      <c r="E344" t="s">
        <v>9</v>
      </c>
      <c r="F344" s="121">
        <v>780</v>
      </c>
      <c r="G344" s="103" t="s">
        <v>720</v>
      </c>
      <c r="H344" s="103" t="s">
        <v>782</v>
      </c>
    </row>
    <row r="345" spans="2:8" x14ac:dyDescent="0.25">
      <c r="B345">
        <v>343</v>
      </c>
      <c r="C345" t="s">
        <v>783</v>
      </c>
      <c r="D345">
        <v>0</v>
      </c>
      <c r="E345" t="s">
        <v>9</v>
      </c>
      <c r="F345" s="121">
        <v>4825</v>
      </c>
      <c r="G345" s="103" t="s">
        <v>784</v>
      </c>
      <c r="H345" s="103" t="s">
        <v>785</v>
      </c>
    </row>
    <row r="346" spans="2:8" x14ac:dyDescent="0.25">
      <c r="B346">
        <v>344</v>
      </c>
      <c r="C346" t="s">
        <v>786</v>
      </c>
      <c r="D346">
        <v>0</v>
      </c>
    </row>
    <row r="347" spans="2:8" x14ac:dyDescent="0.25">
      <c r="B347">
        <v>345</v>
      </c>
      <c r="C347" t="s">
        <v>787</v>
      </c>
      <c r="D347">
        <v>0</v>
      </c>
      <c r="E347" t="s">
        <v>9</v>
      </c>
      <c r="F347" s="121">
        <v>780</v>
      </c>
      <c r="G347" s="103" t="s">
        <v>731</v>
      </c>
      <c r="H347" s="103" t="s">
        <v>788</v>
      </c>
    </row>
    <row r="348" spans="2:8" x14ac:dyDescent="0.25">
      <c r="B348">
        <v>346</v>
      </c>
      <c r="C348" t="s">
        <v>789</v>
      </c>
      <c r="D348">
        <v>0</v>
      </c>
      <c r="F348" s="121">
        <v>4825</v>
      </c>
      <c r="G348" s="103" t="s">
        <v>720</v>
      </c>
      <c r="H348" s="103" t="s">
        <v>790</v>
      </c>
    </row>
    <row r="349" spans="2:8" x14ac:dyDescent="0.25">
      <c r="B349">
        <v>347</v>
      </c>
      <c r="C349" t="s">
        <v>791</v>
      </c>
      <c r="D349">
        <v>0</v>
      </c>
      <c r="E349" t="s">
        <v>21</v>
      </c>
      <c r="F349" s="121" t="s">
        <v>774</v>
      </c>
      <c r="G349" s="103" t="s">
        <v>37</v>
      </c>
      <c r="H349" s="103" t="s">
        <v>792</v>
      </c>
    </row>
    <row r="350" spans="2:8" x14ac:dyDescent="0.25">
      <c r="B350">
        <v>348</v>
      </c>
      <c r="C350" t="s">
        <v>793</v>
      </c>
      <c r="D350">
        <v>0</v>
      </c>
      <c r="E350" t="s">
        <v>9</v>
      </c>
      <c r="F350" s="121">
        <v>4825</v>
      </c>
      <c r="G350" s="103" t="s">
        <v>720</v>
      </c>
      <c r="H350" s="103" t="s">
        <v>794</v>
      </c>
    </row>
    <row r="351" spans="2:8" ht="15.6" customHeight="1" x14ac:dyDescent="0.25">
      <c r="B351">
        <v>349</v>
      </c>
      <c r="C351" t="s">
        <v>795</v>
      </c>
      <c r="D351">
        <v>0</v>
      </c>
      <c r="E351" t="s">
        <v>9</v>
      </c>
      <c r="F351" s="121">
        <v>4825</v>
      </c>
      <c r="G351" s="103" t="s">
        <v>720</v>
      </c>
      <c r="H351" s="103" t="s">
        <v>796</v>
      </c>
    </row>
    <row r="352" spans="2:8" x14ac:dyDescent="0.25">
      <c r="B352">
        <v>350</v>
      </c>
      <c r="C352" t="s">
        <v>797</v>
      </c>
      <c r="D352">
        <v>0</v>
      </c>
    </row>
    <row r="353" spans="2:8" x14ac:dyDescent="0.25">
      <c r="B353">
        <v>351</v>
      </c>
      <c r="C353" t="s">
        <v>798</v>
      </c>
      <c r="D353">
        <v>0</v>
      </c>
      <c r="E353" t="s">
        <v>21</v>
      </c>
      <c r="F353" s="121" t="s">
        <v>431</v>
      </c>
      <c r="G353" s="103" t="s">
        <v>37</v>
      </c>
      <c r="H353" s="103" t="s">
        <v>799</v>
      </c>
    </row>
    <row r="354" spans="2:8" x14ac:dyDescent="0.25">
      <c r="B354">
        <v>352</v>
      </c>
      <c r="C354" t="s">
        <v>800</v>
      </c>
      <c r="D354">
        <v>0</v>
      </c>
      <c r="E354" t="s">
        <v>21</v>
      </c>
      <c r="F354" s="121" t="s">
        <v>44</v>
      </c>
      <c r="G354" s="103" t="s">
        <v>22</v>
      </c>
      <c r="H354" s="103" t="s">
        <v>801</v>
      </c>
    </row>
    <row r="355" spans="2:8" x14ac:dyDescent="0.25">
      <c r="B355">
        <v>353</v>
      </c>
      <c r="C355" t="s">
        <v>802</v>
      </c>
      <c r="D355">
        <v>0</v>
      </c>
      <c r="E355" t="s">
        <v>9</v>
      </c>
      <c r="F355" s="121">
        <v>4825</v>
      </c>
      <c r="G355" s="103" t="s">
        <v>720</v>
      </c>
      <c r="H355" s="103" t="s">
        <v>803</v>
      </c>
    </row>
    <row r="356" spans="2:8" x14ac:dyDescent="0.25">
      <c r="B356">
        <v>354</v>
      </c>
      <c r="C356" t="s">
        <v>804</v>
      </c>
      <c r="D356">
        <v>0</v>
      </c>
    </row>
    <row r="357" spans="2:8" x14ac:dyDescent="0.25">
      <c r="B357">
        <v>355</v>
      </c>
      <c r="C357" t="s">
        <v>805</v>
      </c>
      <c r="D357">
        <v>0</v>
      </c>
    </row>
    <row r="358" spans="2:8" x14ac:dyDescent="0.25">
      <c r="B358">
        <v>356</v>
      </c>
      <c r="C358" t="s">
        <v>806</v>
      </c>
      <c r="D358">
        <v>0</v>
      </c>
      <c r="E358" t="s">
        <v>9</v>
      </c>
      <c r="F358" s="121">
        <v>780</v>
      </c>
      <c r="G358" s="103" t="s">
        <v>731</v>
      </c>
      <c r="H358" s="103" t="s">
        <v>807</v>
      </c>
    </row>
    <row r="359" spans="2:8" x14ac:dyDescent="0.25">
      <c r="B359">
        <v>357</v>
      </c>
      <c r="C359" t="s">
        <v>808</v>
      </c>
      <c r="D359">
        <v>0</v>
      </c>
      <c r="E359" t="s">
        <v>9</v>
      </c>
      <c r="F359" s="121">
        <v>4825</v>
      </c>
      <c r="G359" s="103" t="s">
        <v>720</v>
      </c>
      <c r="H359" s="103" t="s">
        <v>809</v>
      </c>
    </row>
    <row r="360" spans="2:8" x14ac:dyDescent="0.25">
      <c r="B360">
        <v>358</v>
      </c>
      <c r="C360" t="s">
        <v>810</v>
      </c>
      <c r="D360">
        <v>0</v>
      </c>
    </row>
    <row r="361" spans="2:8" x14ac:dyDescent="0.25">
      <c r="B361">
        <v>359</v>
      </c>
      <c r="C361" t="s">
        <v>811</v>
      </c>
      <c r="D361">
        <v>0</v>
      </c>
      <c r="E361" t="s">
        <v>9</v>
      </c>
      <c r="F361" s="121">
        <v>566</v>
      </c>
      <c r="G361" s="103" t="s">
        <v>720</v>
      </c>
      <c r="H361" s="103" t="s">
        <v>812</v>
      </c>
    </row>
    <row r="362" spans="2:8" x14ac:dyDescent="0.25">
      <c r="B362">
        <v>360</v>
      </c>
      <c r="C362" t="s">
        <v>813</v>
      </c>
      <c r="D362">
        <v>0</v>
      </c>
      <c r="E362" t="s">
        <v>9</v>
      </c>
      <c r="F362" s="121">
        <v>4825</v>
      </c>
      <c r="G362" s="103" t="s">
        <v>720</v>
      </c>
      <c r="H362" s="103" t="s">
        <v>814</v>
      </c>
    </row>
    <row r="363" spans="2:8" x14ac:dyDescent="0.25">
      <c r="B363">
        <v>361</v>
      </c>
      <c r="C363" t="s">
        <v>815</v>
      </c>
      <c r="D363">
        <v>0</v>
      </c>
      <c r="E363" t="s">
        <v>9</v>
      </c>
      <c r="F363" s="121">
        <v>4825</v>
      </c>
      <c r="G363" s="103" t="s">
        <v>720</v>
      </c>
      <c r="H363" s="103" t="s">
        <v>816</v>
      </c>
    </row>
    <row r="364" spans="2:8" x14ac:dyDescent="0.25">
      <c r="B364">
        <v>362</v>
      </c>
      <c r="C364" t="s">
        <v>817</v>
      </c>
      <c r="D364">
        <v>0</v>
      </c>
      <c r="E364" t="s">
        <v>9</v>
      </c>
      <c r="F364" s="121">
        <v>949</v>
      </c>
      <c r="G364" s="103" t="s">
        <v>731</v>
      </c>
      <c r="H364" s="103" t="s">
        <v>818</v>
      </c>
    </row>
    <row r="365" spans="2:8" x14ac:dyDescent="0.25">
      <c r="B365">
        <v>363</v>
      </c>
      <c r="C365" t="s">
        <v>819</v>
      </c>
      <c r="D365">
        <v>0</v>
      </c>
      <c r="E365" t="s">
        <v>9</v>
      </c>
      <c r="F365" s="121">
        <v>949</v>
      </c>
      <c r="G365" s="103" t="s">
        <v>731</v>
      </c>
      <c r="H365" s="103" t="s">
        <v>820</v>
      </c>
    </row>
    <row r="366" spans="2:8" x14ac:dyDescent="0.25">
      <c r="B366">
        <v>364</v>
      </c>
      <c r="C366" t="s">
        <v>821</v>
      </c>
      <c r="D366">
        <v>0</v>
      </c>
      <c r="G366" s="103">
        <v>0</v>
      </c>
    </row>
    <row r="367" spans="2:8" x14ac:dyDescent="0.25">
      <c r="B367">
        <v>365</v>
      </c>
      <c r="C367" t="s">
        <v>822</v>
      </c>
      <c r="D367" t="s">
        <v>823</v>
      </c>
      <c r="E367" t="s">
        <v>9</v>
      </c>
      <c r="F367" s="121">
        <v>4818</v>
      </c>
      <c r="H367" s="103" t="s">
        <v>824</v>
      </c>
    </row>
    <row r="368" spans="2:8" x14ac:dyDescent="0.25">
      <c r="B368">
        <v>366</v>
      </c>
      <c r="C368" t="s">
        <v>825</v>
      </c>
      <c r="D368">
        <v>0</v>
      </c>
      <c r="E368" t="s">
        <v>9</v>
      </c>
      <c r="F368" s="121">
        <v>949</v>
      </c>
      <c r="G368" s="103" t="s">
        <v>731</v>
      </c>
      <c r="H368" s="103" t="s">
        <v>826</v>
      </c>
    </row>
    <row r="369" spans="2:8" x14ac:dyDescent="0.25">
      <c r="B369">
        <v>367</v>
      </c>
      <c r="C369" t="s">
        <v>827</v>
      </c>
      <c r="D369" t="s">
        <v>5025</v>
      </c>
      <c r="E369" t="s">
        <v>9</v>
      </c>
      <c r="F369" s="121">
        <v>4825</v>
      </c>
      <c r="H369" s="103" t="s">
        <v>5012</v>
      </c>
    </row>
    <row r="370" spans="2:8" x14ac:dyDescent="0.25">
      <c r="B370">
        <v>368</v>
      </c>
      <c r="C370" t="s">
        <v>828</v>
      </c>
      <c r="D370">
        <v>0</v>
      </c>
      <c r="E370" t="s">
        <v>51</v>
      </c>
      <c r="F370" s="121">
        <v>3025</v>
      </c>
      <c r="H370" s="103">
        <v>1019180</v>
      </c>
    </row>
    <row r="371" spans="2:8" x14ac:dyDescent="0.25">
      <c r="B371">
        <v>369</v>
      </c>
      <c r="C371" t="s">
        <v>829</v>
      </c>
      <c r="D371">
        <v>0</v>
      </c>
    </row>
    <row r="372" spans="2:8" x14ac:dyDescent="0.25">
      <c r="B372">
        <v>370</v>
      </c>
      <c r="C372" t="s">
        <v>830</v>
      </c>
      <c r="D372">
        <v>0</v>
      </c>
      <c r="E372" t="s">
        <v>9</v>
      </c>
      <c r="F372" s="121">
        <v>4818</v>
      </c>
      <c r="G372" s="103" t="s">
        <v>720</v>
      </c>
      <c r="H372" s="103" t="s">
        <v>831</v>
      </c>
    </row>
    <row r="373" spans="2:8" x14ac:dyDescent="0.25">
      <c r="B373">
        <v>371</v>
      </c>
      <c r="C373" t="s">
        <v>832</v>
      </c>
      <c r="D373">
        <v>0</v>
      </c>
    </row>
    <row r="374" spans="2:8" x14ac:dyDescent="0.25">
      <c r="B374">
        <v>372</v>
      </c>
      <c r="C374" t="s">
        <v>833</v>
      </c>
      <c r="D374">
        <v>0</v>
      </c>
      <c r="E374" t="s">
        <v>35</v>
      </c>
      <c r="F374" s="121" t="s">
        <v>36</v>
      </c>
      <c r="G374" s="103" t="s">
        <v>37</v>
      </c>
      <c r="H374" s="103" t="s">
        <v>834</v>
      </c>
    </row>
    <row r="375" spans="2:8" x14ac:dyDescent="0.25">
      <c r="B375">
        <v>373</v>
      </c>
      <c r="C375" t="s">
        <v>835</v>
      </c>
      <c r="D375">
        <v>0</v>
      </c>
      <c r="E375" t="s">
        <v>9</v>
      </c>
      <c r="F375" s="121">
        <v>3233</v>
      </c>
      <c r="G375" s="103" t="s">
        <v>731</v>
      </c>
      <c r="H375" s="103" t="s">
        <v>836</v>
      </c>
    </row>
    <row r="376" spans="2:8" x14ac:dyDescent="0.25">
      <c r="B376">
        <v>374</v>
      </c>
      <c r="C376" t="s">
        <v>181</v>
      </c>
      <c r="D376">
        <v>0</v>
      </c>
      <c r="E376" t="s">
        <v>35</v>
      </c>
      <c r="F376" s="121" t="s">
        <v>36</v>
      </c>
      <c r="G376" s="103" t="s">
        <v>37</v>
      </c>
      <c r="H376" s="103" t="s">
        <v>182</v>
      </c>
    </row>
    <row r="377" spans="2:8" x14ac:dyDescent="0.25">
      <c r="B377">
        <v>375</v>
      </c>
      <c r="C377" t="s">
        <v>837</v>
      </c>
      <c r="D377">
        <v>0</v>
      </c>
      <c r="E377" t="s">
        <v>35</v>
      </c>
      <c r="F377" s="121" t="s">
        <v>838</v>
      </c>
      <c r="G377" s="103" t="s">
        <v>37</v>
      </c>
      <c r="H377" s="103" t="s">
        <v>839</v>
      </c>
    </row>
    <row r="378" spans="2:8" x14ac:dyDescent="0.25">
      <c r="B378">
        <v>376</v>
      </c>
      <c r="C378" t="s">
        <v>840</v>
      </c>
      <c r="D378">
        <v>0</v>
      </c>
      <c r="E378" t="s">
        <v>9</v>
      </c>
      <c r="F378" s="121">
        <v>4818</v>
      </c>
      <c r="G378" s="103" t="s">
        <v>720</v>
      </c>
      <c r="H378" s="103" t="s">
        <v>841</v>
      </c>
    </row>
    <row r="379" spans="2:8" x14ac:dyDescent="0.25">
      <c r="B379">
        <v>377</v>
      </c>
      <c r="C379" t="s">
        <v>842</v>
      </c>
      <c r="D379">
        <v>0</v>
      </c>
      <c r="E379" t="s">
        <v>35</v>
      </c>
      <c r="F379" s="121" t="s">
        <v>36</v>
      </c>
      <c r="G379" s="103" t="s">
        <v>37</v>
      </c>
      <c r="H379" s="103" t="s">
        <v>843</v>
      </c>
    </row>
    <row r="380" spans="2:8" x14ac:dyDescent="0.25">
      <c r="B380">
        <v>378</v>
      </c>
      <c r="C380" t="s">
        <v>844</v>
      </c>
      <c r="D380">
        <v>0</v>
      </c>
      <c r="E380" t="s">
        <v>9</v>
      </c>
      <c r="F380" s="121">
        <v>949</v>
      </c>
      <c r="G380" s="103" t="s">
        <v>731</v>
      </c>
      <c r="H380" s="103" t="s">
        <v>845</v>
      </c>
    </row>
    <row r="381" spans="2:8" x14ac:dyDescent="0.25">
      <c r="B381">
        <v>379</v>
      </c>
      <c r="C381" t="s">
        <v>846</v>
      </c>
      <c r="D381">
        <v>0</v>
      </c>
      <c r="E381" t="s">
        <v>9</v>
      </c>
      <c r="F381" s="121">
        <v>949</v>
      </c>
      <c r="G381" s="103" t="s">
        <v>731</v>
      </c>
      <c r="H381" s="103" t="s">
        <v>847</v>
      </c>
    </row>
    <row r="382" spans="2:8" x14ac:dyDescent="0.25">
      <c r="B382">
        <v>380</v>
      </c>
      <c r="C382" t="s">
        <v>848</v>
      </c>
      <c r="D382">
        <v>0</v>
      </c>
      <c r="E382" t="s">
        <v>9</v>
      </c>
      <c r="F382" s="121">
        <v>3617</v>
      </c>
      <c r="G382" s="103" t="s">
        <v>720</v>
      </c>
      <c r="H382" s="103" t="s">
        <v>849</v>
      </c>
    </row>
    <row r="383" spans="2:8" x14ac:dyDescent="0.25">
      <c r="B383">
        <v>381</v>
      </c>
      <c r="C383" t="s">
        <v>850</v>
      </c>
      <c r="D383">
        <v>0</v>
      </c>
      <c r="E383" t="s">
        <v>9</v>
      </c>
      <c r="F383" s="121">
        <v>949</v>
      </c>
      <c r="G383" s="103" t="s">
        <v>720</v>
      </c>
      <c r="H383" s="103" t="s">
        <v>851</v>
      </c>
    </row>
    <row r="384" spans="2:8" x14ac:dyDescent="0.25">
      <c r="B384">
        <v>382</v>
      </c>
      <c r="C384" t="s">
        <v>852</v>
      </c>
      <c r="D384">
        <v>0</v>
      </c>
      <c r="E384" t="s">
        <v>35</v>
      </c>
      <c r="F384" s="121" t="s">
        <v>36</v>
      </c>
      <c r="G384" s="103" t="s">
        <v>37</v>
      </c>
      <c r="H384" s="103" t="s">
        <v>853</v>
      </c>
    </row>
    <row r="385" spans="2:8" x14ac:dyDescent="0.25">
      <c r="B385">
        <v>383</v>
      </c>
      <c r="C385" t="s">
        <v>854</v>
      </c>
      <c r="D385">
        <v>0</v>
      </c>
      <c r="E385" t="s">
        <v>9</v>
      </c>
      <c r="F385" s="121">
        <v>949</v>
      </c>
      <c r="G385" s="103" t="s">
        <v>731</v>
      </c>
      <c r="H385" s="103" t="s">
        <v>855</v>
      </c>
    </row>
    <row r="386" spans="2:8" x14ac:dyDescent="0.25">
      <c r="B386">
        <v>384</v>
      </c>
      <c r="C386" t="s">
        <v>856</v>
      </c>
      <c r="D386" t="s">
        <v>857</v>
      </c>
      <c r="E386" t="s">
        <v>9</v>
      </c>
      <c r="F386" s="121">
        <v>949</v>
      </c>
      <c r="G386" s="103" t="s">
        <v>720</v>
      </c>
      <c r="H386" s="103" t="s">
        <v>47</v>
      </c>
    </row>
    <row r="387" spans="2:8" x14ac:dyDescent="0.25">
      <c r="B387">
        <v>385</v>
      </c>
      <c r="C387" t="s">
        <v>858</v>
      </c>
      <c r="D387">
        <v>0</v>
      </c>
      <c r="E387" t="s">
        <v>9</v>
      </c>
      <c r="F387" s="121">
        <v>949</v>
      </c>
      <c r="G387" s="103" t="s">
        <v>731</v>
      </c>
      <c r="H387" s="103" t="s">
        <v>859</v>
      </c>
    </row>
    <row r="388" spans="2:8" x14ac:dyDescent="0.25">
      <c r="B388">
        <v>386</v>
      </c>
      <c r="C388" t="s">
        <v>860</v>
      </c>
      <c r="D388" t="s">
        <v>861</v>
      </c>
      <c r="E388" t="s">
        <v>9</v>
      </c>
      <c r="F388" s="121">
        <v>4818</v>
      </c>
      <c r="G388" s="103">
        <v>1288</v>
      </c>
      <c r="H388" s="103" t="s">
        <v>862</v>
      </c>
    </row>
    <row r="389" spans="2:8" x14ac:dyDescent="0.25">
      <c r="B389">
        <v>387</v>
      </c>
      <c r="C389" t="s">
        <v>863</v>
      </c>
      <c r="D389" t="s">
        <v>864</v>
      </c>
      <c r="E389" t="s">
        <v>9</v>
      </c>
      <c r="F389" s="121">
        <v>4818</v>
      </c>
      <c r="G389" s="103" t="s">
        <v>720</v>
      </c>
      <c r="H389" s="103" t="s">
        <v>865</v>
      </c>
    </row>
    <row r="390" spans="2:8" x14ac:dyDescent="0.25">
      <c r="B390">
        <v>388</v>
      </c>
      <c r="C390" t="s">
        <v>866</v>
      </c>
      <c r="D390">
        <v>0</v>
      </c>
      <c r="E390" t="s">
        <v>21</v>
      </c>
      <c r="F390" s="121" t="s">
        <v>264</v>
      </c>
      <c r="G390" s="103" t="s">
        <v>22</v>
      </c>
      <c r="H390" s="103" t="s">
        <v>867</v>
      </c>
    </row>
    <row r="391" spans="2:8" x14ac:dyDescent="0.25">
      <c r="B391">
        <v>389</v>
      </c>
      <c r="C391" t="s">
        <v>868</v>
      </c>
      <c r="D391">
        <v>0</v>
      </c>
      <c r="E391" t="s">
        <v>9</v>
      </c>
      <c r="F391" s="121">
        <v>4814</v>
      </c>
      <c r="G391" s="103" t="s">
        <v>720</v>
      </c>
      <c r="H391" s="103" t="s">
        <v>869</v>
      </c>
    </row>
    <row r="392" spans="2:8" x14ac:dyDescent="0.25">
      <c r="B392">
        <v>390</v>
      </c>
      <c r="C392" t="s">
        <v>870</v>
      </c>
      <c r="D392">
        <v>0</v>
      </c>
      <c r="E392" t="s">
        <v>35</v>
      </c>
      <c r="F392" s="121" t="s">
        <v>36</v>
      </c>
      <c r="G392" s="103" t="s">
        <v>37</v>
      </c>
      <c r="H392" s="103" t="s">
        <v>871</v>
      </c>
    </row>
    <row r="393" spans="2:8" x14ac:dyDescent="0.25">
      <c r="B393">
        <v>391</v>
      </c>
      <c r="C393" t="s">
        <v>872</v>
      </c>
      <c r="D393" t="s">
        <v>873</v>
      </c>
      <c r="E393" t="s">
        <v>9</v>
      </c>
      <c r="F393" s="121">
        <v>949</v>
      </c>
      <c r="G393" s="103" t="s">
        <v>720</v>
      </c>
      <c r="H393" s="103" t="s">
        <v>874</v>
      </c>
    </row>
    <row r="394" spans="2:8" x14ac:dyDescent="0.25">
      <c r="B394">
        <v>392</v>
      </c>
      <c r="C394" t="s">
        <v>875</v>
      </c>
      <c r="D394">
        <v>0</v>
      </c>
      <c r="E394" t="s">
        <v>9</v>
      </c>
      <c r="F394" s="121">
        <v>949</v>
      </c>
      <c r="G394" s="103" t="s">
        <v>720</v>
      </c>
      <c r="H394" s="103" t="s">
        <v>876</v>
      </c>
    </row>
    <row r="395" spans="2:8" x14ac:dyDescent="0.25">
      <c r="B395">
        <v>393</v>
      </c>
      <c r="C395" t="s">
        <v>877</v>
      </c>
      <c r="D395">
        <v>0</v>
      </c>
      <c r="E395" t="s">
        <v>9</v>
      </c>
      <c r="F395" s="121">
        <v>949</v>
      </c>
      <c r="G395" s="103" t="s">
        <v>731</v>
      </c>
      <c r="H395" s="103" t="s">
        <v>878</v>
      </c>
    </row>
    <row r="396" spans="2:8" x14ac:dyDescent="0.25">
      <c r="B396">
        <v>394</v>
      </c>
      <c r="C396" t="s">
        <v>879</v>
      </c>
      <c r="D396">
        <v>0</v>
      </c>
      <c r="E396" t="s">
        <v>9</v>
      </c>
      <c r="F396" s="121">
        <v>299</v>
      </c>
      <c r="G396" s="103" t="s">
        <v>720</v>
      </c>
      <c r="H396" s="103" t="s">
        <v>880</v>
      </c>
    </row>
    <row r="397" spans="2:8" x14ac:dyDescent="0.25">
      <c r="B397">
        <v>395</v>
      </c>
      <c r="C397" t="s">
        <v>881</v>
      </c>
      <c r="D397">
        <v>0</v>
      </c>
      <c r="E397" t="s">
        <v>35</v>
      </c>
      <c r="F397" s="121" t="s">
        <v>882</v>
      </c>
      <c r="G397" s="103" t="s">
        <v>37</v>
      </c>
      <c r="H397" s="103" t="s">
        <v>883</v>
      </c>
    </row>
    <row r="398" spans="2:8" x14ac:dyDescent="0.25">
      <c r="B398">
        <v>396</v>
      </c>
      <c r="C398" t="s">
        <v>884</v>
      </c>
      <c r="D398">
        <v>0</v>
      </c>
      <c r="E398" t="s">
        <v>9</v>
      </c>
      <c r="F398" s="121">
        <v>949</v>
      </c>
      <c r="G398" s="103" t="s">
        <v>731</v>
      </c>
      <c r="H398" s="103" t="s">
        <v>885</v>
      </c>
    </row>
    <row r="399" spans="2:8" x14ac:dyDescent="0.25">
      <c r="B399">
        <v>397</v>
      </c>
      <c r="C399" t="s">
        <v>886</v>
      </c>
      <c r="D399">
        <v>0</v>
      </c>
      <c r="E399" t="s">
        <v>9</v>
      </c>
      <c r="F399" s="121">
        <v>4818</v>
      </c>
      <c r="G399" s="103" t="s">
        <v>720</v>
      </c>
      <c r="H399" s="103" t="s">
        <v>887</v>
      </c>
    </row>
    <row r="400" spans="2:8" x14ac:dyDescent="0.25">
      <c r="B400">
        <v>398</v>
      </c>
      <c r="C400" t="s">
        <v>888</v>
      </c>
      <c r="D400">
        <v>0</v>
      </c>
      <c r="E400" t="s">
        <v>9</v>
      </c>
      <c r="F400" s="121">
        <v>4818</v>
      </c>
      <c r="G400" s="103" t="s">
        <v>720</v>
      </c>
      <c r="H400" s="103" t="s">
        <v>889</v>
      </c>
    </row>
    <row r="401" spans="2:8" x14ac:dyDescent="0.25">
      <c r="B401">
        <v>399</v>
      </c>
      <c r="C401" t="s">
        <v>890</v>
      </c>
      <c r="D401">
        <v>0</v>
      </c>
    </row>
    <row r="402" spans="2:8" x14ac:dyDescent="0.25">
      <c r="B402">
        <v>400</v>
      </c>
      <c r="C402" t="s">
        <v>891</v>
      </c>
      <c r="D402">
        <v>0</v>
      </c>
      <c r="E402" t="s">
        <v>9</v>
      </c>
      <c r="F402" s="121">
        <v>949</v>
      </c>
      <c r="G402" s="103" t="s">
        <v>731</v>
      </c>
      <c r="H402" s="103" t="s">
        <v>892</v>
      </c>
    </row>
    <row r="403" spans="2:8" x14ac:dyDescent="0.25">
      <c r="B403">
        <v>401</v>
      </c>
      <c r="C403" t="s">
        <v>893</v>
      </c>
      <c r="D403">
        <v>0</v>
      </c>
    </row>
    <row r="404" spans="2:8" x14ac:dyDescent="0.25">
      <c r="B404">
        <v>402</v>
      </c>
      <c r="C404" t="s">
        <v>894</v>
      </c>
      <c r="D404" t="s">
        <v>895</v>
      </c>
      <c r="E404" t="s">
        <v>9</v>
      </c>
      <c r="F404" s="121">
        <v>4825</v>
      </c>
      <c r="G404" s="103" t="s">
        <v>720</v>
      </c>
      <c r="H404" s="103" t="s">
        <v>896</v>
      </c>
    </row>
    <row r="405" spans="2:8" x14ac:dyDescent="0.25">
      <c r="B405">
        <v>403</v>
      </c>
      <c r="C405" t="s">
        <v>897</v>
      </c>
      <c r="D405">
        <v>0</v>
      </c>
      <c r="E405" t="s">
        <v>9</v>
      </c>
      <c r="F405" s="121">
        <v>949</v>
      </c>
      <c r="G405" s="103" t="s">
        <v>731</v>
      </c>
      <c r="H405" s="103" t="s">
        <v>898</v>
      </c>
    </row>
    <row r="406" spans="2:8" x14ac:dyDescent="0.25">
      <c r="B406">
        <v>404</v>
      </c>
      <c r="C406" t="s">
        <v>899</v>
      </c>
      <c r="D406">
        <v>0</v>
      </c>
      <c r="E406" t="s">
        <v>9</v>
      </c>
      <c r="F406" s="121">
        <v>949</v>
      </c>
      <c r="G406" s="103" t="s">
        <v>731</v>
      </c>
      <c r="H406" s="103" t="s">
        <v>900</v>
      </c>
    </row>
    <row r="407" spans="2:8" x14ac:dyDescent="0.25">
      <c r="B407">
        <v>405</v>
      </c>
      <c r="C407" t="s">
        <v>901</v>
      </c>
      <c r="D407">
        <v>0</v>
      </c>
      <c r="E407" t="s">
        <v>51</v>
      </c>
      <c r="F407" s="121">
        <v>1</v>
      </c>
      <c r="H407" s="103">
        <v>618540776</v>
      </c>
    </row>
    <row r="408" spans="2:8" x14ac:dyDescent="0.25">
      <c r="B408">
        <v>406</v>
      </c>
      <c r="C408" t="s">
        <v>902</v>
      </c>
      <c r="D408">
        <v>0</v>
      </c>
    </row>
    <row r="409" spans="2:8" x14ac:dyDescent="0.25">
      <c r="B409">
        <v>407</v>
      </c>
      <c r="C409" t="s">
        <v>903</v>
      </c>
      <c r="D409">
        <v>0</v>
      </c>
    </row>
    <row r="410" spans="2:8" x14ac:dyDescent="0.25">
      <c r="B410">
        <v>408</v>
      </c>
      <c r="C410" t="s">
        <v>904</v>
      </c>
      <c r="D410">
        <v>0</v>
      </c>
    </row>
    <row r="411" spans="2:8" x14ac:dyDescent="0.25">
      <c r="B411">
        <v>409</v>
      </c>
      <c r="C411" t="s">
        <v>905</v>
      </c>
      <c r="D411">
        <v>0</v>
      </c>
    </row>
    <row r="412" spans="2:8" x14ac:dyDescent="0.25">
      <c r="B412">
        <v>410</v>
      </c>
      <c r="C412" t="s">
        <v>906</v>
      </c>
      <c r="D412">
        <v>0</v>
      </c>
      <c r="E412" t="s">
        <v>9</v>
      </c>
      <c r="F412" s="121">
        <v>949</v>
      </c>
      <c r="G412" s="103" t="s">
        <v>731</v>
      </c>
      <c r="H412" s="103" t="s">
        <v>907</v>
      </c>
    </row>
    <row r="413" spans="2:8" x14ac:dyDescent="0.25">
      <c r="B413">
        <v>411</v>
      </c>
      <c r="C413" t="s">
        <v>908</v>
      </c>
      <c r="D413">
        <v>0</v>
      </c>
      <c r="E413" t="s">
        <v>9</v>
      </c>
      <c r="F413" s="121">
        <v>949</v>
      </c>
      <c r="G413" s="103" t="s">
        <v>720</v>
      </c>
      <c r="H413" s="103" t="s">
        <v>909</v>
      </c>
    </row>
    <row r="414" spans="2:8" x14ac:dyDescent="0.25">
      <c r="B414">
        <v>412</v>
      </c>
      <c r="C414" t="s">
        <v>910</v>
      </c>
      <c r="D414">
        <v>0</v>
      </c>
    </row>
    <row r="415" spans="2:8" x14ac:dyDescent="0.25">
      <c r="B415">
        <v>413</v>
      </c>
      <c r="C415" t="s">
        <v>911</v>
      </c>
      <c r="D415">
        <v>0</v>
      </c>
    </row>
    <row r="416" spans="2:8" x14ac:dyDescent="0.25">
      <c r="B416">
        <v>414</v>
      </c>
      <c r="C416" t="s">
        <v>912</v>
      </c>
      <c r="D416" t="s">
        <v>5223</v>
      </c>
      <c r="E416" t="s">
        <v>9</v>
      </c>
      <c r="F416" s="121">
        <v>4818</v>
      </c>
      <c r="H416" s="103" t="s">
        <v>5224</v>
      </c>
    </row>
    <row r="417" spans="2:8" x14ac:dyDescent="0.25">
      <c r="B417">
        <v>415</v>
      </c>
      <c r="C417" t="s">
        <v>913</v>
      </c>
      <c r="D417">
        <v>0</v>
      </c>
      <c r="E417" t="s">
        <v>9</v>
      </c>
      <c r="F417" s="121">
        <v>4818</v>
      </c>
      <c r="G417" s="103" t="s">
        <v>731</v>
      </c>
      <c r="H417" s="103" t="s">
        <v>914</v>
      </c>
    </row>
    <row r="418" spans="2:8" x14ac:dyDescent="0.25">
      <c r="B418">
        <v>416</v>
      </c>
      <c r="C418" t="s">
        <v>915</v>
      </c>
      <c r="D418">
        <v>0</v>
      </c>
      <c r="E418" t="s">
        <v>9</v>
      </c>
      <c r="F418" s="121">
        <v>4818</v>
      </c>
      <c r="G418" s="103">
        <v>1288</v>
      </c>
      <c r="H418" s="103" t="s">
        <v>916</v>
      </c>
    </row>
    <row r="419" spans="2:8" x14ac:dyDescent="0.25">
      <c r="B419">
        <v>417</v>
      </c>
      <c r="C419" t="s">
        <v>917</v>
      </c>
      <c r="D419" t="s">
        <v>918</v>
      </c>
      <c r="E419" t="s">
        <v>21</v>
      </c>
      <c r="F419" s="121" t="s">
        <v>264</v>
      </c>
      <c r="G419" s="103" t="s">
        <v>22</v>
      </c>
      <c r="H419" s="103" t="s">
        <v>919</v>
      </c>
    </row>
    <row r="420" spans="2:8" x14ac:dyDescent="0.25">
      <c r="B420">
        <v>418</v>
      </c>
      <c r="C420" t="s">
        <v>920</v>
      </c>
      <c r="D420">
        <v>0</v>
      </c>
    </row>
    <row r="421" spans="2:8" x14ac:dyDescent="0.25">
      <c r="B421">
        <v>419</v>
      </c>
      <c r="C421" t="s">
        <v>921</v>
      </c>
      <c r="D421" t="s">
        <v>922</v>
      </c>
      <c r="E421" t="s">
        <v>9</v>
      </c>
      <c r="F421" s="121">
        <v>780</v>
      </c>
      <c r="G421" s="103" t="s">
        <v>731</v>
      </c>
      <c r="H421" s="103" t="s">
        <v>923</v>
      </c>
    </row>
    <row r="422" spans="2:8" x14ac:dyDescent="0.25">
      <c r="B422">
        <v>420</v>
      </c>
      <c r="C422" t="s">
        <v>924</v>
      </c>
      <c r="D422">
        <v>0</v>
      </c>
      <c r="E422" t="s">
        <v>9</v>
      </c>
      <c r="F422" s="121">
        <v>780</v>
      </c>
      <c r="G422" s="103" t="s">
        <v>720</v>
      </c>
      <c r="H422" s="103" t="s">
        <v>925</v>
      </c>
    </row>
    <row r="423" spans="2:8" x14ac:dyDescent="0.25">
      <c r="B423">
        <v>421</v>
      </c>
      <c r="C423" t="s">
        <v>926</v>
      </c>
      <c r="D423">
        <v>0</v>
      </c>
    </row>
    <row r="424" spans="2:8" x14ac:dyDescent="0.25">
      <c r="B424">
        <v>422</v>
      </c>
      <c r="C424" t="s">
        <v>927</v>
      </c>
      <c r="D424">
        <v>0</v>
      </c>
      <c r="E424" t="s">
        <v>21</v>
      </c>
      <c r="F424" s="121" t="s">
        <v>44</v>
      </c>
      <c r="G424" s="103" t="s">
        <v>22</v>
      </c>
      <c r="H424" s="103" t="s">
        <v>928</v>
      </c>
    </row>
    <row r="425" spans="2:8" x14ac:dyDescent="0.25">
      <c r="B425">
        <v>423</v>
      </c>
      <c r="C425" t="s">
        <v>929</v>
      </c>
      <c r="D425">
        <v>0</v>
      </c>
      <c r="E425" t="s">
        <v>35</v>
      </c>
      <c r="F425" s="121" t="s">
        <v>930</v>
      </c>
      <c r="G425" s="103" t="s">
        <v>37</v>
      </c>
      <c r="H425" s="103" t="s">
        <v>931</v>
      </c>
    </row>
    <row r="426" spans="2:8" x14ac:dyDescent="0.25">
      <c r="B426">
        <v>424</v>
      </c>
      <c r="C426" t="s">
        <v>932</v>
      </c>
      <c r="D426">
        <v>0</v>
      </c>
      <c r="E426" t="s">
        <v>9</v>
      </c>
      <c r="F426" s="121">
        <v>949</v>
      </c>
      <c r="G426" s="123">
        <v>23</v>
      </c>
      <c r="H426" s="103" t="s">
        <v>933</v>
      </c>
    </row>
    <row r="427" spans="2:8" x14ac:dyDescent="0.25">
      <c r="B427">
        <v>425</v>
      </c>
      <c r="C427" t="s">
        <v>934</v>
      </c>
      <c r="D427">
        <v>0</v>
      </c>
      <c r="E427" t="s">
        <v>9</v>
      </c>
      <c r="F427" s="121">
        <v>949</v>
      </c>
      <c r="G427" s="123">
        <v>23</v>
      </c>
      <c r="H427" s="103" t="s">
        <v>935</v>
      </c>
    </row>
    <row r="428" spans="2:8" x14ac:dyDescent="0.25">
      <c r="B428">
        <v>426</v>
      </c>
      <c r="C428" t="s">
        <v>936</v>
      </c>
      <c r="D428">
        <v>0</v>
      </c>
      <c r="E428" t="s">
        <v>9</v>
      </c>
      <c r="F428" s="121">
        <v>4818</v>
      </c>
      <c r="G428" s="123">
        <v>13</v>
      </c>
      <c r="H428" s="103" t="s">
        <v>937</v>
      </c>
    </row>
    <row r="429" spans="2:8" x14ac:dyDescent="0.25">
      <c r="B429">
        <v>427</v>
      </c>
      <c r="C429" t="s">
        <v>938</v>
      </c>
      <c r="D429">
        <v>0</v>
      </c>
      <c r="E429" t="s">
        <v>9</v>
      </c>
      <c r="F429" s="121">
        <v>949</v>
      </c>
      <c r="G429" s="123">
        <v>23</v>
      </c>
      <c r="H429" s="103" t="s">
        <v>939</v>
      </c>
    </row>
    <row r="430" spans="2:8" x14ac:dyDescent="0.25">
      <c r="B430">
        <v>428</v>
      </c>
      <c r="C430" t="s">
        <v>940</v>
      </c>
      <c r="D430">
        <v>0</v>
      </c>
      <c r="E430" t="s">
        <v>9</v>
      </c>
      <c r="F430" s="121">
        <v>949</v>
      </c>
      <c r="G430" s="123">
        <v>13</v>
      </c>
      <c r="H430" s="103" t="s">
        <v>941</v>
      </c>
    </row>
    <row r="431" spans="2:8" x14ac:dyDescent="0.25">
      <c r="B431">
        <v>429</v>
      </c>
      <c r="C431" t="s">
        <v>485</v>
      </c>
      <c r="D431">
        <v>0</v>
      </c>
      <c r="E431" t="s">
        <v>9</v>
      </c>
      <c r="F431" s="121">
        <v>949</v>
      </c>
      <c r="G431" s="123">
        <v>23</v>
      </c>
      <c r="H431" s="103" t="s">
        <v>942</v>
      </c>
    </row>
    <row r="432" spans="2:8" x14ac:dyDescent="0.25">
      <c r="B432">
        <v>430</v>
      </c>
      <c r="C432" t="s">
        <v>943</v>
      </c>
      <c r="D432">
        <v>0</v>
      </c>
      <c r="E432" t="s">
        <v>35</v>
      </c>
      <c r="F432" s="121" t="s">
        <v>36</v>
      </c>
      <c r="G432" s="103" t="s">
        <v>37</v>
      </c>
      <c r="H432" s="103" t="s">
        <v>944</v>
      </c>
    </row>
    <row r="433" spans="2:8" x14ac:dyDescent="0.25">
      <c r="B433">
        <v>431</v>
      </c>
      <c r="C433" t="s">
        <v>945</v>
      </c>
      <c r="D433" t="s">
        <v>946</v>
      </c>
      <c r="E433" t="s">
        <v>9</v>
      </c>
      <c r="F433" s="121">
        <v>4818</v>
      </c>
      <c r="G433" s="123"/>
      <c r="H433" s="103" t="s">
        <v>947</v>
      </c>
    </row>
    <row r="434" spans="2:8" x14ac:dyDescent="0.25">
      <c r="B434">
        <v>432</v>
      </c>
      <c r="C434" t="s">
        <v>948</v>
      </c>
      <c r="D434">
        <v>0</v>
      </c>
      <c r="E434" t="s">
        <v>9</v>
      </c>
      <c r="F434" s="121">
        <v>4825</v>
      </c>
      <c r="G434" s="103" t="s">
        <v>720</v>
      </c>
      <c r="H434" s="103" t="s">
        <v>949</v>
      </c>
    </row>
    <row r="435" spans="2:8" x14ac:dyDescent="0.25">
      <c r="B435">
        <v>433</v>
      </c>
      <c r="C435" t="s">
        <v>950</v>
      </c>
      <c r="D435">
        <v>0</v>
      </c>
      <c r="E435" t="s">
        <v>9</v>
      </c>
      <c r="F435" s="121">
        <v>4825</v>
      </c>
      <c r="G435" s="103" t="s">
        <v>720</v>
      </c>
      <c r="H435" s="103" t="s">
        <v>951</v>
      </c>
    </row>
    <row r="436" spans="2:8" x14ac:dyDescent="0.25">
      <c r="B436">
        <v>434</v>
      </c>
      <c r="C436" t="s">
        <v>952</v>
      </c>
      <c r="D436">
        <v>0</v>
      </c>
      <c r="E436" t="s">
        <v>9</v>
      </c>
      <c r="F436" s="121">
        <v>4825</v>
      </c>
      <c r="G436" s="103" t="s">
        <v>720</v>
      </c>
      <c r="H436" s="103" t="s">
        <v>953</v>
      </c>
    </row>
    <row r="437" spans="2:8" x14ac:dyDescent="0.25">
      <c r="B437">
        <v>435</v>
      </c>
      <c r="C437" t="s">
        <v>954</v>
      </c>
      <c r="D437">
        <v>0</v>
      </c>
      <c r="E437" t="s">
        <v>9</v>
      </c>
      <c r="F437" s="121">
        <v>4825</v>
      </c>
      <c r="G437" s="103" t="s">
        <v>720</v>
      </c>
      <c r="H437" s="103" t="s">
        <v>955</v>
      </c>
    </row>
    <row r="438" spans="2:8" x14ac:dyDescent="0.25">
      <c r="B438">
        <v>436</v>
      </c>
      <c r="C438" t="s">
        <v>956</v>
      </c>
      <c r="D438" t="s">
        <v>957</v>
      </c>
      <c r="E438" t="s">
        <v>9</v>
      </c>
      <c r="F438" s="121">
        <v>949</v>
      </c>
      <c r="H438" s="103" t="s">
        <v>958</v>
      </c>
    </row>
    <row r="439" spans="2:8" x14ac:dyDescent="0.25">
      <c r="B439">
        <v>437</v>
      </c>
      <c r="C439" t="s">
        <v>959</v>
      </c>
      <c r="D439">
        <v>0</v>
      </c>
      <c r="E439" t="s">
        <v>9</v>
      </c>
      <c r="F439" s="121">
        <v>4825</v>
      </c>
      <c r="G439" s="103" t="s">
        <v>720</v>
      </c>
      <c r="H439" s="103" t="s">
        <v>960</v>
      </c>
    </row>
    <row r="440" spans="2:8" x14ac:dyDescent="0.25">
      <c r="B440">
        <v>438</v>
      </c>
      <c r="C440" t="s">
        <v>961</v>
      </c>
      <c r="D440">
        <v>0</v>
      </c>
      <c r="E440" t="s">
        <v>21</v>
      </c>
      <c r="F440" s="121" t="s">
        <v>44</v>
      </c>
      <c r="G440" s="103" t="s">
        <v>22</v>
      </c>
      <c r="H440" s="103" t="s">
        <v>962</v>
      </c>
    </row>
    <row r="441" spans="2:8" x14ac:dyDescent="0.25">
      <c r="B441">
        <v>439</v>
      </c>
      <c r="C441" t="s">
        <v>963</v>
      </c>
      <c r="D441">
        <v>0</v>
      </c>
      <c r="E441" t="s">
        <v>9</v>
      </c>
      <c r="F441" s="121">
        <v>780</v>
      </c>
      <c r="G441" s="103" t="s">
        <v>731</v>
      </c>
      <c r="H441" s="103" t="s">
        <v>964</v>
      </c>
    </row>
    <row r="442" spans="2:8" x14ac:dyDescent="0.25">
      <c r="B442">
        <v>440</v>
      </c>
      <c r="C442" t="s">
        <v>965</v>
      </c>
      <c r="D442">
        <v>0</v>
      </c>
      <c r="E442" t="s">
        <v>9</v>
      </c>
      <c r="F442" s="121">
        <v>4825</v>
      </c>
      <c r="G442" s="103" t="s">
        <v>720</v>
      </c>
      <c r="H442" s="103" t="s">
        <v>966</v>
      </c>
    </row>
    <row r="443" spans="2:8" x14ac:dyDescent="0.25">
      <c r="B443">
        <v>441</v>
      </c>
      <c r="C443" t="s">
        <v>967</v>
      </c>
      <c r="D443">
        <v>0</v>
      </c>
      <c r="E443" t="s">
        <v>9</v>
      </c>
      <c r="F443" s="121">
        <v>4825</v>
      </c>
      <c r="G443" s="103" t="s">
        <v>720</v>
      </c>
      <c r="H443" s="103" t="s">
        <v>968</v>
      </c>
    </row>
    <row r="444" spans="2:8" x14ac:dyDescent="0.25">
      <c r="B444">
        <v>442</v>
      </c>
      <c r="C444" t="s">
        <v>969</v>
      </c>
      <c r="D444">
        <v>0</v>
      </c>
      <c r="E444" t="s">
        <v>9</v>
      </c>
      <c r="F444" s="121">
        <v>4825</v>
      </c>
      <c r="G444" s="103" t="s">
        <v>720</v>
      </c>
      <c r="H444" s="103" t="s">
        <v>970</v>
      </c>
    </row>
    <row r="445" spans="2:8" x14ac:dyDescent="0.25">
      <c r="B445">
        <v>443</v>
      </c>
      <c r="C445" t="s">
        <v>971</v>
      </c>
      <c r="D445">
        <v>0</v>
      </c>
      <c r="E445" t="s">
        <v>9</v>
      </c>
      <c r="F445" s="121">
        <v>4825</v>
      </c>
      <c r="G445" s="103" t="s">
        <v>720</v>
      </c>
      <c r="H445" s="103" t="s">
        <v>972</v>
      </c>
    </row>
    <row r="446" spans="2:8" x14ac:dyDescent="0.25">
      <c r="B446">
        <v>444</v>
      </c>
      <c r="C446" t="s">
        <v>973</v>
      </c>
      <c r="D446">
        <v>0</v>
      </c>
      <c r="E446" t="s">
        <v>21</v>
      </c>
      <c r="F446" s="121" t="s">
        <v>44</v>
      </c>
      <c r="G446" s="103" t="s">
        <v>22</v>
      </c>
      <c r="H446" s="103" t="s">
        <v>974</v>
      </c>
    </row>
    <row r="447" spans="2:8" x14ac:dyDescent="0.25">
      <c r="B447">
        <v>445</v>
      </c>
      <c r="C447" t="s">
        <v>975</v>
      </c>
      <c r="D447">
        <v>0</v>
      </c>
      <c r="E447" t="s">
        <v>35</v>
      </c>
      <c r="F447" s="121" t="s">
        <v>36</v>
      </c>
      <c r="G447" s="103" t="s">
        <v>976</v>
      </c>
      <c r="H447" s="103" t="s">
        <v>977</v>
      </c>
    </row>
    <row r="448" spans="2:8" x14ac:dyDescent="0.25">
      <c r="B448">
        <v>446</v>
      </c>
      <c r="C448" t="s">
        <v>978</v>
      </c>
      <c r="D448">
        <v>0</v>
      </c>
      <c r="E448" t="s">
        <v>51</v>
      </c>
      <c r="F448" s="121">
        <v>3025</v>
      </c>
      <c r="H448" s="103" t="s">
        <v>979</v>
      </c>
    </row>
    <row r="449" spans="2:8" x14ac:dyDescent="0.25">
      <c r="B449">
        <v>447</v>
      </c>
      <c r="C449" t="s">
        <v>980</v>
      </c>
      <c r="D449">
        <v>0</v>
      </c>
      <c r="E449" t="s">
        <v>9</v>
      </c>
      <c r="F449" s="121">
        <v>4818</v>
      </c>
      <c r="G449" s="123">
        <v>13</v>
      </c>
      <c r="H449" s="103" t="s">
        <v>981</v>
      </c>
    </row>
    <row r="450" spans="2:8" x14ac:dyDescent="0.25">
      <c r="B450">
        <v>448</v>
      </c>
      <c r="C450" t="s">
        <v>982</v>
      </c>
      <c r="D450">
        <v>0</v>
      </c>
      <c r="E450" t="s">
        <v>9</v>
      </c>
      <c r="F450" s="121">
        <v>4825</v>
      </c>
      <c r="G450" s="123" t="s">
        <v>720</v>
      </c>
      <c r="H450" s="103" t="s">
        <v>983</v>
      </c>
    </row>
    <row r="451" spans="2:8" x14ac:dyDescent="0.25">
      <c r="B451">
        <v>449</v>
      </c>
      <c r="C451" t="s">
        <v>984</v>
      </c>
      <c r="D451">
        <v>0</v>
      </c>
      <c r="E451" t="s">
        <v>9</v>
      </c>
      <c r="F451" s="121">
        <v>4818</v>
      </c>
      <c r="G451" s="123">
        <v>13</v>
      </c>
      <c r="H451" s="103" t="s">
        <v>985</v>
      </c>
    </row>
    <row r="452" spans="2:8" x14ac:dyDescent="0.25">
      <c r="B452">
        <v>450</v>
      </c>
      <c r="C452" t="s">
        <v>986</v>
      </c>
      <c r="D452">
        <v>0</v>
      </c>
      <c r="E452" t="s">
        <v>9</v>
      </c>
      <c r="F452" s="121">
        <v>780</v>
      </c>
      <c r="G452" s="123" t="s">
        <v>720</v>
      </c>
      <c r="H452" s="103" t="s">
        <v>987</v>
      </c>
    </row>
    <row r="453" spans="2:8" x14ac:dyDescent="0.25">
      <c r="B453">
        <v>451</v>
      </c>
      <c r="C453" t="s">
        <v>988</v>
      </c>
      <c r="D453">
        <v>0</v>
      </c>
      <c r="E453" t="s">
        <v>9</v>
      </c>
      <c r="F453" s="121">
        <v>4825</v>
      </c>
      <c r="G453" s="123">
        <v>13</v>
      </c>
      <c r="H453" s="103" t="s">
        <v>989</v>
      </c>
    </row>
    <row r="454" spans="2:8" x14ac:dyDescent="0.25">
      <c r="B454">
        <v>452</v>
      </c>
      <c r="C454" t="s">
        <v>990</v>
      </c>
      <c r="D454">
        <v>0</v>
      </c>
      <c r="E454" t="s">
        <v>9</v>
      </c>
      <c r="F454" s="121">
        <v>4825</v>
      </c>
      <c r="G454" s="123" t="s">
        <v>720</v>
      </c>
      <c r="H454" s="103" t="s">
        <v>991</v>
      </c>
    </row>
    <row r="455" spans="2:8" x14ac:dyDescent="0.25">
      <c r="B455">
        <v>453</v>
      </c>
      <c r="C455" t="s">
        <v>992</v>
      </c>
      <c r="D455">
        <v>0</v>
      </c>
      <c r="E455" t="s">
        <v>9</v>
      </c>
      <c r="F455" s="121">
        <v>780</v>
      </c>
      <c r="G455" s="123" t="s">
        <v>720</v>
      </c>
      <c r="H455" s="103" t="s">
        <v>993</v>
      </c>
    </row>
    <row r="456" spans="2:8" x14ac:dyDescent="0.25">
      <c r="B456">
        <v>454</v>
      </c>
      <c r="C456" t="s">
        <v>994</v>
      </c>
      <c r="D456">
        <v>0</v>
      </c>
      <c r="E456" t="s">
        <v>9</v>
      </c>
      <c r="F456" s="121">
        <v>780</v>
      </c>
      <c r="G456" s="123" t="s">
        <v>720</v>
      </c>
      <c r="H456" s="103" t="s">
        <v>995</v>
      </c>
    </row>
    <row r="457" spans="2:8" x14ac:dyDescent="0.25">
      <c r="B457">
        <v>455</v>
      </c>
      <c r="C457" t="s">
        <v>996</v>
      </c>
      <c r="D457">
        <v>0</v>
      </c>
      <c r="E457" t="s">
        <v>9</v>
      </c>
      <c r="F457" s="121">
        <v>4825</v>
      </c>
      <c r="G457" s="123" t="s">
        <v>720</v>
      </c>
      <c r="H457" s="103" t="s">
        <v>997</v>
      </c>
    </row>
    <row r="458" spans="2:8" x14ac:dyDescent="0.25">
      <c r="B458">
        <v>456</v>
      </c>
      <c r="C458" t="s">
        <v>998</v>
      </c>
      <c r="D458">
        <v>0</v>
      </c>
      <c r="E458" t="s">
        <v>9</v>
      </c>
      <c r="F458" s="121">
        <v>4825</v>
      </c>
      <c r="G458" s="123" t="s">
        <v>720</v>
      </c>
      <c r="H458" s="103" t="s">
        <v>999</v>
      </c>
    </row>
    <row r="459" spans="2:8" x14ac:dyDescent="0.25">
      <c r="B459">
        <v>457</v>
      </c>
      <c r="C459" t="s">
        <v>1000</v>
      </c>
      <c r="D459">
        <v>0</v>
      </c>
      <c r="E459" t="s">
        <v>9</v>
      </c>
      <c r="F459" s="121">
        <v>4825</v>
      </c>
      <c r="G459" s="123" t="s">
        <v>720</v>
      </c>
      <c r="H459" s="103" t="s">
        <v>1001</v>
      </c>
    </row>
    <row r="460" spans="2:8" x14ac:dyDescent="0.25">
      <c r="B460">
        <v>458</v>
      </c>
      <c r="C460" t="s">
        <v>1002</v>
      </c>
      <c r="D460">
        <v>0</v>
      </c>
      <c r="E460" t="s">
        <v>9</v>
      </c>
      <c r="F460" s="121">
        <v>949</v>
      </c>
      <c r="G460" s="123">
        <v>13</v>
      </c>
      <c r="H460" s="103" t="s">
        <v>1003</v>
      </c>
    </row>
    <row r="461" spans="2:8" x14ac:dyDescent="0.25">
      <c r="B461">
        <v>459</v>
      </c>
      <c r="C461" t="s">
        <v>1004</v>
      </c>
      <c r="D461">
        <v>0</v>
      </c>
      <c r="E461" t="s">
        <v>9</v>
      </c>
      <c r="F461" s="121">
        <v>4825</v>
      </c>
      <c r="G461" s="123" t="s">
        <v>731</v>
      </c>
      <c r="H461" s="103" t="s">
        <v>1005</v>
      </c>
    </row>
    <row r="462" spans="2:8" x14ac:dyDescent="0.25">
      <c r="B462">
        <v>460</v>
      </c>
      <c r="C462" t="s">
        <v>1006</v>
      </c>
      <c r="D462">
        <v>0</v>
      </c>
      <c r="E462" t="s">
        <v>9</v>
      </c>
      <c r="F462" s="121">
        <v>4825</v>
      </c>
      <c r="G462" s="123" t="s">
        <v>720</v>
      </c>
      <c r="H462" s="103" t="s">
        <v>1007</v>
      </c>
    </row>
    <row r="463" spans="2:8" x14ac:dyDescent="0.25">
      <c r="B463">
        <v>461</v>
      </c>
      <c r="C463" t="s">
        <v>1008</v>
      </c>
      <c r="D463">
        <v>0</v>
      </c>
      <c r="E463" t="s">
        <v>9</v>
      </c>
      <c r="F463" s="121">
        <v>4825</v>
      </c>
      <c r="G463" s="103" t="s">
        <v>784</v>
      </c>
      <c r="H463" s="103" t="s">
        <v>1009</v>
      </c>
    </row>
    <row r="464" spans="2:8" x14ac:dyDescent="0.25">
      <c r="B464">
        <v>462</v>
      </c>
      <c r="C464" t="s">
        <v>1010</v>
      </c>
      <c r="D464">
        <v>0</v>
      </c>
      <c r="E464" t="s">
        <v>9</v>
      </c>
      <c r="F464" s="121">
        <v>1340</v>
      </c>
      <c r="G464" s="103" t="s">
        <v>720</v>
      </c>
      <c r="H464" s="103" t="s">
        <v>1011</v>
      </c>
    </row>
    <row r="465" spans="2:8" x14ac:dyDescent="0.25">
      <c r="B465">
        <v>463</v>
      </c>
      <c r="C465" t="s">
        <v>1012</v>
      </c>
      <c r="D465">
        <v>0</v>
      </c>
      <c r="E465" t="s">
        <v>9</v>
      </c>
      <c r="F465" s="121">
        <v>4825</v>
      </c>
      <c r="G465" s="103" t="s">
        <v>720</v>
      </c>
      <c r="H465" s="103" t="s">
        <v>1013</v>
      </c>
    </row>
    <row r="466" spans="2:8" x14ac:dyDescent="0.25">
      <c r="B466">
        <v>464</v>
      </c>
      <c r="C466" t="s">
        <v>1014</v>
      </c>
      <c r="D466">
        <v>0</v>
      </c>
      <c r="E466" t="s">
        <v>9</v>
      </c>
      <c r="F466" s="121">
        <v>4825</v>
      </c>
      <c r="G466" s="103" t="s">
        <v>720</v>
      </c>
      <c r="H466" s="103" t="s">
        <v>1015</v>
      </c>
    </row>
    <row r="467" spans="2:8" x14ac:dyDescent="0.25">
      <c r="B467">
        <v>465</v>
      </c>
      <c r="C467" t="s">
        <v>1016</v>
      </c>
      <c r="D467">
        <v>0</v>
      </c>
      <c r="E467" t="s">
        <v>9</v>
      </c>
      <c r="F467" s="121">
        <v>4825</v>
      </c>
      <c r="G467" s="103" t="s">
        <v>720</v>
      </c>
      <c r="H467" s="103" t="s">
        <v>1017</v>
      </c>
    </row>
    <row r="468" spans="2:8" x14ac:dyDescent="0.25">
      <c r="B468">
        <v>466</v>
      </c>
      <c r="C468" t="s">
        <v>1018</v>
      </c>
      <c r="D468">
        <v>0</v>
      </c>
      <c r="E468" t="s">
        <v>9</v>
      </c>
      <c r="H468" s="103" t="s">
        <v>1019</v>
      </c>
    </row>
    <row r="469" spans="2:8" x14ac:dyDescent="0.25">
      <c r="B469">
        <v>467</v>
      </c>
      <c r="C469" t="s">
        <v>1020</v>
      </c>
      <c r="D469">
        <v>0</v>
      </c>
      <c r="E469" t="s">
        <v>9</v>
      </c>
      <c r="F469" s="121">
        <v>4825</v>
      </c>
      <c r="G469" s="103" t="s">
        <v>720</v>
      </c>
      <c r="H469" s="103" t="s">
        <v>1021</v>
      </c>
    </row>
    <row r="470" spans="2:8" x14ac:dyDescent="0.25">
      <c r="B470">
        <v>468</v>
      </c>
      <c r="C470" t="s">
        <v>1022</v>
      </c>
      <c r="D470" t="s">
        <v>1023</v>
      </c>
      <c r="E470" t="s">
        <v>9</v>
      </c>
      <c r="F470" s="121">
        <v>4825</v>
      </c>
      <c r="G470" s="103" t="s">
        <v>720</v>
      </c>
      <c r="H470" s="103" t="s">
        <v>1024</v>
      </c>
    </row>
    <row r="471" spans="2:8" x14ac:dyDescent="0.25">
      <c r="B471">
        <v>469</v>
      </c>
      <c r="C471" t="s">
        <v>1025</v>
      </c>
      <c r="D471">
        <v>0</v>
      </c>
      <c r="E471" t="s">
        <v>9</v>
      </c>
      <c r="F471" s="121">
        <v>4825</v>
      </c>
      <c r="G471" s="103" t="s">
        <v>720</v>
      </c>
      <c r="H471" s="103" t="s">
        <v>1026</v>
      </c>
    </row>
    <row r="472" spans="2:8" x14ac:dyDescent="0.25">
      <c r="B472">
        <v>470</v>
      </c>
      <c r="C472" t="s">
        <v>1027</v>
      </c>
      <c r="D472">
        <v>0</v>
      </c>
      <c r="E472" t="s">
        <v>21</v>
      </c>
      <c r="F472" s="121" t="s">
        <v>44</v>
      </c>
      <c r="G472" s="103" t="s">
        <v>37</v>
      </c>
      <c r="H472" s="103" t="s">
        <v>1028</v>
      </c>
    </row>
    <row r="473" spans="2:8" x14ac:dyDescent="0.25">
      <c r="B473">
        <v>471</v>
      </c>
      <c r="C473" t="s">
        <v>1029</v>
      </c>
      <c r="D473">
        <v>0</v>
      </c>
      <c r="E473" t="s">
        <v>9</v>
      </c>
      <c r="F473" s="121">
        <v>4825</v>
      </c>
      <c r="G473" s="103" t="s">
        <v>720</v>
      </c>
      <c r="H473" s="103" t="s">
        <v>1030</v>
      </c>
    </row>
    <row r="474" spans="2:8" x14ac:dyDescent="0.25">
      <c r="B474">
        <v>472</v>
      </c>
      <c r="C474" t="s">
        <v>1031</v>
      </c>
      <c r="D474">
        <v>0</v>
      </c>
      <c r="E474" t="s">
        <v>9</v>
      </c>
      <c r="F474" s="121">
        <v>780</v>
      </c>
      <c r="G474" s="103" t="s">
        <v>731</v>
      </c>
      <c r="H474" s="103" t="s">
        <v>1032</v>
      </c>
    </row>
    <row r="475" spans="2:8" x14ac:dyDescent="0.25">
      <c r="B475">
        <v>473</v>
      </c>
      <c r="C475" t="s">
        <v>1033</v>
      </c>
      <c r="D475">
        <v>0</v>
      </c>
      <c r="E475" t="s">
        <v>9</v>
      </c>
      <c r="F475" s="121">
        <v>4825</v>
      </c>
      <c r="G475" s="103" t="s">
        <v>720</v>
      </c>
      <c r="H475" s="103" t="s">
        <v>1034</v>
      </c>
    </row>
    <row r="476" spans="2:8" x14ac:dyDescent="0.25">
      <c r="B476">
        <v>474</v>
      </c>
      <c r="C476" t="s">
        <v>1035</v>
      </c>
      <c r="D476">
        <v>0</v>
      </c>
      <c r="E476" t="s">
        <v>9</v>
      </c>
      <c r="F476" s="121">
        <v>780</v>
      </c>
      <c r="G476" s="123">
        <v>13</v>
      </c>
      <c r="H476" s="103" t="s">
        <v>1036</v>
      </c>
    </row>
    <row r="477" spans="2:8" x14ac:dyDescent="0.25">
      <c r="B477">
        <v>475</v>
      </c>
      <c r="C477" t="s">
        <v>1037</v>
      </c>
      <c r="D477">
        <v>0</v>
      </c>
      <c r="E477" t="s">
        <v>9</v>
      </c>
      <c r="F477" s="121">
        <v>780</v>
      </c>
      <c r="G477" s="123">
        <v>23</v>
      </c>
      <c r="H477" s="103" t="s">
        <v>1038</v>
      </c>
    </row>
    <row r="478" spans="2:8" x14ac:dyDescent="0.25">
      <c r="B478">
        <v>476</v>
      </c>
      <c r="C478" t="s">
        <v>1039</v>
      </c>
      <c r="D478">
        <v>0</v>
      </c>
      <c r="E478" t="s">
        <v>9</v>
      </c>
      <c r="F478" s="121">
        <v>780</v>
      </c>
      <c r="G478" s="123" t="s">
        <v>731</v>
      </c>
      <c r="H478" s="103" t="s">
        <v>1040</v>
      </c>
    </row>
    <row r="479" spans="2:8" x14ac:dyDescent="0.25">
      <c r="B479">
        <v>477</v>
      </c>
      <c r="C479" t="s">
        <v>1041</v>
      </c>
      <c r="D479">
        <v>0</v>
      </c>
      <c r="E479" t="s">
        <v>9</v>
      </c>
      <c r="F479" s="121">
        <v>780</v>
      </c>
      <c r="G479" s="123">
        <v>23</v>
      </c>
      <c r="H479" s="103" t="s">
        <v>1042</v>
      </c>
    </row>
    <row r="480" spans="2:8" x14ac:dyDescent="0.25">
      <c r="B480">
        <v>478</v>
      </c>
      <c r="C480" t="s">
        <v>1043</v>
      </c>
      <c r="D480">
        <v>0</v>
      </c>
      <c r="E480" t="s">
        <v>9</v>
      </c>
      <c r="F480" s="121">
        <v>4818</v>
      </c>
      <c r="G480" s="123">
        <v>13</v>
      </c>
      <c r="H480" s="103" t="s">
        <v>1044</v>
      </c>
    </row>
    <row r="481" spans="2:8" x14ac:dyDescent="0.25">
      <c r="B481">
        <v>479</v>
      </c>
      <c r="C481" t="s">
        <v>1045</v>
      </c>
      <c r="D481">
        <v>0</v>
      </c>
      <c r="E481" t="s">
        <v>9</v>
      </c>
      <c r="F481" s="121">
        <v>949</v>
      </c>
      <c r="G481" s="123">
        <v>23</v>
      </c>
      <c r="H481" s="103" t="s">
        <v>1046</v>
      </c>
    </row>
    <row r="482" spans="2:8" x14ac:dyDescent="0.25">
      <c r="B482">
        <v>480</v>
      </c>
      <c r="C482" t="s">
        <v>1047</v>
      </c>
      <c r="D482">
        <v>0</v>
      </c>
      <c r="E482" t="s">
        <v>21</v>
      </c>
      <c r="F482" s="121" t="s">
        <v>264</v>
      </c>
      <c r="G482" s="103" t="s">
        <v>37</v>
      </c>
      <c r="H482" s="103" t="s">
        <v>1048</v>
      </c>
    </row>
    <row r="483" spans="2:8" x14ac:dyDescent="0.25">
      <c r="B483">
        <v>481</v>
      </c>
      <c r="C483" t="s">
        <v>1049</v>
      </c>
      <c r="D483">
        <v>0</v>
      </c>
      <c r="E483" t="s">
        <v>35</v>
      </c>
      <c r="F483" s="121" t="s">
        <v>36</v>
      </c>
      <c r="G483" s="103" t="s">
        <v>37</v>
      </c>
      <c r="H483" s="103" t="s">
        <v>1050</v>
      </c>
    </row>
    <row r="484" spans="2:8" x14ac:dyDescent="0.25">
      <c r="B484">
        <v>482</v>
      </c>
      <c r="C484" t="s">
        <v>1051</v>
      </c>
      <c r="D484" t="s">
        <v>1052</v>
      </c>
      <c r="E484" t="s">
        <v>9</v>
      </c>
      <c r="F484" s="121">
        <v>949</v>
      </c>
      <c r="G484" s="123">
        <v>13</v>
      </c>
      <c r="H484" s="103" t="s">
        <v>1053</v>
      </c>
    </row>
    <row r="485" spans="2:8" x14ac:dyDescent="0.25">
      <c r="B485">
        <v>483</v>
      </c>
      <c r="C485" t="s">
        <v>1054</v>
      </c>
      <c r="D485">
        <v>0</v>
      </c>
      <c r="E485" t="s">
        <v>35</v>
      </c>
      <c r="F485" s="121" t="s">
        <v>36</v>
      </c>
      <c r="G485" s="123" t="s">
        <v>37</v>
      </c>
      <c r="H485" s="103" t="s">
        <v>1055</v>
      </c>
    </row>
    <row r="486" spans="2:8" x14ac:dyDescent="0.25">
      <c r="B486">
        <v>484</v>
      </c>
      <c r="C486" t="s">
        <v>1056</v>
      </c>
      <c r="D486">
        <v>0</v>
      </c>
      <c r="E486" t="s">
        <v>9</v>
      </c>
      <c r="F486" s="121">
        <v>949</v>
      </c>
      <c r="G486" s="123">
        <v>23</v>
      </c>
      <c r="H486" s="103" t="s">
        <v>1057</v>
      </c>
    </row>
    <row r="487" spans="2:8" x14ac:dyDescent="0.25">
      <c r="B487">
        <v>485</v>
      </c>
      <c r="C487" t="s">
        <v>1058</v>
      </c>
      <c r="D487">
        <v>0</v>
      </c>
      <c r="E487" t="s">
        <v>9</v>
      </c>
      <c r="F487" s="121">
        <v>949</v>
      </c>
      <c r="G487" s="123">
        <v>23</v>
      </c>
      <c r="H487" s="103" t="s">
        <v>1059</v>
      </c>
    </row>
    <row r="488" spans="2:8" x14ac:dyDescent="0.25">
      <c r="B488">
        <v>486</v>
      </c>
      <c r="C488" t="s">
        <v>269</v>
      </c>
      <c r="D488" t="s">
        <v>270</v>
      </c>
      <c r="E488" t="s">
        <v>35</v>
      </c>
      <c r="F488" s="121" t="s">
        <v>36</v>
      </c>
      <c r="G488" s="123" t="s">
        <v>37</v>
      </c>
      <c r="H488" s="103" t="s">
        <v>271</v>
      </c>
    </row>
    <row r="489" spans="2:8" x14ac:dyDescent="0.25">
      <c r="B489">
        <v>487</v>
      </c>
      <c r="C489" t="s">
        <v>1060</v>
      </c>
      <c r="D489">
        <v>0</v>
      </c>
      <c r="E489" t="s">
        <v>9</v>
      </c>
      <c r="F489" s="121">
        <v>4825</v>
      </c>
      <c r="G489" s="123">
        <v>13</v>
      </c>
      <c r="H489" s="103" t="s">
        <v>1061</v>
      </c>
    </row>
    <row r="490" spans="2:8" x14ac:dyDescent="0.25">
      <c r="B490">
        <v>488</v>
      </c>
      <c r="C490" t="s">
        <v>1062</v>
      </c>
      <c r="D490">
        <v>0</v>
      </c>
      <c r="E490" t="s">
        <v>9</v>
      </c>
      <c r="F490" s="121">
        <v>949</v>
      </c>
      <c r="G490" s="123">
        <v>23</v>
      </c>
      <c r="H490" s="103" t="s">
        <v>1063</v>
      </c>
    </row>
    <row r="491" spans="2:8" x14ac:dyDescent="0.25">
      <c r="B491">
        <v>489</v>
      </c>
      <c r="C491" t="s">
        <v>1064</v>
      </c>
      <c r="D491" t="s">
        <v>1065</v>
      </c>
      <c r="E491" t="s">
        <v>9</v>
      </c>
      <c r="F491" s="121">
        <v>780</v>
      </c>
      <c r="G491" s="123">
        <v>13</v>
      </c>
      <c r="H491" s="103" t="s">
        <v>1066</v>
      </c>
    </row>
    <row r="492" spans="2:8" x14ac:dyDescent="0.25">
      <c r="B492">
        <v>490</v>
      </c>
      <c r="C492" t="s">
        <v>1067</v>
      </c>
      <c r="D492">
        <v>0</v>
      </c>
      <c r="E492" t="s">
        <v>21</v>
      </c>
      <c r="F492" s="121" t="s">
        <v>264</v>
      </c>
      <c r="G492" s="123" t="s">
        <v>22</v>
      </c>
      <c r="H492" s="103" t="s">
        <v>1068</v>
      </c>
    </row>
    <row r="493" spans="2:8" x14ac:dyDescent="0.25">
      <c r="B493">
        <v>491</v>
      </c>
      <c r="C493" t="s">
        <v>1069</v>
      </c>
      <c r="D493">
        <v>0</v>
      </c>
      <c r="E493" t="s">
        <v>9</v>
      </c>
      <c r="F493" s="121">
        <v>4818</v>
      </c>
      <c r="G493" s="123">
        <v>13</v>
      </c>
      <c r="H493" s="103" t="s">
        <v>1070</v>
      </c>
    </row>
    <row r="494" spans="2:8" x14ac:dyDescent="0.25">
      <c r="B494">
        <v>492</v>
      </c>
      <c r="C494" t="s">
        <v>1071</v>
      </c>
      <c r="D494">
        <v>0</v>
      </c>
      <c r="E494" t="s">
        <v>9</v>
      </c>
      <c r="F494" s="121">
        <v>4818</v>
      </c>
      <c r="G494" s="123">
        <v>13</v>
      </c>
      <c r="H494" s="103" t="s">
        <v>1072</v>
      </c>
    </row>
    <row r="495" spans="2:8" x14ac:dyDescent="0.25">
      <c r="B495">
        <v>493</v>
      </c>
      <c r="C495" t="s">
        <v>195</v>
      </c>
      <c r="D495" t="s">
        <v>196</v>
      </c>
      <c r="E495" t="s">
        <v>9</v>
      </c>
      <c r="F495" s="121">
        <v>4825</v>
      </c>
      <c r="G495" s="123">
        <v>13</v>
      </c>
      <c r="H495" s="103" t="s">
        <v>197</v>
      </c>
    </row>
    <row r="496" spans="2:8" x14ac:dyDescent="0.25">
      <c r="B496">
        <v>494</v>
      </c>
      <c r="C496" t="s">
        <v>1073</v>
      </c>
      <c r="D496">
        <v>0</v>
      </c>
      <c r="E496" t="s">
        <v>35</v>
      </c>
      <c r="F496" s="121" t="s">
        <v>36</v>
      </c>
      <c r="G496" s="123" t="s">
        <v>37</v>
      </c>
      <c r="H496" s="103" t="s">
        <v>1074</v>
      </c>
    </row>
    <row r="497" spans="2:8" x14ac:dyDescent="0.25">
      <c r="B497">
        <v>495</v>
      </c>
      <c r="C497" t="s">
        <v>1075</v>
      </c>
      <c r="D497">
        <v>0</v>
      </c>
      <c r="E497" t="s">
        <v>9</v>
      </c>
      <c r="F497" s="121">
        <v>949</v>
      </c>
      <c r="G497" s="123">
        <v>23</v>
      </c>
      <c r="H497" s="103" t="s">
        <v>1076</v>
      </c>
    </row>
    <row r="498" spans="2:8" x14ac:dyDescent="0.25">
      <c r="B498">
        <v>496</v>
      </c>
      <c r="C498" t="s">
        <v>1077</v>
      </c>
      <c r="D498">
        <v>0</v>
      </c>
      <c r="E498" t="s">
        <v>35</v>
      </c>
      <c r="F498" s="121" t="s">
        <v>36</v>
      </c>
      <c r="G498" s="123" t="s">
        <v>37</v>
      </c>
      <c r="H498" s="103" t="s">
        <v>1078</v>
      </c>
    </row>
    <row r="499" spans="2:8" x14ac:dyDescent="0.25">
      <c r="B499">
        <v>497</v>
      </c>
      <c r="C499" t="s">
        <v>940</v>
      </c>
      <c r="D499">
        <v>0</v>
      </c>
      <c r="E499" t="s">
        <v>9</v>
      </c>
      <c r="F499" s="121">
        <v>949</v>
      </c>
      <c r="G499" s="123">
        <v>13</v>
      </c>
      <c r="H499" s="103" t="s">
        <v>941</v>
      </c>
    </row>
    <row r="500" spans="2:8" x14ac:dyDescent="0.25">
      <c r="B500">
        <v>498</v>
      </c>
      <c r="C500" t="s">
        <v>1079</v>
      </c>
      <c r="D500">
        <v>0</v>
      </c>
      <c r="E500" t="s">
        <v>9</v>
      </c>
      <c r="F500" s="121">
        <v>3419</v>
      </c>
      <c r="G500" s="123">
        <v>13</v>
      </c>
      <c r="H500" s="103" t="s">
        <v>1080</v>
      </c>
    </row>
    <row r="501" spans="2:8" x14ac:dyDescent="0.25">
      <c r="B501">
        <v>499</v>
      </c>
      <c r="C501" t="s">
        <v>915</v>
      </c>
      <c r="D501">
        <v>0</v>
      </c>
      <c r="E501" t="s">
        <v>9</v>
      </c>
      <c r="F501" s="121">
        <v>4818</v>
      </c>
      <c r="G501" s="123">
        <v>13</v>
      </c>
      <c r="H501" s="103" t="s">
        <v>1081</v>
      </c>
    </row>
    <row r="502" spans="2:8" x14ac:dyDescent="0.25">
      <c r="B502">
        <v>500</v>
      </c>
      <c r="C502" t="s">
        <v>1082</v>
      </c>
      <c r="D502">
        <v>0</v>
      </c>
      <c r="E502" t="s">
        <v>51</v>
      </c>
      <c r="F502" s="121">
        <v>3025</v>
      </c>
      <c r="G502" s="123"/>
      <c r="H502" s="103">
        <v>1019880</v>
      </c>
    </row>
    <row r="503" spans="2:8" x14ac:dyDescent="0.25">
      <c r="B503">
        <v>501</v>
      </c>
      <c r="C503" t="s">
        <v>1083</v>
      </c>
      <c r="D503">
        <v>0</v>
      </c>
      <c r="E503" t="s">
        <v>9</v>
      </c>
      <c r="F503" s="121">
        <v>4818</v>
      </c>
      <c r="G503" s="123">
        <v>13</v>
      </c>
      <c r="H503" s="103" t="s">
        <v>865</v>
      </c>
    </row>
    <row r="504" spans="2:8" x14ac:dyDescent="0.25">
      <c r="B504">
        <v>502</v>
      </c>
      <c r="C504" t="s">
        <v>1084</v>
      </c>
      <c r="D504">
        <v>0</v>
      </c>
      <c r="E504" t="s">
        <v>9</v>
      </c>
      <c r="F504" s="121">
        <v>4818</v>
      </c>
      <c r="G504" s="123">
        <v>13</v>
      </c>
      <c r="H504" s="103" t="s">
        <v>1085</v>
      </c>
    </row>
    <row r="505" spans="2:8" x14ac:dyDescent="0.25">
      <c r="B505">
        <v>503</v>
      </c>
      <c r="C505" t="s">
        <v>1086</v>
      </c>
      <c r="D505">
        <v>0</v>
      </c>
      <c r="E505" t="s">
        <v>9</v>
      </c>
      <c r="F505" s="121">
        <v>4818</v>
      </c>
      <c r="G505" s="123">
        <v>23</v>
      </c>
      <c r="H505" s="103" t="s">
        <v>1087</v>
      </c>
    </row>
    <row r="506" spans="2:8" x14ac:dyDescent="0.25">
      <c r="B506">
        <v>504</v>
      </c>
      <c r="C506" t="s">
        <v>1088</v>
      </c>
      <c r="D506">
        <v>0</v>
      </c>
      <c r="E506" t="s">
        <v>9</v>
      </c>
      <c r="F506" s="121">
        <v>4818</v>
      </c>
      <c r="G506" s="123">
        <v>13</v>
      </c>
      <c r="H506" s="103" t="s">
        <v>1089</v>
      </c>
    </row>
    <row r="507" spans="2:8" x14ac:dyDescent="0.25">
      <c r="B507">
        <v>505</v>
      </c>
      <c r="C507" t="s">
        <v>1090</v>
      </c>
      <c r="D507">
        <v>0</v>
      </c>
      <c r="E507" t="s">
        <v>9</v>
      </c>
      <c r="F507" s="121">
        <v>949</v>
      </c>
      <c r="G507" s="103">
        <v>1288</v>
      </c>
      <c r="H507" s="103" t="s">
        <v>1091</v>
      </c>
    </row>
    <row r="508" spans="2:8" x14ac:dyDescent="0.25">
      <c r="B508">
        <v>506</v>
      </c>
      <c r="C508" t="s">
        <v>1092</v>
      </c>
      <c r="D508">
        <v>0</v>
      </c>
      <c r="E508" t="s">
        <v>9</v>
      </c>
      <c r="F508" s="121">
        <v>4818</v>
      </c>
      <c r="G508" s="123">
        <v>13</v>
      </c>
      <c r="H508" s="103" t="s">
        <v>1093</v>
      </c>
    </row>
    <row r="509" spans="2:8" x14ac:dyDescent="0.25">
      <c r="B509">
        <v>507</v>
      </c>
      <c r="C509" t="s">
        <v>1094</v>
      </c>
      <c r="D509">
        <v>0</v>
      </c>
      <c r="E509" t="s">
        <v>9</v>
      </c>
      <c r="F509" s="121">
        <v>4818</v>
      </c>
      <c r="G509" s="123">
        <v>13</v>
      </c>
      <c r="H509" s="103" t="s">
        <v>1095</v>
      </c>
    </row>
    <row r="510" spans="2:8" x14ac:dyDescent="0.25">
      <c r="B510">
        <v>508</v>
      </c>
      <c r="C510" t="s">
        <v>1096</v>
      </c>
      <c r="D510">
        <v>0</v>
      </c>
      <c r="E510" t="s">
        <v>9</v>
      </c>
      <c r="F510" s="121">
        <v>949</v>
      </c>
      <c r="G510" s="123">
        <v>13</v>
      </c>
      <c r="H510" s="103" t="s">
        <v>1097</v>
      </c>
    </row>
    <row r="511" spans="2:8" x14ac:dyDescent="0.25">
      <c r="B511">
        <v>509</v>
      </c>
      <c r="C511" t="s">
        <v>1098</v>
      </c>
      <c r="D511">
        <v>0</v>
      </c>
      <c r="E511" t="s">
        <v>9</v>
      </c>
      <c r="F511" s="121">
        <v>949</v>
      </c>
      <c r="G511" s="123">
        <v>23</v>
      </c>
      <c r="H511" s="103" t="s">
        <v>1099</v>
      </c>
    </row>
    <row r="512" spans="2:8" x14ac:dyDescent="0.25">
      <c r="B512">
        <v>510</v>
      </c>
      <c r="C512" t="s">
        <v>1100</v>
      </c>
      <c r="D512" t="s">
        <v>1101</v>
      </c>
      <c r="E512" t="s">
        <v>9</v>
      </c>
      <c r="F512" s="121">
        <v>949</v>
      </c>
      <c r="G512" s="123">
        <v>23</v>
      </c>
      <c r="H512" s="103" t="s">
        <v>1102</v>
      </c>
    </row>
    <row r="513" spans="2:8" x14ac:dyDescent="0.25">
      <c r="B513">
        <v>511</v>
      </c>
      <c r="C513" t="s">
        <v>1103</v>
      </c>
      <c r="D513">
        <v>0</v>
      </c>
      <c r="E513" t="s">
        <v>9</v>
      </c>
      <c r="F513" s="121">
        <v>4818</v>
      </c>
      <c r="G513" s="123">
        <v>13</v>
      </c>
      <c r="H513" s="103" t="s">
        <v>1104</v>
      </c>
    </row>
    <row r="514" spans="2:8" x14ac:dyDescent="0.25">
      <c r="B514">
        <v>512</v>
      </c>
      <c r="C514" t="s">
        <v>1105</v>
      </c>
      <c r="D514">
        <v>0</v>
      </c>
      <c r="E514" t="s">
        <v>9</v>
      </c>
      <c r="F514" s="121">
        <v>4818</v>
      </c>
      <c r="G514" s="123">
        <v>13</v>
      </c>
      <c r="H514" s="103" t="s">
        <v>1106</v>
      </c>
    </row>
    <row r="515" spans="2:8" x14ac:dyDescent="0.25">
      <c r="B515">
        <v>513</v>
      </c>
      <c r="C515" t="s">
        <v>1107</v>
      </c>
      <c r="D515">
        <v>0</v>
      </c>
      <c r="E515" t="s">
        <v>9</v>
      </c>
      <c r="F515" s="121">
        <v>4818</v>
      </c>
      <c r="G515" s="123">
        <v>13</v>
      </c>
      <c r="H515" s="103" t="s">
        <v>1108</v>
      </c>
    </row>
    <row r="516" spans="2:8" x14ac:dyDescent="0.25">
      <c r="B516">
        <v>514</v>
      </c>
      <c r="C516" t="s">
        <v>1109</v>
      </c>
      <c r="D516">
        <v>0</v>
      </c>
      <c r="E516" t="s">
        <v>9</v>
      </c>
      <c r="F516" s="121">
        <v>4818</v>
      </c>
      <c r="G516" s="123">
        <v>23</v>
      </c>
      <c r="H516" s="103" t="s">
        <v>1110</v>
      </c>
    </row>
    <row r="517" spans="2:8" x14ac:dyDescent="0.25">
      <c r="B517">
        <v>515</v>
      </c>
      <c r="C517" t="s">
        <v>1111</v>
      </c>
      <c r="D517">
        <v>0</v>
      </c>
      <c r="E517" t="s">
        <v>9</v>
      </c>
      <c r="F517" s="121">
        <v>4818</v>
      </c>
      <c r="G517" s="123">
        <v>13</v>
      </c>
      <c r="H517" s="103" t="s">
        <v>1112</v>
      </c>
    </row>
    <row r="518" spans="2:8" x14ac:dyDescent="0.25">
      <c r="B518">
        <v>516</v>
      </c>
      <c r="C518" t="s">
        <v>1113</v>
      </c>
      <c r="D518">
        <v>0</v>
      </c>
      <c r="E518" t="s">
        <v>51</v>
      </c>
      <c r="F518" s="121">
        <v>3025</v>
      </c>
      <c r="G518" s="123"/>
      <c r="H518" s="103">
        <v>1018604</v>
      </c>
    </row>
    <row r="519" spans="2:8" x14ac:dyDescent="0.25">
      <c r="B519">
        <v>517</v>
      </c>
      <c r="C519" t="s">
        <v>706</v>
      </c>
      <c r="D519" t="s">
        <v>1114</v>
      </c>
      <c r="E519" t="s">
        <v>35</v>
      </c>
      <c r="F519" s="121" t="s">
        <v>36</v>
      </c>
      <c r="G519" s="123" t="s">
        <v>37</v>
      </c>
      <c r="H519" s="103" t="s">
        <v>707</v>
      </c>
    </row>
    <row r="520" spans="2:8" x14ac:dyDescent="0.25">
      <c r="B520">
        <v>518</v>
      </c>
      <c r="C520" t="s">
        <v>1115</v>
      </c>
      <c r="D520" t="s">
        <v>1116</v>
      </c>
      <c r="E520" t="s">
        <v>9</v>
      </c>
      <c r="F520" s="121">
        <v>4818</v>
      </c>
      <c r="G520" s="123"/>
      <c r="H520" s="103" t="s">
        <v>1117</v>
      </c>
    </row>
    <row r="521" spans="2:8" x14ac:dyDescent="0.25">
      <c r="B521">
        <v>519</v>
      </c>
      <c r="C521" t="s">
        <v>1118</v>
      </c>
      <c r="D521">
        <v>0</v>
      </c>
      <c r="E521" t="s">
        <v>9</v>
      </c>
      <c r="F521" s="121">
        <v>4818</v>
      </c>
      <c r="G521" s="123">
        <v>13</v>
      </c>
      <c r="H521" s="103" t="s">
        <v>1119</v>
      </c>
    </row>
    <row r="522" spans="2:8" x14ac:dyDescent="0.25">
      <c r="B522">
        <v>520</v>
      </c>
      <c r="C522" t="s">
        <v>1120</v>
      </c>
      <c r="D522">
        <v>0</v>
      </c>
      <c r="E522" t="s">
        <v>35</v>
      </c>
      <c r="F522" s="121" t="s">
        <v>36</v>
      </c>
      <c r="G522" s="123" t="s">
        <v>37</v>
      </c>
      <c r="H522" s="103" t="s">
        <v>1121</v>
      </c>
    </row>
    <row r="523" spans="2:8" x14ac:dyDescent="0.25">
      <c r="B523">
        <v>521</v>
      </c>
      <c r="C523" t="s">
        <v>1122</v>
      </c>
      <c r="D523">
        <v>0</v>
      </c>
      <c r="E523" t="s">
        <v>9</v>
      </c>
      <c r="F523" s="121">
        <v>4818</v>
      </c>
      <c r="G523" s="123">
        <v>13</v>
      </c>
      <c r="H523" s="103" t="s">
        <v>1123</v>
      </c>
    </row>
    <row r="524" spans="2:8" x14ac:dyDescent="0.25">
      <c r="B524">
        <v>522</v>
      </c>
      <c r="C524" t="s">
        <v>1124</v>
      </c>
      <c r="D524">
        <v>0</v>
      </c>
      <c r="E524" t="s">
        <v>35</v>
      </c>
      <c r="F524" s="121" t="s">
        <v>36</v>
      </c>
      <c r="G524" s="123" t="s">
        <v>37</v>
      </c>
      <c r="H524" s="103" t="s">
        <v>1125</v>
      </c>
    </row>
    <row r="525" spans="2:8" x14ac:dyDescent="0.25">
      <c r="B525">
        <v>523</v>
      </c>
      <c r="C525" t="s">
        <v>1126</v>
      </c>
      <c r="D525">
        <v>0</v>
      </c>
      <c r="E525" t="s">
        <v>9</v>
      </c>
      <c r="F525" s="121">
        <v>949</v>
      </c>
      <c r="G525" s="123">
        <v>23</v>
      </c>
      <c r="H525" s="103" t="s">
        <v>1127</v>
      </c>
    </row>
    <row r="526" spans="2:8" x14ac:dyDescent="0.25">
      <c r="B526">
        <v>524</v>
      </c>
      <c r="C526" t="s">
        <v>1128</v>
      </c>
      <c r="D526">
        <v>0</v>
      </c>
      <c r="E526" t="s">
        <v>9</v>
      </c>
      <c r="F526" s="121">
        <v>780</v>
      </c>
      <c r="G526" s="123">
        <v>13</v>
      </c>
      <c r="H526" s="103" t="s">
        <v>1129</v>
      </c>
    </row>
    <row r="527" spans="2:8" x14ac:dyDescent="0.25">
      <c r="B527">
        <v>525</v>
      </c>
      <c r="C527" t="s">
        <v>1130</v>
      </c>
      <c r="D527">
        <v>0</v>
      </c>
      <c r="E527" t="s">
        <v>9</v>
      </c>
      <c r="F527" s="121">
        <v>780</v>
      </c>
      <c r="G527" s="123">
        <v>13</v>
      </c>
      <c r="H527" s="103" t="s">
        <v>1131</v>
      </c>
    </row>
    <row r="528" spans="2:8" x14ac:dyDescent="0.25">
      <c r="B528">
        <v>526</v>
      </c>
      <c r="C528" t="s">
        <v>1132</v>
      </c>
      <c r="D528">
        <v>0</v>
      </c>
      <c r="E528" t="s">
        <v>9</v>
      </c>
      <c r="F528" s="121">
        <v>4825</v>
      </c>
      <c r="G528" s="123">
        <v>13</v>
      </c>
      <c r="H528" s="103" t="s">
        <v>1133</v>
      </c>
    </row>
    <row r="529" spans="2:8" x14ac:dyDescent="0.25">
      <c r="B529">
        <v>527</v>
      </c>
      <c r="C529" t="s">
        <v>1134</v>
      </c>
      <c r="D529" t="s">
        <v>1135</v>
      </c>
      <c r="E529" t="s">
        <v>9</v>
      </c>
      <c r="F529" s="121">
        <v>4825</v>
      </c>
      <c r="G529" s="103">
        <v>1288</v>
      </c>
      <c r="H529" s="103" t="s">
        <v>1136</v>
      </c>
    </row>
    <row r="530" spans="2:8" x14ac:dyDescent="0.25">
      <c r="B530">
        <v>528</v>
      </c>
      <c r="C530" t="s">
        <v>1137</v>
      </c>
      <c r="D530">
        <v>0</v>
      </c>
      <c r="E530" t="s">
        <v>21</v>
      </c>
      <c r="F530" s="121" t="s">
        <v>1138</v>
      </c>
      <c r="G530" s="103" t="s">
        <v>22</v>
      </c>
      <c r="H530" s="103" t="s">
        <v>1139</v>
      </c>
    </row>
    <row r="531" spans="2:8" x14ac:dyDescent="0.25">
      <c r="B531">
        <v>529</v>
      </c>
      <c r="C531" t="s">
        <v>1140</v>
      </c>
      <c r="D531">
        <v>0</v>
      </c>
      <c r="E531" t="s">
        <v>9</v>
      </c>
      <c r="F531" s="121">
        <v>4825</v>
      </c>
      <c r="G531" s="123">
        <v>1288</v>
      </c>
      <c r="H531" s="103" t="s">
        <v>1141</v>
      </c>
    </row>
    <row r="532" spans="2:8" x14ac:dyDescent="0.25">
      <c r="B532">
        <v>530</v>
      </c>
      <c r="C532" t="s">
        <v>1142</v>
      </c>
      <c r="D532">
        <v>0</v>
      </c>
      <c r="E532" t="s">
        <v>9</v>
      </c>
      <c r="F532" s="121">
        <v>949</v>
      </c>
      <c r="G532" s="123">
        <v>13</v>
      </c>
      <c r="H532" s="103" t="s">
        <v>1143</v>
      </c>
    </row>
    <row r="533" spans="2:8" x14ac:dyDescent="0.25">
      <c r="B533">
        <v>531</v>
      </c>
      <c r="C533" t="s">
        <v>1144</v>
      </c>
      <c r="D533">
        <v>0</v>
      </c>
      <c r="E533" t="s">
        <v>9</v>
      </c>
      <c r="F533" s="121">
        <v>614</v>
      </c>
      <c r="G533" s="123">
        <v>13</v>
      </c>
      <c r="H533" s="103" t="s">
        <v>1145</v>
      </c>
    </row>
    <row r="534" spans="2:8" x14ac:dyDescent="0.25">
      <c r="B534">
        <v>532</v>
      </c>
      <c r="C534" t="s">
        <v>1146</v>
      </c>
      <c r="D534">
        <v>0</v>
      </c>
      <c r="E534" t="s">
        <v>9</v>
      </c>
      <c r="F534" s="121">
        <v>780</v>
      </c>
      <c r="G534" s="123">
        <v>23</v>
      </c>
      <c r="H534" s="103" t="s">
        <v>1147</v>
      </c>
    </row>
    <row r="535" spans="2:8" x14ac:dyDescent="0.25">
      <c r="B535">
        <v>533</v>
      </c>
      <c r="C535" t="s">
        <v>1148</v>
      </c>
      <c r="D535">
        <v>0</v>
      </c>
      <c r="E535" t="s">
        <v>9</v>
      </c>
      <c r="F535" s="121">
        <v>780</v>
      </c>
      <c r="G535" s="123">
        <v>23</v>
      </c>
      <c r="H535" s="103" t="s">
        <v>1149</v>
      </c>
    </row>
    <row r="536" spans="2:8" x14ac:dyDescent="0.25">
      <c r="B536">
        <v>534</v>
      </c>
      <c r="C536" t="s">
        <v>1150</v>
      </c>
      <c r="D536">
        <v>0</v>
      </c>
      <c r="E536" t="s">
        <v>9</v>
      </c>
      <c r="F536" s="121">
        <v>4825</v>
      </c>
      <c r="G536" s="123">
        <v>13</v>
      </c>
      <c r="H536" s="103" t="s">
        <v>1151</v>
      </c>
    </row>
    <row r="537" spans="2:8" x14ac:dyDescent="0.25">
      <c r="B537">
        <v>535</v>
      </c>
      <c r="C537" t="s">
        <v>1152</v>
      </c>
      <c r="D537">
        <v>0</v>
      </c>
      <c r="E537" t="s">
        <v>9</v>
      </c>
      <c r="F537" s="121">
        <v>4825</v>
      </c>
      <c r="G537" s="123">
        <v>13</v>
      </c>
      <c r="H537" s="103" t="s">
        <v>1153</v>
      </c>
    </row>
    <row r="538" spans="2:8" x14ac:dyDescent="0.25">
      <c r="B538">
        <v>536</v>
      </c>
      <c r="C538" t="s">
        <v>1154</v>
      </c>
      <c r="D538">
        <v>0</v>
      </c>
      <c r="E538" t="s">
        <v>9</v>
      </c>
      <c r="F538" s="121">
        <v>4825</v>
      </c>
      <c r="G538" s="123">
        <v>13</v>
      </c>
      <c r="H538" s="103" t="s">
        <v>1155</v>
      </c>
    </row>
    <row r="539" spans="2:8" x14ac:dyDescent="0.25">
      <c r="B539">
        <v>537</v>
      </c>
      <c r="C539" t="s">
        <v>1156</v>
      </c>
      <c r="D539">
        <v>0</v>
      </c>
      <c r="E539" t="s">
        <v>9</v>
      </c>
      <c r="F539" s="121">
        <v>4825</v>
      </c>
      <c r="G539" s="123"/>
      <c r="H539" s="103" t="s">
        <v>1157</v>
      </c>
    </row>
    <row r="540" spans="2:8" x14ac:dyDescent="0.25">
      <c r="B540">
        <v>538</v>
      </c>
      <c r="C540" t="s">
        <v>1158</v>
      </c>
      <c r="D540">
        <v>0</v>
      </c>
      <c r="E540" t="s">
        <v>9</v>
      </c>
      <c r="F540" s="121">
        <v>3653</v>
      </c>
      <c r="G540" s="123">
        <v>13</v>
      </c>
      <c r="H540" s="103" t="s">
        <v>1159</v>
      </c>
    </row>
    <row r="541" spans="2:8" x14ac:dyDescent="0.25">
      <c r="B541">
        <v>539</v>
      </c>
      <c r="C541" t="s">
        <v>1160</v>
      </c>
      <c r="D541">
        <v>0</v>
      </c>
      <c r="E541" t="s">
        <v>21</v>
      </c>
      <c r="F541" s="121" t="s">
        <v>44</v>
      </c>
      <c r="G541" s="103" t="s">
        <v>22</v>
      </c>
      <c r="H541" s="103" t="s">
        <v>1161</v>
      </c>
    </row>
    <row r="542" spans="2:8" x14ac:dyDescent="0.25">
      <c r="B542">
        <v>540</v>
      </c>
      <c r="C542" t="s">
        <v>1162</v>
      </c>
      <c r="D542">
        <v>0</v>
      </c>
      <c r="E542" t="s">
        <v>9</v>
      </c>
      <c r="F542" s="121">
        <v>4825</v>
      </c>
      <c r="G542" s="123">
        <v>13</v>
      </c>
      <c r="H542" s="103" t="s">
        <v>1163</v>
      </c>
    </row>
    <row r="543" spans="2:8" x14ac:dyDescent="0.25">
      <c r="B543">
        <v>541</v>
      </c>
      <c r="C543" t="s">
        <v>1164</v>
      </c>
      <c r="D543" t="s">
        <v>1165</v>
      </c>
      <c r="E543" t="s">
        <v>21</v>
      </c>
      <c r="F543" s="121">
        <v>7160</v>
      </c>
      <c r="G543" s="123"/>
      <c r="H543" s="103" t="s">
        <v>1166</v>
      </c>
    </row>
    <row r="544" spans="2:8" x14ac:dyDescent="0.25">
      <c r="B544">
        <v>542</v>
      </c>
      <c r="C544" t="s">
        <v>1167</v>
      </c>
      <c r="D544">
        <v>0</v>
      </c>
      <c r="E544" t="s">
        <v>35</v>
      </c>
      <c r="F544" s="121" t="s">
        <v>36</v>
      </c>
      <c r="G544" s="103" t="s">
        <v>87</v>
      </c>
      <c r="H544" s="103" t="s">
        <v>1168</v>
      </c>
    </row>
    <row r="545" spans="2:8" x14ac:dyDescent="0.25">
      <c r="B545">
        <v>543</v>
      </c>
      <c r="C545" t="s">
        <v>1169</v>
      </c>
      <c r="D545">
        <v>0</v>
      </c>
      <c r="E545" t="s">
        <v>35</v>
      </c>
      <c r="F545" s="121" t="s">
        <v>36</v>
      </c>
      <c r="G545" s="103" t="s">
        <v>87</v>
      </c>
      <c r="H545" s="103" t="s">
        <v>1170</v>
      </c>
    </row>
    <row r="546" spans="2:8" x14ac:dyDescent="0.25">
      <c r="B546">
        <v>544</v>
      </c>
      <c r="C546" t="s">
        <v>1171</v>
      </c>
      <c r="D546">
        <v>0</v>
      </c>
      <c r="E546" t="s">
        <v>9</v>
      </c>
      <c r="F546" s="121">
        <v>4825</v>
      </c>
      <c r="G546" s="103" t="s">
        <v>720</v>
      </c>
      <c r="H546" s="103" t="s">
        <v>1172</v>
      </c>
    </row>
    <row r="547" spans="2:8" x14ac:dyDescent="0.25">
      <c r="B547">
        <v>545</v>
      </c>
      <c r="C547" t="s">
        <v>1173</v>
      </c>
      <c r="D547">
        <v>0</v>
      </c>
      <c r="E547" t="s">
        <v>9</v>
      </c>
      <c r="F547" s="121">
        <v>949</v>
      </c>
      <c r="G547" s="103" t="s">
        <v>731</v>
      </c>
      <c r="H547" s="103" t="s">
        <v>1174</v>
      </c>
    </row>
    <row r="548" spans="2:8" x14ac:dyDescent="0.25">
      <c r="B548">
        <v>546</v>
      </c>
      <c r="C548" t="s">
        <v>1175</v>
      </c>
      <c r="D548">
        <v>0</v>
      </c>
      <c r="E548" t="s">
        <v>9</v>
      </c>
      <c r="F548" s="121">
        <v>4694</v>
      </c>
      <c r="G548" s="103" t="s">
        <v>731</v>
      </c>
      <c r="H548" s="103" t="s">
        <v>1176</v>
      </c>
    </row>
    <row r="549" spans="2:8" x14ac:dyDescent="0.25">
      <c r="B549">
        <v>547</v>
      </c>
      <c r="C549" t="s">
        <v>1177</v>
      </c>
      <c r="D549">
        <v>0</v>
      </c>
      <c r="E549" t="s">
        <v>9</v>
      </c>
      <c r="F549" s="121">
        <v>4773</v>
      </c>
      <c r="G549" s="103" t="s">
        <v>720</v>
      </c>
      <c r="H549" s="103" t="s">
        <v>1178</v>
      </c>
    </row>
    <row r="550" spans="2:8" x14ac:dyDescent="0.25">
      <c r="B550">
        <v>548</v>
      </c>
      <c r="C550" t="s">
        <v>1179</v>
      </c>
      <c r="D550">
        <v>0</v>
      </c>
      <c r="E550" t="s">
        <v>9</v>
      </c>
      <c r="F550" s="121">
        <v>4818</v>
      </c>
      <c r="G550" s="103" t="s">
        <v>720</v>
      </c>
      <c r="H550" s="103" t="s">
        <v>1180</v>
      </c>
    </row>
    <row r="551" spans="2:8" x14ac:dyDescent="0.25">
      <c r="B551">
        <v>549</v>
      </c>
      <c r="C551" t="s">
        <v>1181</v>
      </c>
      <c r="D551">
        <v>0</v>
      </c>
      <c r="E551" t="s">
        <v>9</v>
      </c>
      <c r="F551" s="121">
        <v>780</v>
      </c>
      <c r="G551" s="103" t="s">
        <v>731</v>
      </c>
      <c r="H551" s="103" t="s">
        <v>1182</v>
      </c>
    </row>
    <row r="552" spans="2:8" x14ac:dyDescent="0.25">
      <c r="B552">
        <v>550</v>
      </c>
      <c r="C552" t="s">
        <v>1183</v>
      </c>
      <c r="D552">
        <v>0</v>
      </c>
      <c r="E552" t="s">
        <v>9</v>
      </c>
      <c r="F552" s="121">
        <v>4105</v>
      </c>
      <c r="G552" s="103" t="s">
        <v>720</v>
      </c>
      <c r="H552" s="103" t="s">
        <v>1184</v>
      </c>
    </row>
    <row r="553" spans="2:8" x14ac:dyDescent="0.25">
      <c r="B553">
        <v>551</v>
      </c>
      <c r="C553" t="s">
        <v>1185</v>
      </c>
      <c r="D553">
        <v>0</v>
      </c>
      <c r="E553" t="s">
        <v>9</v>
      </c>
      <c r="F553" s="121">
        <v>4825</v>
      </c>
      <c r="G553" s="103" t="s">
        <v>720</v>
      </c>
      <c r="H553" s="103" t="s">
        <v>1186</v>
      </c>
    </row>
    <row r="554" spans="2:8" x14ac:dyDescent="0.25">
      <c r="B554">
        <v>552</v>
      </c>
      <c r="C554" t="s">
        <v>1187</v>
      </c>
      <c r="D554">
        <v>0</v>
      </c>
      <c r="E554" t="s">
        <v>9</v>
      </c>
      <c r="F554" s="121">
        <v>4825</v>
      </c>
      <c r="G554" s="103" t="s">
        <v>720</v>
      </c>
      <c r="H554" s="103" t="s">
        <v>1188</v>
      </c>
    </row>
    <row r="555" spans="2:8" x14ac:dyDescent="0.25">
      <c r="B555">
        <v>553</v>
      </c>
      <c r="C555" t="s">
        <v>950</v>
      </c>
      <c r="D555">
        <v>0</v>
      </c>
      <c r="E555" t="s">
        <v>9</v>
      </c>
      <c r="F555" s="121">
        <v>4825</v>
      </c>
      <c r="G555" s="103" t="s">
        <v>720</v>
      </c>
      <c r="H555" s="103" t="s">
        <v>1189</v>
      </c>
    </row>
    <row r="556" spans="2:8" x14ac:dyDescent="0.25">
      <c r="B556">
        <v>554</v>
      </c>
      <c r="C556" t="s">
        <v>1190</v>
      </c>
      <c r="D556">
        <v>0</v>
      </c>
      <c r="E556" t="s">
        <v>21</v>
      </c>
      <c r="F556" s="121" t="s">
        <v>44</v>
      </c>
      <c r="G556" s="103" t="s">
        <v>37</v>
      </c>
      <c r="H556" s="103" t="s">
        <v>1191</v>
      </c>
    </row>
    <row r="557" spans="2:8" x14ac:dyDescent="0.25">
      <c r="B557">
        <v>555</v>
      </c>
      <c r="C557" t="s">
        <v>1192</v>
      </c>
      <c r="D557">
        <v>0</v>
      </c>
      <c r="E557" t="s">
        <v>9</v>
      </c>
      <c r="F557" s="121">
        <v>4825</v>
      </c>
      <c r="G557" s="103" t="s">
        <v>720</v>
      </c>
      <c r="H557" s="103" t="s">
        <v>1193</v>
      </c>
    </row>
    <row r="558" spans="2:8" x14ac:dyDescent="0.25">
      <c r="B558">
        <v>556</v>
      </c>
      <c r="C558" t="s">
        <v>1194</v>
      </c>
      <c r="D558">
        <v>0</v>
      </c>
      <c r="E558" t="s">
        <v>9</v>
      </c>
      <c r="F558" s="121">
        <v>780</v>
      </c>
      <c r="G558" s="103" t="s">
        <v>731</v>
      </c>
      <c r="H558" s="103" t="s">
        <v>1032</v>
      </c>
    </row>
    <row r="559" spans="2:8" x14ac:dyDescent="0.25">
      <c r="B559">
        <v>557</v>
      </c>
      <c r="C559" t="s">
        <v>1195</v>
      </c>
      <c r="D559">
        <v>0</v>
      </c>
      <c r="E559" t="s">
        <v>9</v>
      </c>
      <c r="F559" s="121">
        <v>780</v>
      </c>
      <c r="G559" s="103" t="s">
        <v>720</v>
      </c>
      <c r="H559" s="103" t="s">
        <v>1196</v>
      </c>
    </row>
    <row r="560" spans="2:8" x14ac:dyDescent="0.25">
      <c r="B560">
        <v>558</v>
      </c>
      <c r="C560" t="s">
        <v>1197</v>
      </c>
      <c r="D560">
        <v>0</v>
      </c>
      <c r="E560" t="s">
        <v>9</v>
      </c>
      <c r="F560" s="121">
        <v>4825</v>
      </c>
      <c r="G560" s="103" t="s">
        <v>720</v>
      </c>
      <c r="H560" s="103" t="s">
        <v>1198</v>
      </c>
    </row>
    <row r="561" spans="2:8" x14ac:dyDescent="0.25">
      <c r="B561">
        <v>559</v>
      </c>
      <c r="C561" t="s">
        <v>1199</v>
      </c>
      <c r="D561">
        <v>0</v>
      </c>
      <c r="E561" t="s">
        <v>9</v>
      </c>
      <c r="F561" s="121">
        <v>949</v>
      </c>
      <c r="G561" s="103" t="s">
        <v>720</v>
      </c>
      <c r="H561" s="103" t="s">
        <v>1200</v>
      </c>
    </row>
    <row r="562" spans="2:8" x14ac:dyDescent="0.25">
      <c r="B562">
        <v>560</v>
      </c>
      <c r="C562" t="s">
        <v>1201</v>
      </c>
      <c r="D562">
        <v>0</v>
      </c>
      <c r="E562" t="s">
        <v>9</v>
      </c>
      <c r="F562" s="121">
        <v>949</v>
      </c>
      <c r="G562" s="103" t="s">
        <v>720</v>
      </c>
      <c r="H562" s="103" t="s">
        <v>1202</v>
      </c>
    </row>
    <row r="563" spans="2:8" x14ac:dyDescent="0.25">
      <c r="B563">
        <v>561</v>
      </c>
      <c r="C563" t="s">
        <v>1203</v>
      </c>
      <c r="D563" t="s">
        <v>5303</v>
      </c>
      <c r="E563" t="s">
        <v>9</v>
      </c>
      <c r="F563" s="121">
        <v>780</v>
      </c>
      <c r="H563" s="103" t="s">
        <v>5306</v>
      </c>
    </row>
    <row r="564" spans="2:8" x14ac:dyDescent="0.25">
      <c r="B564">
        <v>562</v>
      </c>
      <c r="C564" t="s">
        <v>1204</v>
      </c>
      <c r="D564">
        <v>0</v>
      </c>
      <c r="E564" t="s">
        <v>21</v>
      </c>
      <c r="F564" s="121" t="s">
        <v>44</v>
      </c>
      <c r="G564" s="103" t="s">
        <v>22</v>
      </c>
      <c r="H564" s="103" t="s">
        <v>1205</v>
      </c>
    </row>
    <row r="565" spans="2:8" x14ac:dyDescent="0.25">
      <c r="B565">
        <v>563</v>
      </c>
      <c r="C565" t="s">
        <v>1206</v>
      </c>
      <c r="D565">
        <v>0</v>
      </c>
      <c r="E565" t="s">
        <v>9</v>
      </c>
      <c r="F565" s="121">
        <v>780</v>
      </c>
      <c r="G565" s="103" t="s">
        <v>731</v>
      </c>
      <c r="H565" s="103" t="s">
        <v>1207</v>
      </c>
    </row>
    <row r="566" spans="2:8" x14ac:dyDescent="0.25">
      <c r="B566">
        <v>564</v>
      </c>
      <c r="C566" t="s">
        <v>1208</v>
      </c>
      <c r="D566">
        <v>0</v>
      </c>
      <c r="E566" t="s">
        <v>9</v>
      </c>
      <c r="F566" s="121">
        <v>780</v>
      </c>
      <c r="G566" s="103" t="s">
        <v>720</v>
      </c>
      <c r="H566" s="103" t="s">
        <v>1209</v>
      </c>
    </row>
    <row r="567" spans="2:8" x14ac:dyDescent="0.25">
      <c r="B567">
        <v>565</v>
      </c>
      <c r="C567" t="s">
        <v>1210</v>
      </c>
      <c r="D567">
        <v>0</v>
      </c>
      <c r="E567" t="s">
        <v>9</v>
      </c>
      <c r="F567" s="121">
        <v>3777</v>
      </c>
      <c r="G567" s="103" t="s">
        <v>720</v>
      </c>
      <c r="H567" s="103" t="s">
        <v>1211</v>
      </c>
    </row>
    <row r="568" spans="2:8" x14ac:dyDescent="0.25">
      <c r="B568">
        <v>566</v>
      </c>
      <c r="C568" t="s">
        <v>1212</v>
      </c>
      <c r="D568">
        <v>0</v>
      </c>
      <c r="E568" t="s">
        <v>9</v>
      </c>
      <c r="F568" s="121">
        <v>780</v>
      </c>
      <c r="G568" s="103" t="s">
        <v>720</v>
      </c>
      <c r="H568" s="103" t="s">
        <v>1213</v>
      </c>
    </row>
    <row r="569" spans="2:8" x14ac:dyDescent="0.25">
      <c r="B569">
        <v>567</v>
      </c>
      <c r="C569" t="s">
        <v>1214</v>
      </c>
      <c r="D569">
        <v>0</v>
      </c>
      <c r="E569" t="s">
        <v>9</v>
      </c>
      <c r="F569" s="121">
        <v>4825</v>
      </c>
      <c r="G569" s="103" t="s">
        <v>720</v>
      </c>
      <c r="H569" s="103" t="s">
        <v>1215</v>
      </c>
    </row>
    <row r="570" spans="2:8" x14ac:dyDescent="0.25">
      <c r="B570">
        <v>568</v>
      </c>
      <c r="C570" t="s">
        <v>1216</v>
      </c>
      <c r="D570">
        <v>0</v>
      </c>
      <c r="E570" t="s">
        <v>9</v>
      </c>
      <c r="F570" s="121">
        <v>4825</v>
      </c>
      <c r="G570" s="103" t="s">
        <v>720</v>
      </c>
      <c r="H570" s="103" t="s">
        <v>1217</v>
      </c>
    </row>
    <row r="571" spans="2:8" x14ac:dyDescent="0.25">
      <c r="B571">
        <v>569</v>
      </c>
      <c r="C571" t="s">
        <v>1218</v>
      </c>
      <c r="D571">
        <v>0</v>
      </c>
      <c r="E571" t="s">
        <v>9</v>
      </c>
      <c r="F571" s="121">
        <v>780</v>
      </c>
      <c r="G571" s="103" t="s">
        <v>720</v>
      </c>
      <c r="H571" s="103" t="s">
        <v>1219</v>
      </c>
    </row>
    <row r="572" spans="2:8" x14ac:dyDescent="0.25">
      <c r="B572">
        <v>570</v>
      </c>
      <c r="C572" t="s">
        <v>1220</v>
      </c>
      <c r="D572">
        <v>0</v>
      </c>
      <c r="E572" t="s">
        <v>9</v>
      </c>
      <c r="F572" s="121">
        <v>4825</v>
      </c>
      <c r="G572" s="103" t="s">
        <v>720</v>
      </c>
      <c r="H572" s="103" t="s">
        <v>1221</v>
      </c>
    </row>
    <row r="573" spans="2:8" x14ac:dyDescent="0.25">
      <c r="B573">
        <v>571</v>
      </c>
      <c r="C573" t="s">
        <v>1222</v>
      </c>
      <c r="D573">
        <v>0</v>
      </c>
      <c r="E573" t="s">
        <v>9</v>
      </c>
      <c r="F573" s="121">
        <v>780</v>
      </c>
      <c r="G573" s="103" t="s">
        <v>731</v>
      </c>
      <c r="H573" s="103" t="s">
        <v>1223</v>
      </c>
    </row>
    <row r="574" spans="2:8" x14ac:dyDescent="0.25">
      <c r="B574">
        <v>572</v>
      </c>
      <c r="C574" t="s">
        <v>1224</v>
      </c>
      <c r="D574">
        <v>0</v>
      </c>
      <c r="E574" t="s">
        <v>9</v>
      </c>
      <c r="F574" s="121">
        <v>4825</v>
      </c>
      <c r="G574" s="103" t="s">
        <v>720</v>
      </c>
      <c r="H574" s="103" t="s">
        <v>1225</v>
      </c>
    </row>
    <row r="575" spans="2:8" x14ac:dyDescent="0.25">
      <c r="B575">
        <v>573</v>
      </c>
      <c r="C575" t="s">
        <v>1226</v>
      </c>
      <c r="D575">
        <v>0</v>
      </c>
      <c r="E575" t="s">
        <v>21</v>
      </c>
      <c r="F575" s="121" t="s">
        <v>44</v>
      </c>
      <c r="G575" s="103" t="s">
        <v>37</v>
      </c>
      <c r="H575" s="103" t="s">
        <v>1227</v>
      </c>
    </row>
    <row r="576" spans="2:8" x14ac:dyDescent="0.25">
      <c r="B576">
        <v>574</v>
      </c>
      <c r="C576" t="s">
        <v>1228</v>
      </c>
      <c r="D576">
        <v>0</v>
      </c>
      <c r="E576" t="s">
        <v>9</v>
      </c>
      <c r="F576" s="121">
        <v>4818</v>
      </c>
      <c r="G576" s="103" t="s">
        <v>720</v>
      </c>
      <c r="H576" s="103" t="s">
        <v>1229</v>
      </c>
    </row>
    <row r="577" spans="2:8" x14ac:dyDescent="0.25">
      <c r="B577">
        <v>575</v>
      </c>
      <c r="C577" t="s">
        <v>1230</v>
      </c>
      <c r="D577">
        <v>0</v>
      </c>
      <c r="E577" t="s">
        <v>21</v>
      </c>
      <c r="F577" s="121" t="s">
        <v>44</v>
      </c>
      <c r="G577" s="103" t="s">
        <v>22</v>
      </c>
      <c r="H577" s="103" t="s">
        <v>1231</v>
      </c>
    </row>
    <row r="578" spans="2:8" x14ac:dyDescent="0.25">
      <c r="B578">
        <v>576</v>
      </c>
      <c r="C578" t="s">
        <v>1232</v>
      </c>
      <c r="D578">
        <v>0</v>
      </c>
      <c r="E578" t="s">
        <v>21</v>
      </c>
      <c r="F578" s="121" t="s">
        <v>44</v>
      </c>
      <c r="G578" s="103" t="s">
        <v>22</v>
      </c>
      <c r="H578" s="103" t="s">
        <v>1233</v>
      </c>
    </row>
    <row r="579" spans="2:8" x14ac:dyDescent="0.25">
      <c r="B579">
        <v>577</v>
      </c>
      <c r="C579" t="s">
        <v>1234</v>
      </c>
      <c r="D579">
        <v>0</v>
      </c>
      <c r="E579" t="s">
        <v>21</v>
      </c>
      <c r="F579" s="121" t="s">
        <v>44</v>
      </c>
      <c r="G579" s="103" t="s">
        <v>37</v>
      </c>
      <c r="H579" s="103" t="s">
        <v>1235</v>
      </c>
    </row>
    <row r="580" spans="2:8" x14ac:dyDescent="0.25">
      <c r="B580">
        <v>578</v>
      </c>
      <c r="C580" t="s">
        <v>1236</v>
      </c>
      <c r="D580">
        <v>0</v>
      </c>
      <c r="E580" t="s">
        <v>9</v>
      </c>
      <c r="F580" s="121">
        <v>4825</v>
      </c>
      <c r="G580" s="103" t="s">
        <v>720</v>
      </c>
      <c r="H580" s="103" t="s">
        <v>1237</v>
      </c>
    </row>
    <row r="581" spans="2:8" x14ac:dyDescent="0.25">
      <c r="B581">
        <v>579</v>
      </c>
      <c r="C581" t="s">
        <v>1238</v>
      </c>
      <c r="D581">
        <v>0</v>
      </c>
      <c r="E581" t="s">
        <v>9</v>
      </c>
      <c r="F581" s="121">
        <v>4825</v>
      </c>
      <c r="G581" s="103" t="s">
        <v>720</v>
      </c>
      <c r="H581" s="103" t="s">
        <v>1239</v>
      </c>
    </row>
    <row r="582" spans="2:8" x14ac:dyDescent="0.25">
      <c r="B582">
        <v>580</v>
      </c>
      <c r="C582" t="s">
        <v>1240</v>
      </c>
      <c r="D582">
        <v>0</v>
      </c>
      <c r="E582" t="s">
        <v>9</v>
      </c>
      <c r="F582" s="121">
        <v>4825</v>
      </c>
      <c r="G582" s="103" t="s">
        <v>720</v>
      </c>
      <c r="H582" s="103" t="s">
        <v>1241</v>
      </c>
    </row>
    <row r="583" spans="2:8" x14ac:dyDescent="0.25">
      <c r="B583">
        <v>581</v>
      </c>
      <c r="C583" t="s">
        <v>1242</v>
      </c>
      <c r="D583">
        <v>0</v>
      </c>
      <c r="E583" t="s">
        <v>9</v>
      </c>
      <c r="F583" s="121">
        <v>4825</v>
      </c>
      <c r="G583" s="103" t="s">
        <v>720</v>
      </c>
      <c r="H583" s="103" t="s">
        <v>1243</v>
      </c>
    </row>
    <row r="584" spans="2:8" x14ac:dyDescent="0.25">
      <c r="B584">
        <v>582</v>
      </c>
      <c r="C584" t="s">
        <v>1244</v>
      </c>
      <c r="D584" t="s">
        <v>1245</v>
      </c>
      <c r="E584" t="s">
        <v>21</v>
      </c>
      <c r="F584" s="121" t="s">
        <v>44</v>
      </c>
      <c r="G584" s="103" t="s">
        <v>22</v>
      </c>
      <c r="H584" s="103" t="s">
        <v>1246</v>
      </c>
    </row>
    <row r="585" spans="2:8" x14ac:dyDescent="0.25">
      <c r="B585">
        <v>583</v>
      </c>
      <c r="C585" t="s">
        <v>1247</v>
      </c>
      <c r="D585">
        <v>0</v>
      </c>
      <c r="E585" t="s">
        <v>9</v>
      </c>
      <c r="F585" s="121">
        <v>4825</v>
      </c>
      <c r="G585" s="103" t="s">
        <v>720</v>
      </c>
      <c r="H585" s="103" t="s">
        <v>1248</v>
      </c>
    </row>
    <row r="586" spans="2:8" x14ac:dyDescent="0.25">
      <c r="B586">
        <v>584</v>
      </c>
      <c r="C586" t="s">
        <v>1249</v>
      </c>
      <c r="D586">
        <v>0</v>
      </c>
      <c r="E586" t="s">
        <v>9</v>
      </c>
      <c r="F586" s="121">
        <v>4825</v>
      </c>
      <c r="G586" s="103" t="s">
        <v>720</v>
      </c>
      <c r="H586" s="103" t="s">
        <v>1250</v>
      </c>
    </row>
    <row r="587" spans="2:8" x14ac:dyDescent="0.25">
      <c r="B587">
        <v>585</v>
      </c>
      <c r="C587" t="s">
        <v>1251</v>
      </c>
      <c r="D587">
        <v>0</v>
      </c>
      <c r="E587" t="s">
        <v>21</v>
      </c>
      <c r="F587" s="121" t="s">
        <v>1252</v>
      </c>
      <c r="G587" s="103" t="s">
        <v>37</v>
      </c>
      <c r="H587" s="103" t="s">
        <v>1253</v>
      </c>
    </row>
    <row r="588" spans="2:8" x14ac:dyDescent="0.25">
      <c r="B588">
        <v>586</v>
      </c>
      <c r="C588" t="s">
        <v>1254</v>
      </c>
      <c r="D588">
        <v>0</v>
      </c>
      <c r="E588" t="s">
        <v>35</v>
      </c>
      <c r="F588" s="121" t="s">
        <v>36</v>
      </c>
      <c r="G588" s="103" t="s">
        <v>37</v>
      </c>
      <c r="H588" s="103" t="s">
        <v>1255</v>
      </c>
    </row>
    <row r="589" spans="2:8" x14ac:dyDescent="0.25">
      <c r="B589">
        <v>587</v>
      </c>
      <c r="C589" t="s">
        <v>1256</v>
      </c>
      <c r="D589">
        <v>0</v>
      </c>
      <c r="E589" t="s">
        <v>21</v>
      </c>
      <c r="F589" s="121" t="s">
        <v>44</v>
      </c>
      <c r="G589" s="103" t="s">
        <v>22</v>
      </c>
      <c r="H589" s="103" t="s">
        <v>1257</v>
      </c>
    </row>
    <row r="590" spans="2:8" x14ac:dyDescent="0.25">
      <c r="B590">
        <v>588</v>
      </c>
      <c r="C590" t="s">
        <v>1258</v>
      </c>
      <c r="D590">
        <v>0</v>
      </c>
      <c r="E590" t="s">
        <v>9</v>
      </c>
      <c r="F590" s="121">
        <v>4825</v>
      </c>
      <c r="G590" s="103" t="s">
        <v>720</v>
      </c>
      <c r="H590" s="103" t="s">
        <v>1259</v>
      </c>
    </row>
    <row r="591" spans="2:8" x14ac:dyDescent="0.25">
      <c r="B591">
        <v>589</v>
      </c>
      <c r="C591" t="s">
        <v>1260</v>
      </c>
      <c r="D591">
        <v>0</v>
      </c>
      <c r="E591" t="s">
        <v>9</v>
      </c>
      <c r="F591" s="121">
        <v>4825</v>
      </c>
      <c r="G591" s="103" t="s">
        <v>720</v>
      </c>
      <c r="H591" s="103" t="s">
        <v>1261</v>
      </c>
    </row>
    <row r="592" spans="2:8" x14ac:dyDescent="0.25">
      <c r="B592">
        <v>590</v>
      </c>
      <c r="C592" t="s">
        <v>1262</v>
      </c>
      <c r="D592">
        <v>0</v>
      </c>
      <c r="E592" t="s">
        <v>9</v>
      </c>
      <c r="F592" s="121">
        <v>780</v>
      </c>
      <c r="G592" s="103" t="s">
        <v>731</v>
      </c>
      <c r="H592" s="103" t="s">
        <v>1263</v>
      </c>
    </row>
    <row r="593" spans="2:8" x14ac:dyDescent="0.25">
      <c r="B593">
        <v>591</v>
      </c>
      <c r="C593" t="s">
        <v>1264</v>
      </c>
      <c r="D593">
        <v>0</v>
      </c>
      <c r="E593" t="s">
        <v>9</v>
      </c>
      <c r="F593" s="121">
        <v>241</v>
      </c>
      <c r="G593" s="103" t="s">
        <v>720</v>
      </c>
      <c r="H593" s="103" t="s">
        <v>1265</v>
      </c>
    </row>
    <row r="594" spans="2:8" x14ac:dyDescent="0.25">
      <c r="B594">
        <v>592</v>
      </c>
      <c r="C594" t="s">
        <v>1266</v>
      </c>
      <c r="D594">
        <v>0</v>
      </c>
      <c r="E594" t="s">
        <v>9</v>
      </c>
      <c r="F594" s="121">
        <v>4825</v>
      </c>
      <c r="G594" s="103" t="s">
        <v>720</v>
      </c>
      <c r="H594" s="103" t="s">
        <v>1267</v>
      </c>
    </row>
    <row r="595" spans="2:8" x14ac:dyDescent="0.25">
      <c r="B595">
        <v>593</v>
      </c>
      <c r="C595" t="s">
        <v>1268</v>
      </c>
      <c r="D595">
        <v>0</v>
      </c>
      <c r="E595" t="s">
        <v>9</v>
      </c>
      <c r="F595" s="121">
        <v>1655</v>
      </c>
      <c r="G595" s="103" t="s">
        <v>720</v>
      </c>
      <c r="H595" s="103" t="s">
        <v>1269</v>
      </c>
    </row>
    <row r="596" spans="2:8" x14ac:dyDescent="0.25">
      <c r="B596">
        <v>594</v>
      </c>
      <c r="C596" t="s">
        <v>1270</v>
      </c>
      <c r="D596">
        <v>0</v>
      </c>
      <c r="E596" t="s">
        <v>9</v>
      </c>
      <c r="F596" s="121">
        <v>783</v>
      </c>
      <c r="G596" s="103" t="s">
        <v>720</v>
      </c>
      <c r="H596" s="103" t="s">
        <v>1271</v>
      </c>
    </row>
    <row r="597" spans="2:8" x14ac:dyDescent="0.25">
      <c r="B597">
        <v>595</v>
      </c>
      <c r="C597" t="s">
        <v>1272</v>
      </c>
      <c r="D597">
        <v>0</v>
      </c>
      <c r="E597" t="s">
        <v>21</v>
      </c>
      <c r="F597" s="121" t="s">
        <v>44</v>
      </c>
      <c r="G597" s="103" t="s">
        <v>22</v>
      </c>
      <c r="H597" s="103" t="s">
        <v>1273</v>
      </c>
    </row>
    <row r="598" spans="2:8" x14ac:dyDescent="0.25">
      <c r="B598">
        <v>596</v>
      </c>
      <c r="C598" t="s">
        <v>1274</v>
      </c>
      <c r="D598">
        <v>0</v>
      </c>
      <c r="E598" t="s">
        <v>9</v>
      </c>
      <c r="F598" s="121">
        <v>780</v>
      </c>
      <c r="G598" s="103" t="s">
        <v>720</v>
      </c>
      <c r="H598" s="103" t="s">
        <v>1275</v>
      </c>
    </row>
    <row r="599" spans="2:8" x14ac:dyDescent="0.25">
      <c r="B599">
        <v>597</v>
      </c>
      <c r="C599" t="s">
        <v>1276</v>
      </c>
      <c r="D599">
        <v>0</v>
      </c>
      <c r="E599" t="s">
        <v>35</v>
      </c>
      <c r="F599" s="121" t="s">
        <v>670</v>
      </c>
      <c r="G599" s="103" t="s">
        <v>37</v>
      </c>
      <c r="H599" s="103" t="s">
        <v>1277</v>
      </c>
    </row>
    <row r="600" spans="2:8" x14ac:dyDescent="0.25">
      <c r="B600">
        <v>598</v>
      </c>
      <c r="C600" t="s">
        <v>1278</v>
      </c>
      <c r="D600">
        <v>0</v>
      </c>
      <c r="E600" t="s">
        <v>9</v>
      </c>
      <c r="F600" s="121">
        <v>2734</v>
      </c>
      <c r="G600" s="103" t="s">
        <v>720</v>
      </c>
      <c r="H600" s="103" t="s">
        <v>1279</v>
      </c>
    </row>
    <row r="601" spans="2:8" x14ac:dyDescent="0.25">
      <c r="B601">
        <v>599</v>
      </c>
      <c r="C601" t="s">
        <v>1280</v>
      </c>
      <c r="D601">
        <v>0</v>
      </c>
      <c r="E601" t="s">
        <v>9</v>
      </c>
      <c r="F601" s="121">
        <v>4825</v>
      </c>
      <c r="G601" s="103" t="s">
        <v>720</v>
      </c>
      <c r="H601" s="103" t="s">
        <v>1281</v>
      </c>
    </row>
    <row r="602" spans="2:8" x14ac:dyDescent="0.25">
      <c r="B602">
        <v>600</v>
      </c>
      <c r="C602" t="s">
        <v>1282</v>
      </c>
      <c r="D602">
        <v>0</v>
      </c>
      <c r="E602" t="s">
        <v>21</v>
      </c>
      <c r="F602" s="121" t="s">
        <v>44</v>
      </c>
      <c r="G602" s="103" t="s">
        <v>22</v>
      </c>
      <c r="H602" s="103" t="s">
        <v>1283</v>
      </c>
    </row>
    <row r="603" spans="2:8" x14ac:dyDescent="0.25">
      <c r="B603">
        <v>601</v>
      </c>
      <c r="C603" t="s">
        <v>1284</v>
      </c>
      <c r="D603">
        <v>0</v>
      </c>
      <c r="E603" t="s">
        <v>9</v>
      </c>
      <c r="F603" s="121">
        <v>4825</v>
      </c>
      <c r="G603" s="103" t="s">
        <v>720</v>
      </c>
      <c r="H603" s="103" t="s">
        <v>1285</v>
      </c>
    </row>
    <row r="604" spans="2:8" x14ac:dyDescent="0.25">
      <c r="B604">
        <v>602</v>
      </c>
      <c r="C604" t="s">
        <v>1286</v>
      </c>
      <c r="D604">
        <v>0</v>
      </c>
      <c r="E604" t="s">
        <v>9</v>
      </c>
      <c r="F604" s="121">
        <v>780</v>
      </c>
      <c r="G604" s="103" t="s">
        <v>720</v>
      </c>
      <c r="H604" s="103" t="s">
        <v>1287</v>
      </c>
    </row>
    <row r="605" spans="2:8" x14ac:dyDescent="0.25">
      <c r="B605">
        <v>603</v>
      </c>
      <c r="C605" t="s">
        <v>1288</v>
      </c>
      <c r="D605" t="s">
        <v>4628</v>
      </c>
      <c r="E605" t="s">
        <v>9</v>
      </c>
      <c r="F605" s="121">
        <v>4818</v>
      </c>
      <c r="H605" s="103" t="s">
        <v>4629</v>
      </c>
    </row>
    <row r="606" spans="2:8" x14ac:dyDescent="0.25">
      <c r="B606">
        <v>604</v>
      </c>
      <c r="C606" t="s">
        <v>1289</v>
      </c>
      <c r="D606">
        <v>0</v>
      </c>
      <c r="E606" t="s">
        <v>9</v>
      </c>
      <c r="F606" s="121">
        <v>949</v>
      </c>
      <c r="G606" s="103" t="s">
        <v>720</v>
      </c>
      <c r="H606" s="103" t="s">
        <v>1290</v>
      </c>
    </row>
    <row r="607" spans="2:8" x14ac:dyDescent="0.25">
      <c r="B607">
        <v>605</v>
      </c>
      <c r="C607" t="s">
        <v>1291</v>
      </c>
      <c r="D607">
        <v>0</v>
      </c>
      <c r="E607" t="s">
        <v>21</v>
      </c>
      <c r="F607" s="121" t="s">
        <v>72</v>
      </c>
      <c r="G607" s="103" t="s">
        <v>87</v>
      </c>
      <c r="H607" s="103" t="s">
        <v>1292</v>
      </c>
    </row>
    <row r="608" spans="2:8" x14ac:dyDescent="0.25">
      <c r="B608">
        <v>606</v>
      </c>
      <c r="C608" t="s">
        <v>1293</v>
      </c>
      <c r="D608">
        <v>0</v>
      </c>
      <c r="E608" t="s">
        <v>21</v>
      </c>
      <c r="F608" s="121" t="s">
        <v>264</v>
      </c>
      <c r="G608" s="103" t="s">
        <v>22</v>
      </c>
      <c r="H608" s="103" t="s">
        <v>1294</v>
      </c>
    </row>
    <row r="609" spans="2:8" x14ac:dyDescent="0.25">
      <c r="B609">
        <v>607</v>
      </c>
      <c r="C609" t="s">
        <v>1295</v>
      </c>
      <c r="D609">
        <v>0</v>
      </c>
      <c r="E609" t="s">
        <v>9</v>
      </c>
      <c r="F609" s="121">
        <v>4825</v>
      </c>
      <c r="G609" s="103" t="s">
        <v>720</v>
      </c>
      <c r="H609" s="103" t="s">
        <v>1296</v>
      </c>
    </row>
    <row r="610" spans="2:8" x14ac:dyDescent="0.25">
      <c r="B610">
        <v>608</v>
      </c>
      <c r="C610" t="s">
        <v>1297</v>
      </c>
      <c r="D610">
        <v>0</v>
      </c>
      <c r="E610" t="s">
        <v>9</v>
      </c>
      <c r="F610" s="121">
        <v>4818</v>
      </c>
      <c r="G610" s="103" t="s">
        <v>720</v>
      </c>
      <c r="H610" s="103" t="s">
        <v>1298</v>
      </c>
    </row>
    <row r="611" spans="2:8" x14ac:dyDescent="0.25">
      <c r="B611">
        <v>609</v>
      </c>
      <c r="C611" t="s">
        <v>1299</v>
      </c>
      <c r="D611">
        <v>0</v>
      </c>
      <c r="E611" t="s">
        <v>9</v>
      </c>
      <c r="F611" s="121">
        <v>949</v>
      </c>
      <c r="G611" s="103" t="s">
        <v>720</v>
      </c>
      <c r="H611" s="103" t="s">
        <v>1300</v>
      </c>
    </row>
    <row r="612" spans="2:8" x14ac:dyDescent="0.25">
      <c r="B612">
        <v>610</v>
      </c>
      <c r="C612" t="s">
        <v>1301</v>
      </c>
      <c r="D612">
        <v>0</v>
      </c>
      <c r="E612" t="s">
        <v>9</v>
      </c>
      <c r="F612" s="121">
        <v>949</v>
      </c>
      <c r="G612" s="103" t="s">
        <v>731</v>
      </c>
      <c r="H612" s="103" t="s">
        <v>1302</v>
      </c>
    </row>
    <row r="613" spans="2:8" x14ac:dyDescent="0.25">
      <c r="B613">
        <v>611</v>
      </c>
      <c r="C613" t="s">
        <v>1303</v>
      </c>
      <c r="D613">
        <v>0</v>
      </c>
      <c r="E613" t="s">
        <v>9</v>
      </c>
      <c r="F613" s="121">
        <v>4818</v>
      </c>
      <c r="G613" s="103" t="s">
        <v>720</v>
      </c>
      <c r="H613" s="103" t="s">
        <v>312</v>
      </c>
    </row>
    <row r="614" spans="2:8" x14ac:dyDescent="0.25">
      <c r="B614">
        <v>612</v>
      </c>
      <c r="C614" t="s">
        <v>1304</v>
      </c>
      <c r="D614">
        <v>0</v>
      </c>
      <c r="E614" t="s">
        <v>9</v>
      </c>
      <c r="F614" s="121">
        <v>949</v>
      </c>
      <c r="G614" s="103" t="s">
        <v>720</v>
      </c>
      <c r="H614" s="103" t="s">
        <v>1305</v>
      </c>
    </row>
    <row r="615" spans="2:8" x14ac:dyDescent="0.25">
      <c r="B615">
        <v>613</v>
      </c>
      <c r="C615" t="s">
        <v>1306</v>
      </c>
      <c r="D615">
        <v>0</v>
      </c>
      <c r="E615" t="s">
        <v>9</v>
      </c>
      <c r="F615" s="121">
        <v>949</v>
      </c>
      <c r="G615" s="103" t="s">
        <v>731</v>
      </c>
      <c r="H615" s="103" t="s">
        <v>1307</v>
      </c>
    </row>
    <row r="616" spans="2:8" x14ac:dyDescent="0.25">
      <c r="B616">
        <v>614</v>
      </c>
      <c r="C616" t="s">
        <v>1308</v>
      </c>
      <c r="D616">
        <v>0</v>
      </c>
      <c r="E616" t="s">
        <v>9</v>
      </c>
      <c r="F616" s="121">
        <v>4818</v>
      </c>
      <c r="G616" s="103" t="s">
        <v>720</v>
      </c>
      <c r="H616" s="103" t="s">
        <v>1309</v>
      </c>
    </row>
    <row r="617" spans="2:8" x14ac:dyDescent="0.25">
      <c r="B617">
        <v>615</v>
      </c>
      <c r="C617" t="s">
        <v>1310</v>
      </c>
      <c r="D617">
        <v>0</v>
      </c>
      <c r="E617" t="s">
        <v>9</v>
      </c>
      <c r="F617" s="121">
        <v>13</v>
      </c>
      <c r="G617" s="103" t="s">
        <v>720</v>
      </c>
      <c r="H617" s="103" t="s">
        <v>1311</v>
      </c>
    </row>
    <row r="618" spans="2:8" x14ac:dyDescent="0.25">
      <c r="B618">
        <v>616</v>
      </c>
      <c r="C618" t="s">
        <v>1312</v>
      </c>
      <c r="D618">
        <v>0</v>
      </c>
      <c r="E618" t="s">
        <v>9</v>
      </c>
      <c r="F618" s="121">
        <v>4825</v>
      </c>
      <c r="G618" s="103" t="s">
        <v>720</v>
      </c>
      <c r="H618" s="103" t="s">
        <v>1313</v>
      </c>
    </row>
    <row r="619" spans="2:8" x14ac:dyDescent="0.25">
      <c r="B619">
        <v>617</v>
      </c>
      <c r="C619" t="s">
        <v>1314</v>
      </c>
      <c r="D619">
        <v>0</v>
      </c>
      <c r="E619" t="s">
        <v>9</v>
      </c>
      <c r="F619" s="121">
        <v>780</v>
      </c>
      <c r="G619" s="103" t="s">
        <v>731</v>
      </c>
      <c r="H619" s="103" t="s">
        <v>1315</v>
      </c>
    </row>
    <row r="620" spans="2:8" x14ac:dyDescent="0.25">
      <c r="B620">
        <v>618</v>
      </c>
      <c r="C620" t="s">
        <v>1316</v>
      </c>
      <c r="D620">
        <v>0</v>
      </c>
      <c r="E620" t="s">
        <v>9</v>
      </c>
      <c r="F620" s="121">
        <v>4825</v>
      </c>
      <c r="G620" s="103" t="s">
        <v>784</v>
      </c>
      <c r="H620" s="103" t="s">
        <v>1317</v>
      </c>
    </row>
    <row r="621" spans="2:8" x14ac:dyDescent="0.25">
      <c r="B621">
        <v>619</v>
      </c>
      <c r="C621" t="s">
        <v>1318</v>
      </c>
      <c r="D621">
        <v>0</v>
      </c>
      <c r="E621" t="s">
        <v>9</v>
      </c>
      <c r="F621" s="121">
        <v>4825</v>
      </c>
      <c r="G621" s="103" t="s">
        <v>720</v>
      </c>
      <c r="H621" s="103" t="s">
        <v>1319</v>
      </c>
    </row>
    <row r="622" spans="2:8" x14ac:dyDescent="0.25">
      <c r="B622">
        <v>620</v>
      </c>
      <c r="C622" t="s">
        <v>1320</v>
      </c>
      <c r="D622" t="s">
        <v>1321</v>
      </c>
      <c r="E622" t="s">
        <v>9</v>
      </c>
      <c r="F622" s="121">
        <v>780</v>
      </c>
      <c r="G622" s="103" t="s">
        <v>731</v>
      </c>
      <c r="H622" s="103" t="s">
        <v>1322</v>
      </c>
    </row>
    <row r="623" spans="2:8" x14ac:dyDescent="0.25">
      <c r="B623">
        <v>621</v>
      </c>
      <c r="C623" t="s">
        <v>1323</v>
      </c>
      <c r="D623">
        <v>0</v>
      </c>
      <c r="E623" t="s">
        <v>9</v>
      </c>
      <c r="F623" s="121">
        <v>4825</v>
      </c>
      <c r="G623" s="103" t="s">
        <v>720</v>
      </c>
      <c r="H623" s="103" t="s">
        <v>1324</v>
      </c>
    </row>
    <row r="624" spans="2:8" x14ac:dyDescent="0.25">
      <c r="B624">
        <v>622</v>
      </c>
      <c r="C624" t="s">
        <v>1325</v>
      </c>
      <c r="D624">
        <v>0</v>
      </c>
      <c r="E624" t="s">
        <v>9</v>
      </c>
      <c r="F624" s="121">
        <v>780</v>
      </c>
      <c r="G624" s="103" t="s">
        <v>731</v>
      </c>
      <c r="H624" s="103" t="s">
        <v>1326</v>
      </c>
    </row>
    <row r="625" spans="2:8" x14ac:dyDescent="0.25">
      <c r="B625">
        <v>623</v>
      </c>
      <c r="C625" t="s">
        <v>1327</v>
      </c>
      <c r="D625" t="s">
        <v>1328</v>
      </c>
      <c r="E625" t="s">
        <v>21</v>
      </c>
      <c r="F625" s="121">
        <v>3862</v>
      </c>
      <c r="H625" s="103" t="s">
        <v>1329</v>
      </c>
    </row>
    <row r="626" spans="2:8" x14ac:dyDescent="0.25">
      <c r="B626">
        <v>624</v>
      </c>
      <c r="C626" t="s">
        <v>1330</v>
      </c>
      <c r="D626">
        <v>0</v>
      </c>
      <c r="E626" t="s">
        <v>9</v>
      </c>
      <c r="F626" s="121">
        <v>4825</v>
      </c>
      <c r="G626" s="103" t="s">
        <v>720</v>
      </c>
      <c r="H626" s="103" t="s">
        <v>1331</v>
      </c>
    </row>
    <row r="627" spans="2:8" x14ac:dyDescent="0.25">
      <c r="B627">
        <v>625</v>
      </c>
      <c r="C627" t="s">
        <v>1332</v>
      </c>
      <c r="D627">
        <v>0</v>
      </c>
      <c r="E627" t="s">
        <v>9</v>
      </c>
      <c r="F627" s="121">
        <v>780</v>
      </c>
      <c r="G627" s="103" t="s">
        <v>731</v>
      </c>
      <c r="H627" s="103" t="s">
        <v>1333</v>
      </c>
    </row>
    <row r="628" spans="2:8" x14ac:dyDescent="0.25">
      <c r="B628">
        <v>626</v>
      </c>
      <c r="C628" t="s">
        <v>1334</v>
      </c>
      <c r="D628">
        <v>0</v>
      </c>
      <c r="E628" t="s">
        <v>35</v>
      </c>
      <c r="F628" s="121" t="s">
        <v>36</v>
      </c>
      <c r="G628" s="103" t="s">
        <v>22</v>
      </c>
      <c r="H628" s="103" t="s">
        <v>1335</v>
      </c>
    </row>
    <row r="629" spans="2:8" x14ac:dyDescent="0.25">
      <c r="B629">
        <v>627</v>
      </c>
      <c r="C629" t="s">
        <v>1336</v>
      </c>
      <c r="D629">
        <v>0</v>
      </c>
      <c r="E629" t="s">
        <v>35</v>
      </c>
      <c r="F629" s="121" t="s">
        <v>379</v>
      </c>
      <c r="G629" s="103" t="s">
        <v>22</v>
      </c>
      <c r="H629" s="103" t="s">
        <v>1337</v>
      </c>
    </row>
    <row r="630" spans="2:8" x14ac:dyDescent="0.25">
      <c r="B630">
        <v>628</v>
      </c>
      <c r="C630" t="s">
        <v>1338</v>
      </c>
      <c r="D630">
        <v>0</v>
      </c>
      <c r="E630" t="s">
        <v>9</v>
      </c>
      <c r="F630" s="121">
        <v>4825</v>
      </c>
      <c r="G630" s="103" t="s">
        <v>720</v>
      </c>
      <c r="H630" s="103" t="s">
        <v>1339</v>
      </c>
    </row>
    <row r="631" spans="2:8" x14ac:dyDescent="0.25">
      <c r="B631">
        <v>629</v>
      </c>
      <c r="C631" t="s">
        <v>1340</v>
      </c>
      <c r="D631">
        <v>0</v>
      </c>
      <c r="E631" t="s">
        <v>9</v>
      </c>
      <c r="F631" s="121">
        <v>949</v>
      </c>
      <c r="G631" s="103" t="s">
        <v>731</v>
      </c>
      <c r="H631" s="103" t="s">
        <v>1341</v>
      </c>
    </row>
    <row r="632" spans="2:8" x14ac:dyDescent="0.25">
      <c r="B632">
        <v>630</v>
      </c>
      <c r="C632" t="s">
        <v>1342</v>
      </c>
      <c r="D632">
        <v>0</v>
      </c>
      <c r="E632" t="s">
        <v>9</v>
      </c>
      <c r="F632" s="121">
        <v>4825</v>
      </c>
      <c r="G632" s="103" t="s">
        <v>720</v>
      </c>
      <c r="H632" s="103" t="s">
        <v>1343</v>
      </c>
    </row>
    <row r="633" spans="2:8" x14ac:dyDescent="0.25">
      <c r="B633">
        <v>631</v>
      </c>
      <c r="C633" t="s">
        <v>1344</v>
      </c>
      <c r="D633">
        <v>0</v>
      </c>
      <c r="E633" t="s">
        <v>9</v>
      </c>
      <c r="F633" s="121">
        <v>4825</v>
      </c>
      <c r="G633" s="103" t="s">
        <v>720</v>
      </c>
      <c r="H633" s="103" t="s">
        <v>1345</v>
      </c>
    </row>
    <row r="634" spans="2:8" x14ac:dyDescent="0.25">
      <c r="B634">
        <v>632</v>
      </c>
      <c r="C634" t="s">
        <v>1346</v>
      </c>
      <c r="D634">
        <v>0</v>
      </c>
      <c r="E634" t="s">
        <v>9</v>
      </c>
      <c r="F634" s="121">
        <v>4825</v>
      </c>
      <c r="G634" s="103" t="s">
        <v>720</v>
      </c>
      <c r="H634" s="103" t="s">
        <v>1347</v>
      </c>
    </row>
    <row r="635" spans="2:8" x14ac:dyDescent="0.25">
      <c r="B635">
        <v>633</v>
      </c>
      <c r="C635" t="s">
        <v>1348</v>
      </c>
      <c r="D635">
        <v>0</v>
      </c>
      <c r="E635" t="s">
        <v>9</v>
      </c>
      <c r="F635" s="121">
        <v>4825</v>
      </c>
      <c r="G635" s="103" t="s">
        <v>720</v>
      </c>
      <c r="H635" s="103" t="s">
        <v>1349</v>
      </c>
    </row>
    <row r="636" spans="2:8" x14ac:dyDescent="0.25">
      <c r="B636">
        <v>634</v>
      </c>
      <c r="C636" t="s">
        <v>1350</v>
      </c>
      <c r="D636">
        <v>0</v>
      </c>
      <c r="E636" t="s">
        <v>9</v>
      </c>
      <c r="F636" s="121">
        <v>780</v>
      </c>
      <c r="G636" s="103" t="s">
        <v>731</v>
      </c>
      <c r="H636" s="103" t="s">
        <v>1351</v>
      </c>
    </row>
    <row r="637" spans="2:8" x14ac:dyDescent="0.25">
      <c r="B637">
        <v>635</v>
      </c>
      <c r="C637" t="s">
        <v>1352</v>
      </c>
      <c r="D637">
        <v>0</v>
      </c>
      <c r="E637" t="s">
        <v>21</v>
      </c>
      <c r="F637" s="121" t="s">
        <v>1353</v>
      </c>
      <c r="G637" s="103" t="s">
        <v>37</v>
      </c>
      <c r="H637" s="103" t="s">
        <v>1354</v>
      </c>
    </row>
    <row r="638" spans="2:8" x14ac:dyDescent="0.25">
      <c r="B638">
        <v>636</v>
      </c>
      <c r="C638" t="s">
        <v>1355</v>
      </c>
      <c r="D638" t="s">
        <v>1356</v>
      </c>
      <c r="E638" t="s">
        <v>9</v>
      </c>
      <c r="F638" s="121">
        <v>4825</v>
      </c>
      <c r="G638" s="103" t="s">
        <v>720</v>
      </c>
      <c r="H638" s="103" t="s">
        <v>1357</v>
      </c>
    </row>
    <row r="639" spans="2:8" x14ac:dyDescent="0.25">
      <c r="B639">
        <v>637</v>
      </c>
      <c r="C639" t="s">
        <v>1358</v>
      </c>
      <c r="D639">
        <v>0</v>
      </c>
      <c r="E639" t="s">
        <v>9</v>
      </c>
      <c r="F639" s="121">
        <v>4825</v>
      </c>
      <c r="G639" s="103" t="s">
        <v>720</v>
      </c>
      <c r="H639" s="103" t="s">
        <v>1359</v>
      </c>
    </row>
    <row r="640" spans="2:8" x14ac:dyDescent="0.25">
      <c r="B640">
        <v>638</v>
      </c>
      <c r="C640" t="s">
        <v>1360</v>
      </c>
      <c r="D640">
        <v>0</v>
      </c>
      <c r="E640" t="s">
        <v>9</v>
      </c>
      <c r="F640" s="121">
        <v>780</v>
      </c>
      <c r="G640" s="103" t="s">
        <v>731</v>
      </c>
      <c r="H640" s="103" t="s">
        <v>1361</v>
      </c>
    </row>
    <row r="641" spans="2:8" x14ac:dyDescent="0.25">
      <c r="B641">
        <v>639</v>
      </c>
      <c r="C641" t="s">
        <v>1362</v>
      </c>
      <c r="D641">
        <v>0</v>
      </c>
      <c r="E641" t="s">
        <v>9</v>
      </c>
      <c r="F641" s="121">
        <v>780</v>
      </c>
      <c r="G641" s="103" t="s">
        <v>720</v>
      </c>
      <c r="H641" s="103" t="s">
        <v>1363</v>
      </c>
    </row>
    <row r="642" spans="2:8" x14ac:dyDescent="0.25">
      <c r="B642">
        <v>640</v>
      </c>
      <c r="C642" t="s">
        <v>1364</v>
      </c>
      <c r="D642">
        <v>0</v>
      </c>
      <c r="E642" t="s">
        <v>9</v>
      </c>
      <c r="F642" s="121">
        <v>4825</v>
      </c>
      <c r="G642" s="103" t="s">
        <v>720</v>
      </c>
      <c r="H642" s="103" t="s">
        <v>1365</v>
      </c>
    </row>
    <row r="643" spans="2:8" x14ac:dyDescent="0.25">
      <c r="B643">
        <v>641</v>
      </c>
      <c r="C643" t="s">
        <v>1366</v>
      </c>
      <c r="D643">
        <v>0</v>
      </c>
      <c r="E643" t="s">
        <v>9</v>
      </c>
      <c r="F643" s="121">
        <v>780</v>
      </c>
      <c r="G643" s="103" t="s">
        <v>731</v>
      </c>
      <c r="H643" s="103" t="s">
        <v>1367</v>
      </c>
    </row>
    <row r="644" spans="2:8" x14ac:dyDescent="0.25">
      <c r="B644">
        <v>642</v>
      </c>
      <c r="C644" t="s">
        <v>1368</v>
      </c>
      <c r="D644">
        <v>0</v>
      </c>
      <c r="E644" t="s">
        <v>9</v>
      </c>
      <c r="F644" s="121">
        <v>780</v>
      </c>
      <c r="G644" s="103" t="s">
        <v>731</v>
      </c>
      <c r="H644" s="103" t="s">
        <v>1369</v>
      </c>
    </row>
    <row r="645" spans="2:8" x14ac:dyDescent="0.25">
      <c r="B645">
        <v>643</v>
      </c>
      <c r="C645" t="s">
        <v>1370</v>
      </c>
      <c r="D645">
        <v>0</v>
      </c>
      <c r="E645" t="s">
        <v>9</v>
      </c>
      <c r="F645" s="121">
        <v>4535</v>
      </c>
      <c r="G645" s="103" t="s">
        <v>720</v>
      </c>
      <c r="H645" s="103" t="s">
        <v>225</v>
      </c>
    </row>
    <row r="646" spans="2:8" x14ac:dyDescent="0.25">
      <c r="B646">
        <v>644</v>
      </c>
      <c r="C646" t="s">
        <v>1371</v>
      </c>
      <c r="D646">
        <v>0</v>
      </c>
      <c r="E646" t="s">
        <v>9</v>
      </c>
      <c r="F646" s="121">
        <v>1510</v>
      </c>
      <c r="G646" s="103" t="s">
        <v>720</v>
      </c>
      <c r="H646" s="103" t="s">
        <v>1372</v>
      </c>
    </row>
    <row r="647" spans="2:8" x14ac:dyDescent="0.25">
      <c r="B647">
        <v>645</v>
      </c>
      <c r="C647" t="s">
        <v>1373</v>
      </c>
      <c r="D647" t="s">
        <v>5244</v>
      </c>
      <c r="E647" t="s">
        <v>9</v>
      </c>
      <c r="F647" s="121">
        <v>634</v>
      </c>
      <c r="H647" s="103" t="s">
        <v>5243</v>
      </c>
    </row>
    <row r="648" spans="2:8" x14ac:dyDescent="0.25">
      <c r="B648">
        <v>646</v>
      </c>
      <c r="C648" t="s">
        <v>1012</v>
      </c>
      <c r="D648">
        <v>0</v>
      </c>
      <c r="E648" t="s">
        <v>9</v>
      </c>
      <c r="F648" s="121">
        <v>4825</v>
      </c>
      <c r="G648" s="103" t="s">
        <v>720</v>
      </c>
      <c r="H648" s="103" t="s">
        <v>1013</v>
      </c>
    </row>
    <row r="649" spans="2:8" x14ac:dyDescent="0.25">
      <c r="B649">
        <v>647</v>
      </c>
      <c r="C649" t="s">
        <v>1374</v>
      </c>
      <c r="D649">
        <v>0</v>
      </c>
      <c r="E649" t="s">
        <v>9</v>
      </c>
      <c r="F649" s="121">
        <v>3204</v>
      </c>
      <c r="G649" s="103" t="s">
        <v>720</v>
      </c>
      <c r="H649" s="103" t="s">
        <v>1375</v>
      </c>
    </row>
    <row r="650" spans="2:8" x14ac:dyDescent="0.25">
      <c r="B650">
        <v>648</v>
      </c>
      <c r="C650" t="s">
        <v>1376</v>
      </c>
      <c r="D650">
        <v>0</v>
      </c>
      <c r="E650" t="s">
        <v>9</v>
      </c>
      <c r="F650" s="121">
        <v>128</v>
      </c>
      <c r="G650" s="103" t="s">
        <v>720</v>
      </c>
      <c r="H650" s="103" t="s">
        <v>1377</v>
      </c>
    </row>
    <row r="651" spans="2:8" x14ac:dyDescent="0.25">
      <c r="B651">
        <v>649</v>
      </c>
      <c r="C651" t="s">
        <v>1378</v>
      </c>
      <c r="D651">
        <v>0</v>
      </c>
      <c r="E651" t="s">
        <v>9</v>
      </c>
      <c r="F651" s="121">
        <v>780</v>
      </c>
      <c r="G651" s="103" t="s">
        <v>731</v>
      </c>
      <c r="H651" s="103" t="s">
        <v>1379</v>
      </c>
    </row>
    <row r="652" spans="2:8" x14ac:dyDescent="0.25">
      <c r="B652">
        <v>650</v>
      </c>
      <c r="C652" t="s">
        <v>1380</v>
      </c>
      <c r="D652">
        <v>0</v>
      </c>
      <c r="E652" t="s">
        <v>9</v>
      </c>
      <c r="F652" s="121">
        <v>4825</v>
      </c>
      <c r="G652" s="103" t="s">
        <v>720</v>
      </c>
      <c r="H652" s="103" t="s">
        <v>1381</v>
      </c>
    </row>
    <row r="653" spans="2:8" x14ac:dyDescent="0.25">
      <c r="B653">
        <v>651</v>
      </c>
      <c r="C653" t="s">
        <v>1382</v>
      </c>
      <c r="D653">
        <v>0</v>
      </c>
      <c r="E653" t="s">
        <v>9</v>
      </c>
      <c r="F653" s="121">
        <v>2010</v>
      </c>
      <c r="G653" s="103" t="s">
        <v>720</v>
      </c>
      <c r="H653" s="103" t="s">
        <v>1383</v>
      </c>
    </row>
    <row r="654" spans="2:8" x14ac:dyDescent="0.25">
      <c r="B654">
        <v>652</v>
      </c>
      <c r="C654" t="s">
        <v>1384</v>
      </c>
      <c r="D654">
        <v>0</v>
      </c>
      <c r="E654" t="s">
        <v>9</v>
      </c>
      <c r="F654" s="121">
        <v>359</v>
      </c>
      <c r="G654" s="103" t="s">
        <v>720</v>
      </c>
      <c r="H654" s="103" t="s">
        <v>1385</v>
      </c>
    </row>
    <row r="655" spans="2:8" x14ac:dyDescent="0.25">
      <c r="B655">
        <v>653</v>
      </c>
      <c r="C655" t="s">
        <v>1386</v>
      </c>
      <c r="D655" t="s">
        <v>1387</v>
      </c>
      <c r="E655" t="s">
        <v>21</v>
      </c>
      <c r="F655" s="121" t="s">
        <v>44</v>
      </c>
      <c r="G655" s="103" t="s">
        <v>22</v>
      </c>
      <c r="H655" s="103" t="s">
        <v>1388</v>
      </c>
    </row>
    <row r="656" spans="2:8" x14ac:dyDescent="0.25">
      <c r="B656">
        <v>654</v>
      </c>
      <c r="C656" t="s">
        <v>1389</v>
      </c>
      <c r="D656">
        <v>0</v>
      </c>
      <c r="E656" t="s">
        <v>9</v>
      </c>
      <c r="F656" s="121">
        <v>4825</v>
      </c>
      <c r="G656" s="103" t="s">
        <v>720</v>
      </c>
      <c r="H656" s="103" t="s">
        <v>1390</v>
      </c>
    </row>
    <row r="657" spans="2:8" x14ac:dyDescent="0.25">
      <c r="B657">
        <v>655</v>
      </c>
      <c r="C657" t="s">
        <v>1391</v>
      </c>
      <c r="D657" t="s">
        <v>5209</v>
      </c>
      <c r="E657" t="s">
        <v>9</v>
      </c>
      <c r="F657" s="121">
        <v>4825</v>
      </c>
      <c r="G657" s="123"/>
      <c r="H657" s="103" t="s">
        <v>5203</v>
      </c>
    </row>
    <row r="658" spans="2:8" x14ac:dyDescent="0.25">
      <c r="B658">
        <v>656</v>
      </c>
      <c r="C658" t="s">
        <v>1392</v>
      </c>
      <c r="D658">
        <v>0</v>
      </c>
      <c r="E658" t="s">
        <v>9</v>
      </c>
      <c r="F658" s="121">
        <v>780</v>
      </c>
      <c r="G658" s="123">
        <v>13</v>
      </c>
      <c r="H658" s="103" t="s">
        <v>1393</v>
      </c>
    </row>
    <row r="659" spans="2:8" x14ac:dyDescent="0.25">
      <c r="B659">
        <v>657</v>
      </c>
      <c r="C659" t="s">
        <v>1394</v>
      </c>
      <c r="D659">
        <v>0</v>
      </c>
      <c r="E659" t="s">
        <v>9</v>
      </c>
      <c r="F659" s="121">
        <v>4825</v>
      </c>
      <c r="G659" s="123">
        <v>13</v>
      </c>
      <c r="H659" s="103" t="s">
        <v>1395</v>
      </c>
    </row>
    <row r="660" spans="2:8" x14ac:dyDescent="0.25">
      <c r="B660">
        <v>658</v>
      </c>
      <c r="C660" t="s">
        <v>1396</v>
      </c>
      <c r="D660" t="s">
        <v>1397</v>
      </c>
      <c r="E660" t="s">
        <v>21</v>
      </c>
      <c r="F660" s="121">
        <v>3899</v>
      </c>
      <c r="G660" s="123"/>
      <c r="H660" s="103" t="s">
        <v>1398</v>
      </c>
    </row>
    <row r="661" spans="2:8" x14ac:dyDescent="0.25">
      <c r="B661">
        <v>659</v>
      </c>
      <c r="C661" t="s">
        <v>1399</v>
      </c>
      <c r="D661" t="s">
        <v>1400</v>
      </c>
      <c r="E661" t="s">
        <v>9</v>
      </c>
      <c r="F661" s="121">
        <v>4825</v>
      </c>
      <c r="G661" s="123">
        <v>13</v>
      </c>
      <c r="H661" s="103" t="s">
        <v>1401</v>
      </c>
    </row>
    <row r="662" spans="2:8" x14ac:dyDescent="0.25">
      <c r="B662">
        <v>660</v>
      </c>
      <c r="C662" t="s">
        <v>1402</v>
      </c>
      <c r="D662">
        <v>0</v>
      </c>
      <c r="E662" t="s">
        <v>9</v>
      </c>
      <c r="F662" s="121">
        <v>780</v>
      </c>
      <c r="G662" s="123">
        <v>23</v>
      </c>
      <c r="H662" s="103" t="s">
        <v>1403</v>
      </c>
    </row>
    <row r="663" spans="2:8" x14ac:dyDescent="0.25">
      <c r="B663">
        <v>661</v>
      </c>
      <c r="C663" t="s">
        <v>1404</v>
      </c>
      <c r="D663">
        <v>0</v>
      </c>
      <c r="E663" t="s">
        <v>9</v>
      </c>
      <c r="F663" s="121">
        <v>4825</v>
      </c>
      <c r="G663" s="123">
        <v>13</v>
      </c>
      <c r="H663" s="103" t="s">
        <v>1405</v>
      </c>
    </row>
    <row r="664" spans="2:8" x14ac:dyDescent="0.25">
      <c r="B664">
        <v>662</v>
      </c>
      <c r="C664" t="s">
        <v>1406</v>
      </c>
      <c r="D664">
        <v>0</v>
      </c>
      <c r="E664" t="s">
        <v>9</v>
      </c>
      <c r="F664" s="121">
        <v>4818</v>
      </c>
      <c r="G664" s="123">
        <v>13</v>
      </c>
      <c r="H664" s="103" t="s">
        <v>1407</v>
      </c>
    </row>
    <row r="665" spans="2:8" x14ac:dyDescent="0.25">
      <c r="B665">
        <v>663</v>
      </c>
      <c r="C665" t="s">
        <v>1408</v>
      </c>
      <c r="D665">
        <v>0</v>
      </c>
      <c r="E665" t="s">
        <v>35</v>
      </c>
      <c r="F665" s="121" t="s">
        <v>36</v>
      </c>
      <c r="G665" s="123" t="s">
        <v>37</v>
      </c>
      <c r="H665" s="103" t="s">
        <v>1409</v>
      </c>
    </row>
    <row r="666" spans="2:8" x14ac:dyDescent="0.25">
      <c r="B666">
        <v>664</v>
      </c>
      <c r="C666" t="s">
        <v>1410</v>
      </c>
      <c r="D666">
        <v>0</v>
      </c>
      <c r="E666" t="s">
        <v>9</v>
      </c>
      <c r="F666" s="121">
        <v>2734</v>
      </c>
      <c r="G666" s="123">
        <v>13</v>
      </c>
      <c r="H666" s="103" t="s">
        <v>1411</v>
      </c>
    </row>
    <row r="667" spans="2:8" x14ac:dyDescent="0.25">
      <c r="B667">
        <v>665</v>
      </c>
      <c r="C667" t="s">
        <v>1412</v>
      </c>
      <c r="D667">
        <v>0</v>
      </c>
      <c r="E667" t="s">
        <v>9</v>
      </c>
      <c r="F667" s="121">
        <v>4818</v>
      </c>
      <c r="G667" s="123">
        <v>13</v>
      </c>
      <c r="H667" s="103" t="s">
        <v>1413</v>
      </c>
    </row>
    <row r="668" spans="2:8" x14ac:dyDescent="0.25">
      <c r="B668">
        <v>666</v>
      </c>
      <c r="C668" t="s">
        <v>5063</v>
      </c>
      <c r="D668" t="s">
        <v>5095</v>
      </c>
      <c r="E668" t="s">
        <v>9</v>
      </c>
      <c r="F668" s="121">
        <v>949</v>
      </c>
      <c r="G668" s="123">
        <v>13</v>
      </c>
      <c r="H668" s="103" t="s">
        <v>1414</v>
      </c>
    </row>
    <row r="669" spans="2:8" x14ac:dyDescent="0.25">
      <c r="B669">
        <v>667</v>
      </c>
      <c r="C669" t="s">
        <v>1415</v>
      </c>
      <c r="D669">
        <v>0</v>
      </c>
      <c r="E669" t="s">
        <v>9</v>
      </c>
      <c r="F669" s="121">
        <v>4825</v>
      </c>
      <c r="G669" s="123">
        <v>13</v>
      </c>
      <c r="H669" s="103" t="s">
        <v>1416</v>
      </c>
    </row>
    <row r="670" spans="2:8" x14ac:dyDescent="0.25">
      <c r="B670">
        <v>668</v>
      </c>
      <c r="C670" t="s">
        <v>1417</v>
      </c>
      <c r="D670">
        <v>0</v>
      </c>
      <c r="E670" t="s">
        <v>9</v>
      </c>
      <c r="F670" s="121">
        <v>2734</v>
      </c>
      <c r="G670" s="123">
        <v>13</v>
      </c>
      <c r="H670" s="103" t="s">
        <v>1418</v>
      </c>
    </row>
    <row r="671" spans="2:8" x14ac:dyDescent="0.25">
      <c r="B671">
        <v>669</v>
      </c>
      <c r="C671" t="s">
        <v>1419</v>
      </c>
      <c r="D671">
        <v>0</v>
      </c>
      <c r="E671" t="s">
        <v>9</v>
      </c>
      <c r="F671" s="121">
        <v>780</v>
      </c>
      <c r="G671" s="123">
        <v>13</v>
      </c>
      <c r="H671" s="103" t="s">
        <v>1420</v>
      </c>
    </row>
    <row r="672" spans="2:8" x14ac:dyDescent="0.25">
      <c r="B672">
        <v>670</v>
      </c>
      <c r="C672" t="s">
        <v>1421</v>
      </c>
      <c r="D672">
        <v>0</v>
      </c>
      <c r="E672" t="s">
        <v>9</v>
      </c>
      <c r="F672" s="121">
        <v>2970</v>
      </c>
      <c r="G672" s="123">
        <v>13</v>
      </c>
      <c r="H672" s="103" t="s">
        <v>1422</v>
      </c>
    </row>
    <row r="673" spans="2:8" x14ac:dyDescent="0.25">
      <c r="B673">
        <v>671</v>
      </c>
      <c r="C673" t="s">
        <v>1423</v>
      </c>
      <c r="D673">
        <v>0</v>
      </c>
      <c r="E673" t="s">
        <v>9</v>
      </c>
      <c r="F673" s="121">
        <v>150</v>
      </c>
      <c r="G673" s="123">
        <v>13</v>
      </c>
      <c r="H673" s="103" t="s">
        <v>1424</v>
      </c>
    </row>
    <row r="674" spans="2:8" x14ac:dyDescent="0.25">
      <c r="B674">
        <v>672</v>
      </c>
      <c r="C674" t="s">
        <v>1425</v>
      </c>
      <c r="D674">
        <v>0</v>
      </c>
      <c r="E674" t="s">
        <v>9</v>
      </c>
      <c r="F674" s="121">
        <v>4825</v>
      </c>
      <c r="G674" s="123">
        <v>13</v>
      </c>
      <c r="H674" s="103" t="s">
        <v>1426</v>
      </c>
    </row>
    <row r="675" spans="2:8" x14ac:dyDescent="0.25">
      <c r="B675">
        <v>673</v>
      </c>
      <c r="C675" t="s">
        <v>1427</v>
      </c>
      <c r="D675">
        <v>0</v>
      </c>
      <c r="E675" t="s">
        <v>35</v>
      </c>
      <c r="F675" s="121" t="s">
        <v>36</v>
      </c>
      <c r="G675" s="123" t="s">
        <v>37</v>
      </c>
      <c r="H675" s="103" t="s">
        <v>1428</v>
      </c>
    </row>
    <row r="676" spans="2:8" x14ac:dyDescent="0.25">
      <c r="B676">
        <v>674</v>
      </c>
      <c r="C676" t="s">
        <v>1429</v>
      </c>
      <c r="D676">
        <v>0</v>
      </c>
      <c r="E676" t="s">
        <v>9</v>
      </c>
      <c r="F676" s="121">
        <v>4825</v>
      </c>
      <c r="G676" s="123">
        <v>13</v>
      </c>
      <c r="H676" s="103" t="s">
        <v>1430</v>
      </c>
    </row>
    <row r="677" spans="2:8" x14ac:dyDescent="0.25">
      <c r="B677">
        <v>675</v>
      </c>
      <c r="C677" t="s">
        <v>1431</v>
      </c>
      <c r="D677">
        <v>0</v>
      </c>
      <c r="E677" t="s">
        <v>9</v>
      </c>
      <c r="F677" s="121">
        <v>4825</v>
      </c>
      <c r="G677" s="123">
        <v>13</v>
      </c>
      <c r="H677" s="103" t="s">
        <v>1432</v>
      </c>
    </row>
    <row r="678" spans="2:8" x14ac:dyDescent="0.25">
      <c r="B678">
        <v>676</v>
      </c>
      <c r="C678" t="s">
        <v>1433</v>
      </c>
      <c r="D678">
        <v>0</v>
      </c>
      <c r="E678" t="s">
        <v>35</v>
      </c>
      <c r="F678" s="121" t="s">
        <v>452</v>
      </c>
      <c r="G678" s="103" t="s">
        <v>37</v>
      </c>
      <c r="H678" s="103" t="s">
        <v>1434</v>
      </c>
    </row>
    <row r="679" spans="2:8" x14ac:dyDescent="0.25">
      <c r="B679">
        <v>677</v>
      </c>
      <c r="C679" t="s">
        <v>1435</v>
      </c>
      <c r="D679">
        <v>0</v>
      </c>
      <c r="E679" t="s">
        <v>9</v>
      </c>
      <c r="F679" s="121">
        <v>4825</v>
      </c>
      <c r="G679" s="123">
        <v>13</v>
      </c>
      <c r="H679" s="103" t="s">
        <v>1436</v>
      </c>
    </row>
    <row r="680" spans="2:8" x14ac:dyDescent="0.25">
      <c r="B680">
        <v>678</v>
      </c>
      <c r="C680" t="s">
        <v>1437</v>
      </c>
      <c r="D680">
        <v>0</v>
      </c>
      <c r="E680" t="s">
        <v>9</v>
      </c>
      <c r="F680" s="121">
        <v>4825</v>
      </c>
      <c r="G680" s="123">
        <v>13</v>
      </c>
      <c r="H680" s="103" t="s">
        <v>1438</v>
      </c>
    </row>
    <row r="681" spans="2:8" x14ac:dyDescent="0.25">
      <c r="B681">
        <v>679</v>
      </c>
      <c r="C681" t="s">
        <v>1439</v>
      </c>
      <c r="D681">
        <v>0</v>
      </c>
      <c r="E681" t="s">
        <v>9</v>
      </c>
      <c r="F681" s="121">
        <v>780</v>
      </c>
      <c r="G681" s="123">
        <v>23</v>
      </c>
      <c r="H681" s="103" t="s">
        <v>1440</v>
      </c>
    </row>
    <row r="682" spans="2:8" x14ac:dyDescent="0.25">
      <c r="B682">
        <v>680</v>
      </c>
      <c r="C682" t="s">
        <v>748</v>
      </c>
      <c r="D682">
        <v>0</v>
      </c>
      <c r="E682" t="s">
        <v>9</v>
      </c>
      <c r="F682" s="121">
        <v>780</v>
      </c>
      <c r="G682" s="123">
        <v>13</v>
      </c>
      <c r="H682" s="103" t="s">
        <v>1441</v>
      </c>
    </row>
    <row r="683" spans="2:8" x14ac:dyDescent="0.25">
      <c r="B683">
        <v>681</v>
      </c>
      <c r="C683" t="s">
        <v>1442</v>
      </c>
      <c r="D683">
        <v>0</v>
      </c>
      <c r="E683" t="s">
        <v>9</v>
      </c>
      <c r="F683" s="121">
        <v>4825</v>
      </c>
      <c r="G683" s="123">
        <v>13</v>
      </c>
      <c r="H683" s="103" t="s">
        <v>1443</v>
      </c>
    </row>
    <row r="684" spans="2:8" x14ac:dyDescent="0.25">
      <c r="B684">
        <v>682</v>
      </c>
      <c r="C684" t="s">
        <v>1444</v>
      </c>
      <c r="D684">
        <v>0</v>
      </c>
      <c r="E684" t="s">
        <v>9</v>
      </c>
      <c r="F684" s="121">
        <v>4818</v>
      </c>
      <c r="G684" s="123">
        <v>23</v>
      </c>
      <c r="H684" s="103" t="s">
        <v>1087</v>
      </c>
    </row>
    <row r="685" spans="2:8" x14ac:dyDescent="0.25">
      <c r="B685">
        <v>683</v>
      </c>
      <c r="C685" t="s">
        <v>1445</v>
      </c>
      <c r="D685">
        <v>0</v>
      </c>
      <c r="E685" t="s">
        <v>9</v>
      </c>
      <c r="F685" s="121">
        <v>4825</v>
      </c>
      <c r="G685" s="123">
        <v>13</v>
      </c>
      <c r="H685" s="103" t="s">
        <v>1446</v>
      </c>
    </row>
    <row r="686" spans="2:8" x14ac:dyDescent="0.25">
      <c r="B686">
        <v>684</v>
      </c>
      <c r="C686" t="s">
        <v>1447</v>
      </c>
      <c r="D686" t="s">
        <v>1448</v>
      </c>
      <c r="E686" t="s">
        <v>9</v>
      </c>
      <c r="F686" s="121">
        <v>4825</v>
      </c>
      <c r="G686" s="123"/>
      <c r="H686" s="103" t="s">
        <v>1449</v>
      </c>
    </row>
    <row r="687" spans="2:8" x14ac:dyDescent="0.25">
      <c r="B687">
        <v>685</v>
      </c>
      <c r="C687" t="s">
        <v>1450</v>
      </c>
      <c r="D687">
        <v>0</v>
      </c>
      <c r="E687" t="s">
        <v>9</v>
      </c>
      <c r="F687" s="121">
        <v>4535</v>
      </c>
      <c r="G687" s="123">
        <v>13</v>
      </c>
      <c r="H687" s="103" t="s">
        <v>1451</v>
      </c>
    </row>
    <row r="688" spans="2:8" x14ac:dyDescent="0.25">
      <c r="B688">
        <v>686</v>
      </c>
      <c r="C688" t="s">
        <v>1452</v>
      </c>
      <c r="D688">
        <v>0</v>
      </c>
      <c r="E688" t="s">
        <v>21</v>
      </c>
      <c r="F688" s="121" t="s">
        <v>44</v>
      </c>
      <c r="G688" s="123" t="s">
        <v>22</v>
      </c>
      <c r="H688" s="103" t="s">
        <v>1453</v>
      </c>
    </row>
    <row r="689" spans="2:8" x14ac:dyDescent="0.25">
      <c r="B689">
        <v>687</v>
      </c>
      <c r="C689" t="s">
        <v>1454</v>
      </c>
      <c r="D689">
        <v>0</v>
      </c>
      <c r="E689" t="s">
        <v>9</v>
      </c>
      <c r="F689" s="121">
        <v>4535</v>
      </c>
      <c r="G689" s="123">
        <v>13</v>
      </c>
      <c r="H689" s="103" t="s">
        <v>1455</v>
      </c>
    </row>
    <row r="690" spans="2:8" x14ac:dyDescent="0.25">
      <c r="B690">
        <v>688</v>
      </c>
      <c r="C690" t="s">
        <v>1456</v>
      </c>
      <c r="D690">
        <v>0</v>
      </c>
      <c r="E690" t="s">
        <v>9</v>
      </c>
      <c r="F690" s="121">
        <v>3401</v>
      </c>
      <c r="G690" s="123">
        <v>13</v>
      </c>
      <c r="H690" s="103" t="s">
        <v>1457</v>
      </c>
    </row>
    <row r="691" spans="2:8" x14ac:dyDescent="0.25">
      <c r="B691">
        <v>689</v>
      </c>
      <c r="C691" t="s">
        <v>1458</v>
      </c>
      <c r="D691">
        <v>0</v>
      </c>
      <c r="E691" t="s">
        <v>9</v>
      </c>
      <c r="F691" s="121">
        <v>3401</v>
      </c>
      <c r="G691" s="123">
        <v>13</v>
      </c>
      <c r="H691" s="103" t="s">
        <v>1459</v>
      </c>
    </row>
    <row r="692" spans="2:8" x14ac:dyDescent="0.25">
      <c r="B692">
        <v>690</v>
      </c>
      <c r="C692" t="s">
        <v>1460</v>
      </c>
      <c r="D692">
        <v>0</v>
      </c>
      <c r="E692" t="s">
        <v>9</v>
      </c>
      <c r="F692" s="121">
        <v>780</v>
      </c>
      <c r="G692" s="123">
        <v>23</v>
      </c>
      <c r="H692" s="103" t="s">
        <v>1461</v>
      </c>
    </row>
    <row r="693" spans="2:8" x14ac:dyDescent="0.25">
      <c r="B693">
        <v>691</v>
      </c>
      <c r="C693" t="s">
        <v>1462</v>
      </c>
      <c r="D693">
        <v>0</v>
      </c>
      <c r="E693" t="s">
        <v>9</v>
      </c>
      <c r="F693" s="121">
        <v>4825</v>
      </c>
      <c r="G693" s="123">
        <v>13</v>
      </c>
      <c r="H693" s="103" t="s">
        <v>1463</v>
      </c>
    </row>
    <row r="694" spans="2:8" x14ac:dyDescent="0.25">
      <c r="B694">
        <v>692</v>
      </c>
      <c r="C694" t="s">
        <v>1464</v>
      </c>
      <c r="D694">
        <v>0</v>
      </c>
      <c r="E694" t="s">
        <v>9</v>
      </c>
      <c r="F694" s="121">
        <v>4825</v>
      </c>
      <c r="G694" s="123">
        <v>13</v>
      </c>
      <c r="H694" s="103" t="s">
        <v>1465</v>
      </c>
    </row>
    <row r="695" spans="2:8" x14ac:dyDescent="0.25">
      <c r="B695">
        <v>693</v>
      </c>
      <c r="C695" t="s">
        <v>1466</v>
      </c>
      <c r="D695">
        <v>0</v>
      </c>
      <c r="E695" t="s">
        <v>9</v>
      </c>
      <c r="F695" s="121">
        <v>4825</v>
      </c>
      <c r="G695" s="123">
        <v>13</v>
      </c>
      <c r="H695" s="103" t="s">
        <v>1467</v>
      </c>
    </row>
    <row r="696" spans="2:8" x14ac:dyDescent="0.25">
      <c r="B696">
        <v>694</v>
      </c>
      <c r="C696" t="s">
        <v>1468</v>
      </c>
      <c r="D696">
        <v>0</v>
      </c>
      <c r="E696" t="s">
        <v>9</v>
      </c>
      <c r="F696" s="121">
        <v>4825</v>
      </c>
      <c r="G696" s="123">
        <v>13</v>
      </c>
      <c r="H696" s="103" t="s">
        <v>1469</v>
      </c>
    </row>
    <row r="697" spans="2:8" x14ac:dyDescent="0.25">
      <c r="B697">
        <v>695</v>
      </c>
      <c r="C697" t="s">
        <v>1470</v>
      </c>
      <c r="D697">
        <v>0</v>
      </c>
      <c r="E697" t="s">
        <v>9</v>
      </c>
      <c r="F697" s="121">
        <v>4825</v>
      </c>
      <c r="G697" s="123">
        <v>13</v>
      </c>
      <c r="H697" s="103" t="s">
        <v>1471</v>
      </c>
    </row>
    <row r="698" spans="2:8" x14ac:dyDescent="0.25">
      <c r="B698">
        <v>696</v>
      </c>
      <c r="C698" t="s">
        <v>1472</v>
      </c>
      <c r="D698" t="s">
        <v>1473</v>
      </c>
      <c r="E698" t="s">
        <v>35</v>
      </c>
      <c r="F698" s="121" t="s">
        <v>532</v>
      </c>
      <c r="G698" s="123" t="s">
        <v>37</v>
      </c>
      <c r="H698" s="103" t="s">
        <v>1474</v>
      </c>
    </row>
    <row r="699" spans="2:8" x14ac:dyDescent="0.25">
      <c r="B699">
        <v>697</v>
      </c>
      <c r="C699" t="s">
        <v>1475</v>
      </c>
      <c r="D699">
        <v>0</v>
      </c>
      <c r="E699" t="s">
        <v>9</v>
      </c>
      <c r="F699" s="121">
        <v>4825</v>
      </c>
      <c r="G699" s="123">
        <v>1288</v>
      </c>
      <c r="H699" s="103" t="s">
        <v>1476</v>
      </c>
    </row>
    <row r="700" spans="2:8" x14ac:dyDescent="0.25">
      <c r="B700">
        <v>698</v>
      </c>
      <c r="C700" t="s">
        <v>1477</v>
      </c>
      <c r="D700">
        <v>0</v>
      </c>
      <c r="E700" t="s">
        <v>9</v>
      </c>
      <c r="F700" s="121">
        <v>4825</v>
      </c>
      <c r="G700" s="123">
        <v>13</v>
      </c>
      <c r="H700" s="103" t="s">
        <v>1478</v>
      </c>
    </row>
    <row r="701" spans="2:8" x14ac:dyDescent="0.25">
      <c r="B701">
        <v>699</v>
      </c>
      <c r="C701" t="s">
        <v>1479</v>
      </c>
      <c r="D701">
        <v>0</v>
      </c>
      <c r="E701" t="s">
        <v>9</v>
      </c>
      <c r="F701" s="121">
        <v>4825</v>
      </c>
      <c r="G701" s="123">
        <v>13</v>
      </c>
      <c r="H701" s="103" t="s">
        <v>1480</v>
      </c>
    </row>
    <row r="702" spans="2:8" x14ac:dyDescent="0.25">
      <c r="B702">
        <v>700</v>
      </c>
      <c r="C702" t="s">
        <v>1481</v>
      </c>
      <c r="D702">
        <v>0</v>
      </c>
      <c r="E702" t="s">
        <v>9</v>
      </c>
      <c r="F702" s="121">
        <v>4818</v>
      </c>
      <c r="G702" s="123">
        <v>13</v>
      </c>
      <c r="H702" s="103" t="s">
        <v>1482</v>
      </c>
    </row>
    <row r="703" spans="2:8" x14ac:dyDescent="0.25">
      <c r="B703">
        <v>701</v>
      </c>
      <c r="C703" t="s">
        <v>1483</v>
      </c>
      <c r="D703">
        <v>0</v>
      </c>
      <c r="E703" t="s">
        <v>9</v>
      </c>
      <c r="F703" s="121">
        <v>949</v>
      </c>
      <c r="G703" s="123">
        <v>23</v>
      </c>
      <c r="H703" s="103" t="s">
        <v>1484</v>
      </c>
    </row>
    <row r="704" spans="2:8" x14ac:dyDescent="0.25">
      <c r="B704">
        <v>702</v>
      </c>
      <c r="C704" t="s">
        <v>1485</v>
      </c>
      <c r="D704">
        <v>0</v>
      </c>
      <c r="E704" t="s">
        <v>9</v>
      </c>
      <c r="F704" s="121">
        <v>4825</v>
      </c>
      <c r="G704" s="123">
        <v>13</v>
      </c>
      <c r="H704" s="103" t="s">
        <v>1486</v>
      </c>
    </row>
    <row r="705" spans="2:8" x14ac:dyDescent="0.25">
      <c r="B705">
        <v>703</v>
      </c>
      <c r="C705" t="s">
        <v>1487</v>
      </c>
      <c r="D705">
        <v>0</v>
      </c>
      <c r="E705" t="s">
        <v>21</v>
      </c>
      <c r="F705" s="121">
        <v>3076</v>
      </c>
      <c r="G705" s="103" t="s">
        <v>87</v>
      </c>
      <c r="H705" s="103" t="s">
        <v>1488</v>
      </c>
    </row>
    <row r="706" spans="2:8" x14ac:dyDescent="0.25">
      <c r="B706">
        <v>704</v>
      </c>
      <c r="C706" t="s">
        <v>1489</v>
      </c>
      <c r="D706">
        <v>0</v>
      </c>
      <c r="E706" t="s">
        <v>9</v>
      </c>
      <c r="F706" s="121">
        <v>4825</v>
      </c>
      <c r="G706" s="123">
        <v>13</v>
      </c>
      <c r="H706" s="103" t="s">
        <v>1490</v>
      </c>
    </row>
    <row r="707" spans="2:8" x14ac:dyDescent="0.25">
      <c r="B707">
        <v>705</v>
      </c>
      <c r="C707" t="s">
        <v>1491</v>
      </c>
      <c r="D707">
        <v>0</v>
      </c>
      <c r="E707" t="s">
        <v>9</v>
      </c>
      <c r="F707" s="121">
        <v>4825</v>
      </c>
      <c r="G707" s="123">
        <v>13</v>
      </c>
      <c r="H707" s="103" t="s">
        <v>1492</v>
      </c>
    </row>
    <row r="708" spans="2:8" x14ac:dyDescent="0.25">
      <c r="B708">
        <v>706</v>
      </c>
      <c r="C708" t="s">
        <v>1493</v>
      </c>
      <c r="D708">
        <v>0</v>
      </c>
      <c r="E708" t="s">
        <v>9</v>
      </c>
      <c r="F708" s="121">
        <v>4825</v>
      </c>
      <c r="G708" s="123">
        <v>13</v>
      </c>
      <c r="H708" s="103" t="s">
        <v>1494</v>
      </c>
    </row>
    <row r="709" spans="2:8" x14ac:dyDescent="0.25">
      <c r="B709">
        <v>707</v>
      </c>
      <c r="C709" t="s">
        <v>1495</v>
      </c>
      <c r="D709">
        <v>0</v>
      </c>
      <c r="E709" t="s">
        <v>9</v>
      </c>
      <c r="F709" s="121">
        <v>4825</v>
      </c>
      <c r="G709" s="123">
        <v>13</v>
      </c>
      <c r="H709" s="103" t="s">
        <v>1496</v>
      </c>
    </row>
    <row r="710" spans="2:8" x14ac:dyDescent="0.25">
      <c r="B710">
        <v>708</v>
      </c>
      <c r="C710" t="s">
        <v>1497</v>
      </c>
      <c r="D710">
        <v>0</v>
      </c>
      <c r="E710" t="s">
        <v>9</v>
      </c>
      <c r="F710" s="121">
        <v>4825</v>
      </c>
      <c r="G710" s="123">
        <v>13</v>
      </c>
      <c r="H710" s="103" t="s">
        <v>1498</v>
      </c>
    </row>
    <row r="711" spans="2:8" x14ac:dyDescent="0.25">
      <c r="B711">
        <v>709</v>
      </c>
      <c r="C711" t="s">
        <v>1499</v>
      </c>
      <c r="D711">
        <v>0</v>
      </c>
      <c r="E711" t="s">
        <v>9</v>
      </c>
      <c r="F711" s="121">
        <v>3639</v>
      </c>
      <c r="G711" s="123">
        <v>13</v>
      </c>
      <c r="H711" s="103" t="s">
        <v>1500</v>
      </c>
    </row>
    <row r="712" spans="2:8" x14ac:dyDescent="0.25">
      <c r="B712">
        <v>710</v>
      </c>
      <c r="C712" t="s">
        <v>1501</v>
      </c>
      <c r="D712">
        <v>0</v>
      </c>
      <c r="E712" t="s">
        <v>9</v>
      </c>
      <c r="F712" s="121">
        <v>4825</v>
      </c>
      <c r="G712" s="123">
        <v>13</v>
      </c>
      <c r="H712" s="103" t="s">
        <v>1502</v>
      </c>
    </row>
    <row r="713" spans="2:8" x14ac:dyDescent="0.25">
      <c r="B713">
        <v>711</v>
      </c>
      <c r="C713" t="s">
        <v>1503</v>
      </c>
      <c r="D713">
        <v>0</v>
      </c>
      <c r="E713" t="s">
        <v>9</v>
      </c>
      <c r="F713" s="121">
        <v>4825</v>
      </c>
      <c r="G713" s="123">
        <v>13</v>
      </c>
      <c r="H713" s="103" t="s">
        <v>1504</v>
      </c>
    </row>
    <row r="714" spans="2:8" x14ac:dyDescent="0.25">
      <c r="B714">
        <v>712</v>
      </c>
      <c r="C714" t="s">
        <v>1505</v>
      </c>
      <c r="D714">
        <v>0</v>
      </c>
      <c r="E714" t="s">
        <v>9</v>
      </c>
      <c r="F714" s="121">
        <v>949</v>
      </c>
      <c r="G714" s="123">
        <v>23</v>
      </c>
      <c r="H714" s="103" t="s">
        <v>1506</v>
      </c>
    </row>
    <row r="715" spans="2:8" x14ac:dyDescent="0.25">
      <c r="B715">
        <v>713</v>
      </c>
      <c r="C715" t="s">
        <v>1507</v>
      </c>
      <c r="D715">
        <v>0</v>
      </c>
      <c r="E715" t="s">
        <v>9</v>
      </c>
      <c r="F715" s="121">
        <v>4825</v>
      </c>
      <c r="G715" s="123">
        <v>13</v>
      </c>
      <c r="H715" s="103" t="s">
        <v>1508</v>
      </c>
    </row>
    <row r="716" spans="2:8" x14ac:dyDescent="0.25">
      <c r="B716">
        <v>714</v>
      </c>
      <c r="C716" t="s">
        <v>1509</v>
      </c>
      <c r="D716">
        <v>0</v>
      </c>
      <c r="E716" t="s">
        <v>9</v>
      </c>
      <c r="F716" s="121">
        <v>2734</v>
      </c>
      <c r="G716" s="123">
        <v>13</v>
      </c>
      <c r="H716" s="103" t="s">
        <v>1510</v>
      </c>
    </row>
    <row r="717" spans="2:8" x14ac:dyDescent="0.25">
      <c r="B717">
        <v>715</v>
      </c>
      <c r="C717" t="s">
        <v>1511</v>
      </c>
      <c r="D717">
        <v>0</v>
      </c>
      <c r="E717" t="s">
        <v>21</v>
      </c>
      <c r="F717" s="121" t="s">
        <v>44</v>
      </c>
      <c r="G717" s="123" t="s">
        <v>22</v>
      </c>
      <c r="H717" s="103" t="s">
        <v>1512</v>
      </c>
    </row>
    <row r="718" spans="2:8" x14ac:dyDescent="0.25">
      <c r="B718">
        <v>716</v>
      </c>
      <c r="C718" t="s">
        <v>1513</v>
      </c>
      <c r="D718">
        <v>0</v>
      </c>
      <c r="E718" t="s">
        <v>9</v>
      </c>
      <c r="F718" s="121">
        <v>4825</v>
      </c>
      <c r="G718" s="123">
        <v>13</v>
      </c>
      <c r="H718" s="103" t="s">
        <v>1514</v>
      </c>
    </row>
    <row r="719" spans="2:8" x14ac:dyDescent="0.25">
      <c r="B719">
        <v>717</v>
      </c>
      <c r="C719" t="s">
        <v>1515</v>
      </c>
      <c r="D719">
        <v>0</v>
      </c>
      <c r="E719" t="s">
        <v>9</v>
      </c>
      <c r="F719" s="121">
        <v>4825</v>
      </c>
      <c r="G719" s="123">
        <v>13</v>
      </c>
      <c r="H719" s="103" t="s">
        <v>1516</v>
      </c>
    </row>
    <row r="720" spans="2:8" x14ac:dyDescent="0.25">
      <c r="B720">
        <v>718</v>
      </c>
      <c r="C720" t="s">
        <v>1517</v>
      </c>
      <c r="D720">
        <v>0</v>
      </c>
      <c r="E720" t="s">
        <v>35</v>
      </c>
      <c r="F720" s="121" t="s">
        <v>36</v>
      </c>
      <c r="G720" s="103" t="s">
        <v>87</v>
      </c>
      <c r="H720" s="103" t="s">
        <v>1518</v>
      </c>
    </row>
    <row r="721" spans="2:8" x14ac:dyDescent="0.25">
      <c r="B721">
        <v>719</v>
      </c>
      <c r="C721" t="s">
        <v>1519</v>
      </c>
      <c r="D721">
        <v>0</v>
      </c>
      <c r="E721" t="s">
        <v>9</v>
      </c>
      <c r="F721" s="121">
        <v>4825</v>
      </c>
      <c r="G721" s="103">
        <v>1288</v>
      </c>
      <c r="H721" s="103" t="s">
        <v>1520</v>
      </c>
    </row>
    <row r="722" spans="2:8" x14ac:dyDescent="0.25">
      <c r="B722">
        <v>720</v>
      </c>
      <c r="C722" t="s">
        <v>1521</v>
      </c>
      <c r="D722">
        <v>0</v>
      </c>
      <c r="E722" t="s">
        <v>9</v>
      </c>
      <c r="F722" s="121">
        <v>4825</v>
      </c>
      <c r="G722" s="123">
        <v>13</v>
      </c>
      <c r="H722" s="103" t="s">
        <v>1522</v>
      </c>
    </row>
    <row r="723" spans="2:8" x14ac:dyDescent="0.25">
      <c r="B723">
        <v>721</v>
      </c>
      <c r="C723" t="s">
        <v>1523</v>
      </c>
      <c r="D723">
        <v>0</v>
      </c>
      <c r="E723" t="s">
        <v>9</v>
      </c>
      <c r="F723" s="121">
        <v>780</v>
      </c>
      <c r="G723" s="123">
        <v>23</v>
      </c>
      <c r="H723" s="103" t="s">
        <v>62</v>
      </c>
    </row>
    <row r="724" spans="2:8" x14ac:dyDescent="0.25">
      <c r="B724">
        <v>722</v>
      </c>
      <c r="C724" t="s">
        <v>1524</v>
      </c>
      <c r="D724">
        <v>0</v>
      </c>
      <c r="E724" t="s">
        <v>9</v>
      </c>
      <c r="F724" s="121">
        <v>4825</v>
      </c>
      <c r="G724" s="123">
        <v>13</v>
      </c>
      <c r="H724" s="103" t="s">
        <v>1525</v>
      </c>
    </row>
    <row r="725" spans="2:8" x14ac:dyDescent="0.25">
      <c r="B725">
        <v>723</v>
      </c>
      <c r="C725" t="s">
        <v>1526</v>
      </c>
      <c r="D725">
        <v>0</v>
      </c>
      <c r="E725" t="s">
        <v>9</v>
      </c>
      <c r="F725" s="121">
        <v>4825</v>
      </c>
      <c r="G725" s="123">
        <v>13</v>
      </c>
      <c r="H725" s="103" t="s">
        <v>1527</v>
      </c>
    </row>
    <row r="726" spans="2:8" x14ac:dyDescent="0.25">
      <c r="B726">
        <v>724</v>
      </c>
      <c r="C726" t="s">
        <v>1528</v>
      </c>
      <c r="D726">
        <v>0</v>
      </c>
      <c r="E726" t="s">
        <v>9</v>
      </c>
      <c r="F726" s="121">
        <v>780</v>
      </c>
      <c r="G726" s="123">
        <v>13</v>
      </c>
      <c r="H726" s="103" t="s">
        <v>1529</v>
      </c>
    </row>
    <row r="727" spans="2:8" x14ac:dyDescent="0.25">
      <c r="B727">
        <v>725</v>
      </c>
      <c r="C727" t="s">
        <v>1530</v>
      </c>
      <c r="D727">
        <v>0</v>
      </c>
      <c r="E727" t="s">
        <v>9</v>
      </c>
      <c r="F727" s="121">
        <v>780</v>
      </c>
      <c r="G727" s="123">
        <v>13</v>
      </c>
      <c r="H727" s="103" t="s">
        <v>1531</v>
      </c>
    </row>
    <row r="728" spans="2:8" x14ac:dyDescent="0.25">
      <c r="B728">
        <v>726</v>
      </c>
      <c r="C728" t="s">
        <v>266</v>
      </c>
      <c r="D728">
        <v>0</v>
      </c>
      <c r="E728" t="s">
        <v>9</v>
      </c>
      <c r="F728" s="121">
        <v>4825</v>
      </c>
      <c r="G728" s="123">
        <v>13</v>
      </c>
      <c r="H728" s="103" t="s">
        <v>1532</v>
      </c>
    </row>
    <row r="729" spans="2:8" x14ac:dyDescent="0.25">
      <c r="B729">
        <v>727</v>
      </c>
      <c r="C729" t="s">
        <v>1533</v>
      </c>
      <c r="D729" t="s">
        <v>5211</v>
      </c>
      <c r="E729" t="s">
        <v>21</v>
      </c>
      <c r="F729" s="121" t="s">
        <v>44</v>
      </c>
      <c r="G729" s="123" t="s">
        <v>37</v>
      </c>
      <c r="H729" s="103" t="s">
        <v>5207</v>
      </c>
    </row>
    <row r="730" spans="2:8" x14ac:dyDescent="0.25">
      <c r="B730">
        <v>728</v>
      </c>
      <c r="C730" t="s">
        <v>1534</v>
      </c>
      <c r="D730">
        <v>0</v>
      </c>
      <c r="E730" t="s">
        <v>9</v>
      </c>
      <c r="F730" s="121">
        <v>4825</v>
      </c>
      <c r="G730" s="123">
        <v>13</v>
      </c>
      <c r="H730" s="103" t="s">
        <v>1535</v>
      </c>
    </row>
    <row r="731" spans="2:8" x14ac:dyDescent="0.25">
      <c r="B731">
        <v>729</v>
      </c>
      <c r="C731" t="s">
        <v>1536</v>
      </c>
      <c r="D731">
        <v>0</v>
      </c>
      <c r="E731" t="s">
        <v>9</v>
      </c>
      <c r="F731" s="121">
        <v>4825</v>
      </c>
      <c r="G731" s="123">
        <v>13</v>
      </c>
      <c r="H731" s="103" t="s">
        <v>1537</v>
      </c>
    </row>
    <row r="732" spans="2:8" x14ac:dyDescent="0.25">
      <c r="B732">
        <v>730</v>
      </c>
      <c r="C732" t="s">
        <v>1538</v>
      </c>
      <c r="D732">
        <v>0</v>
      </c>
      <c r="E732" t="s">
        <v>9</v>
      </c>
      <c r="F732" s="121">
        <v>4825</v>
      </c>
      <c r="G732" s="123">
        <v>13</v>
      </c>
      <c r="H732" s="103" t="s">
        <v>1539</v>
      </c>
    </row>
    <row r="733" spans="2:8" x14ac:dyDescent="0.25">
      <c r="B733">
        <v>731</v>
      </c>
      <c r="C733" t="s">
        <v>1540</v>
      </c>
      <c r="D733" t="s">
        <v>1541</v>
      </c>
      <c r="E733" t="s">
        <v>21</v>
      </c>
      <c r="F733" s="121" t="s">
        <v>44</v>
      </c>
      <c r="G733" s="103" t="s">
        <v>22</v>
      </c>
      <c r="H733" s="103" t="s">
        <v>1542</v>
      </c>
    </row>
    <row r="734" spans="2:8" x14ac:dyDescent="0.25">
      <c r="B734">
        <v>732</v>
      </c>
      <c r="C734" t="s">
        <v>1543</v>
      </c>
      <c r="D734">
        <v>0</v>
      </c>
      <c r="E734" t="s">
        <v>9</v>
      </c>
      <c r="F734" s="121">
        <v>4379</v>
      </c>
      <c r="G734" s="123">
        <v>13</v>
      </c>
      <c r="H734" s="103" t="s">
        <v>1544</v>
      </c>
    </row>
    <row r="735" spans="2:8" x14ac:dyDescent="0.25">
      <c r="B735">
        <v>733</v>
      </c>
      <c r="C735" t="s">
        <v>1545</v>
      </c>
      <c r="D735">
        <v>0</v>
      </c>
      <c r="E735" t="s">
        <v>9</v>
      </c>
      <c r="F735" s="121">
        <v>780</v>
      </c>
      <c r="G735" s="123">
        <v>13</v>
      </c>
      <c r="H735" s="103" t="s">
        <v>1546</v>
      </c>
    </row>
    <row r="736" spans="2:8" x14ac:dyDescent="0.25">
      <c r="B736">
        <v>734</v>
      </c>
      <c r="C736" t="s">
        <v>1547</v>
      </c>
      <c r="D736">
        <v>0</v>
      </c>
      <c r="E736" t="s">
        <v>9</v>
      </c>
      <c r="F736" s="121">
        <v>4825</v>
      </c>
      <c r="G736" s="123">
        <v>13</v>
      </c>
      <c r="H736" s="103" t="s">
        <v>1548</v>
      </c>
    </row>
    <row r="737" spans="2:8" x14ac:dyDescent="0.25">
      <c r="B737">
        <v>735</v>
      </c>
      <c r="C737" t="s">
        <v>1549</v>
      </c>
      <c r="D737">
        <v>0</v>
      </c>
      <c r="E737" t="s">
        <v>9</v>
      </c>
      <c r="F737" s="121">
        <v>4825</v>
      </c>
      <c r="G737" s="123">
        <v>13</v>
      </c>
      <c r="H737" s="103" t="s">
        <v>1550</v>
      </c>
    </row>
    <row r="738" spans="2:8" x14ac:dyDescent="0.25">
      <c r="B738">
        <v>736</v>
      </c>
      <c r="C738" t="s">
        <v>1551</v>
      </c>
      <c r="D738" t="s">
        <v>1552</v>
      </c>
      <c r="E738" t="s">
        <v>9</v>
      </c>
      <c r="F738" s="121">
        <v>4825</v>
      </c>
      <c r="G738" s="123"/>
      <c r="H738" s="103" t="s">
        <v>1553</v>
      </c>
    </row>
    <row r="739" spans="2:8" x14ac:dyDescent="0.25">
      <c r="B739">
        <v>737</v>
      </c>
      <c r="C739" t="s">
        <v>1554</v>
      </c>
      <c r="D739">
        <v>0</v>
      </c>
      <c r="E739" t="s">
        <v>9</v>
      </c>
      <c r="F739" s="121">
        <v>4825</v>
      </c>
      <c r="G739" s="123">
        <v>13</v>
      </c>
      <c r="H739" s="103" t="s">
        <v>1555</v>
      </c>
    </row>
    <row r="740" spans="2:8" x14ac:dyDescent="0.25">
      <c r="B740">
        <v>738</v>
      </c>
      <c r="C740" t="s">
        <v>1556</v>
      </c>
      <c r="D740" t="s">
        <v>1557</v>
      </c>
      <c r="E740" t="s">
        <v>9</v>
      </c>
      <c r="F740" s="121">
        <v>780</v>
      </c>
      <c r="G740" s="123">
        <v>23</v>
      </c>
      <c r="H740" s="103" t="s">
        <v>1558</v>
      </c>
    </row>
    <row r="741" spans="2:8" x14ac:dyDescent="0.25">
      <c r="B741">
        <v>739</v>
      </c>
      <c r="C741" t="s">
        <v>1559</v>
      </c>
      <c r="D741">
        <v>0</v>
      </c>
      <c r="E741" t="s">
        <v>9</v>
      </c>
      <c r="F741" s="121">
        <v>3233</v>
      </c>
      <c r="G741" s="123">
        <v>23</v>
      </c>
      <c r="H741" s="103" t="s">
        <v>836</v>
      </c>
    </row>
    <row r="742" spans="2:8" x14ac:dyDescent="0.25">
      <c r="B742">
        <v>740</v>
      </c>
      <c r="C742" t="s">
        <v>1560</v>
      </c>
      <c r="D742">
        <v>0</v>
      </c>
      <c r="E742" t="s">
        <v>35</v>
      </c>
      <c r="F742" s="121" t="s">
        <v>36</v>
      </c>
      <c r="G742" s="103" t="s">
        <v>37</v>
      </c>
      <c r="H742" s="103" t="s">
        <v>1561</v>
      </c>
    </row>
    <row r="743" spans="2:8" x14ac:dyDescent="0.25">
      <c r="B743">
        <v>741</v>
      </c>
      <c r="C743" t="s">
        <v>1562</v>
      </c>
      <c r="D743">
        <v>0</v>
      </c>
      <c r="E743" t="s">
        <v>9</v>
      </c>
      <c r="F743" s="121">
        <v>2734</v>
      </c>
      <c r="G743" s="123">
        <v>13</v>
      </c>
      <c r="H743" s="103" t="s">
        <v>1563</v>
      </c>
    </row>
    <row r="744" spans="2:8" x14ac:dyDescent="0.25">
      <c r="B744">
        <v>742</v>
      </c>
      <c r="C744" t="s">
        <v>1564</v>
      </c>
      <c r="D744">
        <v>0</v>
      </c>
      <c r="E744" t="s">
        <v>9</v>
      </c>
      <c r="F744" s="121">
        <v>4825</v>
      </c>
      <c r="G744" s="123">
        <v>13</v>
      </c>
      <c r="H744" s="103" t="s">
        <v>1565</v>
      </c>
    </row>
    <row r="745" spans="2:8" x14ac:dyDescent="0.25">
      <c r="B745">
        <v>743</v>
      </c>
      <c r="C745" t="s">
        <v>1566</v>
      </c>
      <c r="D745">
        <v>0</v>
      </c>
      <c r="E745" t="s">
        <v>9</v>
      </c>
      <c r="F745" s="121">
        <v>4825</v>
      </c>
      <c r="G745" s="123">
        <v>13</v>
      </c>
      <c r="H745" s="103" t="s">
        <v>1567</v>
      </c>
    </row>
    <row r="746" spans="2:8" x14ac:dyDescent="0.25">
      <c r="B746">
        <v>744</v>
      </c>
      <c r="C746" t="s">
        <v>1568</v>
      </c>
      <c r="D746">
        <v>0</v>
      </c>
      <c r="E746" t="s">
        <v>9</v>
      </c>
      <c r="F746" s="121">
        <v>4825</v>
      </c>
      <c r="G746" s="123">
        <v>13</v>
      </c>
      <c r="H746" s="103" t="s">
        <v>1569</v>
      </c>
    </row>
    <row r="747" spans="2:8" x14ac:dyDescent="0.25">
      <c r="B747">
        <v>745</v>
      </c>
      <c r="C747" t="s">
        <v>1570</v>
      </c>
      <c r="D747">
        <v>0</v>
      </c>
      <c r="E747" t="s">
        <v>9</v>
      </c>
      <c r="F747" s="121">
        <v>4825</v>
      </c>
      <c r="G747" s="123">
        <v>13</v>
      </c>
      <c r="H747" s="103" t="s">
        <v>1571</v>
      </c>
    </row>
    <row r="748" spans="2:8" x14ac:dyDescent="0.25">
      <c r="B748">
        <v>746</v>
      </c>
      <c r="C748" t="s">
        <v>1572</v>
      </c>
      <c r="D748">
        <v>0</v>
      </c>
      <c r="E748" t="s">
        <v>9</v>
      </c>
      <c r="F748" s="121">
        <v>4825</v>
      </c>
      <c r="G748" s="123">
        <v>13</v>
      </c>
      <c r="H748" s="103" t="s">
        <v>1573</v>
      </c>
    </row>
    <row r="749" spans="2:8" x14ac:dyDescent="0.25">
      <c r="B749">
        <v>747</v>
      </c>
      <c r="C749" t="s">
        <v>1574</v>
      </c>
      <c r="D749">
        <v>0</v>
      </c>
      <c r="E749" t="s">
        <v>9</v>
      </c>
      <c r="F749" s="121">
        <v>4825</v>
      </c>
      <c r="G749" s="123">
        <v>13</v>
      </c>
      <c r="H749" s="103" t="s">
        <v>1575</v>
      </c>
    </row>
    <row r="750" spans="2:8" x14ac:dyDescent="0.25">
      <c r="B750">
        <v>748</v>
      </c>
      <c r="C750" t="s">
        <v>1576</v>
      </c>
      <c r="D750">
        <v>0</v>
      </c>
      <c r="E750" t="s">
        <v>9</v>
      </c>
      <c r="F750" s="121">
        <v>4825</v>
      </c>
      <c r="G750" s="123">
        <v>13</v>
      </c>
      <c r="H750" s="103" t="s">
        <v>1577</v>
      </c>
    </row>
    <row r="751" spans="2:8" x14ac:dyDescent="0.25">
      <c r="B751">
        <v>749</v>
      </c>
      <c r="C751" t="s">
        <v>1578</v>
      </c>
      <c r="D751">
        <v>0</v>
      </c>
      <c r="E751" t="s">
        <v>9</v>
      </c>
      <c r="F751" s="121">
        <v>4825</v>
      </c>
      <c r="G751" s="123">
        <v>13</v>
      </c>
      <c r="H751" s="103" t="s">
        <v>1579</v>
      </c>
    </row>
    <row r="752" spans="2:8" x14ac:dyDescent="0.25">
      <c r="B752">
        <v>750</v>
      </c>
      <c r="C752" t="s">
        <v>1580</v>
      </c>
      <c r="D752">
        <v>0</v>
      </c>
      <c r="E752" t="s">
        <v>9</v>
      </c>
      <c r="F752" s="121">
        <v>346</v>
      </c>
      <c r="G752" s="123">
        <v>13</v>
      </c>
      <c r="H752" s="103" t="s">
        <v>1581</v>
      </c>
    </row>
    <row r="753" spans="2:8" x14ac:dyDescent="0.25">
      <c r="B753">
        <v>751</v>
      </c>
      <c r="C753" t="s">
        <v>1582</v>
      </c>
      <c r="D753">
        <v>0</v>
      </c>
      <c r="E753" t="s">
        <v>9</v>
      </c>
      <c r="F753" s="121">
        <v>150</v>
      </c>
      <c r="G753" s="123">
        <v>13</v>
      </c>
      <c r="H753" s="103" t="s">
        <v>1583</v>
      </c>
    </row>
    <row r="754" spans="2:8" x14ac:dyDescent="0.25">
      <c r="B754">
        <v>752</v>
      </c>
      <c r="C754" t="s">
        <v>1584</v>
      </c>
      <c r="D754">
        <v>0</v>
      </c>
      <c r="E754" t="s">
        <v>9</v>
      </c>
      <c r="F754" s="121">
        <v>4825</v>
      </c>
      <c r="G754" s="123">
        <v>13</v>
      </c>
      <c r="H754" s="103" t="s">
        <v>1585</v>
      </c>
    </row>
    <row r="755" spans="2:8" x14ac:dyDescent="0.25">
      <c r="B755">
        <v>753</v>
      </c>
      <c r="C755" t="s">
        <v>1586</v>
      </c>
      <c r="D755">
        <v>0</v>
      </c>
      <c r="E755" t="s">
        <v>9</v>
      </c>
      <c r="F755" s="121">
        <v>780</v>
      </c>
      <c r="G755" s="123">
        <v>23</v>
      </c>
      <c r="H755" s="103" t="s">
        <v>1587</v>
      </c>
    </row>
    <row r="756" spans="2:8" x14ac:dyDescent="0.25">
      <c r="B756">
        <v>754</v>
      </c>
      <c r="C756" t="s">
        <v>1588</v>
      </c>
      <c r="D756">
        <v>0</v>
      </c>
      <c r="E756" t="s">
        <v>9</v>
      </c>
      <c r="F756" s="121">
        <v>32</v>
      </c>
      <c r="G756" s="123">
        <v>23</v>
      </c>
      <c r="H756" s="103" t="s">
        <v>1589</v>
      </c>
    </row>
    <row r="757" spans="2:8" x14ac:dyDescent="0.25">
      <c r="B757">
        <v>755</v>
      </c>
      <c r="C757" t="s">
        <v>1590</v>
      </c>
      <c r="D757">
        <v>0</v>
      </c>
      <c r="E757" t="s">
        <v>9</v>
      </c>
      <c r="F757" s="121">
        <v>4825</v>
      </c>
      <c r="G757" s="123">
        <v>13</v>
      </c>
      <c r="H757" s="103" t="s">
        <v>1591</v>
      </c>
    </row>
    <row r="758" spans="2:8" x14ac:dyDescent="0.25">
      <c r="B758">
        <v>756</v>
      </c>
      <c r="C758" t="s">
        <v>1592</v>
      </c>
      <c r="D758">
        <v>0</v>
      </c>
      <c r="E758" t="s">
        <v>9</v>
      </c>
      <c r="F758" s="121">
        <v>4825</v>
      </c>
      <c r="G758" s="123">
        <v>13</v>
      </c>
      <c r="H758" s="103" t="s">
        <v>1593</v>
      </c>
    </row>
    <row r="759" spans="2:8" x14ac:dyDescent="0.25">
      <c r="B759">
        <v>757</v>
      </c>
      <c r="C759" t="s">
        <v>1594</v>
      </c>
      <c r="D759">
        <v>0</v>
      </c>
      <c r="E759" t="s">
        <v>9</v>
      </c>
      <c r="F759" s="121">
        <v>4825</v>
      </c>
      <c r="G759" s="123">
        <v>13</v>
      </c>
      <c r="H759" s="103" t="s">
        <v>1595</v>
      </c>
    </row>
    <row r="760" spans="2:8" x14ac:dyDescent="0.25">
      <c r="B760">
        <v>758</v>
      </c>
      <c r="C760" t="s">
        <v>1596</v>
      </c>
      <c r="D760">
        <v>0</v>
      </c>
      <c r="E760" t="s">
        <v>9</v>
      </c>
      <c r="F760" s="121">
        <v>780</v>
      </c>
      <c r="G760" s="123">
        <v>23</v>
      </c>
      <c r="H760" s="103" t="s">
        <v>1597</v>
      </c>
    </row>
    <row r="761" spans="2:8" x14ac:dyDescent="0.25">
      <c r="B761">
        <v>759</v>
      </c>
      <c r="C761" t="s">
        <v>1598</v>
      </c>
      <c r="D761">
        <v>0</v>
      </c>
      <c r="E761" t="s">
        <v>9</v>
      </c>
      <c r="F761" s="121">
        <v>4825</v>
      </c>
      <c r="G761" s="123">
        <v>13</v>
      </c>
      <c r="H761" s="103" t="s">
        <v>1599</v>
      </c>
    </row>
    <row r="762" spans="2:8" x14ac:dyDescent="0.25">
      <c r="B762">
        <v>760</v>
      </c>
      <c r="C762" t="s">
        <v>1600</v>
      </c>
      <c r="D762">
        <v>0</v>
      </c>
      <c r="E762" t="s">
        <v>9</v>
      </c>
      <c r="F762" s="121">
        <v>4825</v>
      </c>
      <c r="G762" s="123">
        <v>13</v>
      </c>
      <c r="H762" s="103" t="s">
        <v>1601</v>
      </c>
    </row>
    <row r="763" spans="2:8" x14ac:dyDescent="0.25">
      <c r="B763">
        <v>761</v>
      </c>
      <c r="C763" t="s">
        <v>1602</v>
      </c>
      <c r="D763">
        <v>0</v>
      </c>
      <c r="E763" t="s">
        <v>9</v>
      </c>
      <c r="F763" s="121">
        <v>780</v>
      </c>
      <c r="G763" s="123">
        <v>23</v>
      </c>
      <c r="H763" s="103" t="s">
        <v>1603</v>
      </c>
    </row>
    <row r="764" spans="2:8" x14ac:dyDescent="0.25">
      <c r="B764">
        <v>762</v>
      </c>
      <c r="C764" t="s">
        <v>1604</v>
      </c>
      <c r="D764">
        <v>0</v>
      </c>
      <c r="E764" t="s">
        <v>9</v>
      </c>
      <c r="F764" s="121">
        <v>4825</v>
      </c>
      <c r="G764" s="123">
        <v>13</v>
      </c>
      <c r="H764" s="103" t="s">
        <v>1605</v>
      </c>
    </row>
    <row r="765" spans="2:8" x14ac:dyDescent="0.25">
      <c r="B765">
        <v>763</v>
      </c>
      <c r="C765" t="s">
        <v>1606</v>
      </c>
      <c r="D765">
        <v>0</v>
      </c>
      <c r="E765" t="s">
        <v>9</v>
      </c>
      <c r="F765" s="121">
        <v>780</v>
      </c>
      <c r="G765" s="123">
        <v>23</v>
      </c>
      <c r="H765" s="103" t="s">
        <v>1607</v>
      </c>
    </row>
    <row r="766" spans="2:8" x14ac:dyDescent="0.25">
      <c r="B766">
        <v>764</v>
      </c>
      <c r="C766" t="s">
        <v>1608</v>
      </c>
      <c r="D766">
        <v>0</v>
      </c>
      <c r="E766" t="s">
        <v>9</v>
      </c>
      <c r="F766" s="121">
        <v>4825</v>
      </c>
      <c r="G766" s="123">
        <v>13</v>
      </c>
      <c r="H766" s="103" t="s">
        <v>1609</v>
      </c>
    </row>
    <row r="767" spans="2:8" x14ac:dyDescent="0.25">
      <c r="B767">
        <v>765</v>
      </c>
      <c r="C767" t="s">
        <v>1610</v>
      </c>
      <c r="D767" t="s">
        <v>1611</v>
      </c>
      <c r="E767" t="s">
        <v>9</v>
      </c>
      <c r="F767" s="121">
        <v>780</v>
      </c>
      <c r="G767" s="123"/>
      <c r="H767" s="103" t="s">
        <v>1612</v>
      </c>
    </row>
    <row r="768" spans="2:8" x14ac:dyDescent="0.25">
      <c r="B768">
        <v>766</v>
      </c>
      <c r="C768" t="s">
        <v>1613</v>
      </c>
      <c r="D768">
        <v>0</v>
      </c>
      <c r="E768" t="s">
        <v>9</v>
      </c>
      <c r="F768" s="121">
        <v>4825</v>
      </c>
      <c r="G768" s="123">
        <v>13</v>
      </c>
      <c r="H768" s="103" t="s">
        <v>1614</v>
      </c>
    </row>
    <row r="769" spans="2:8" x14ac:dyDescent="0.25">
      <c r="B769">
        <v>767</v>
      </c>
      <c r="C769" t="s">
        <v>1615</v>
      </c>
      <c r="D769">
        <v>0</v>
      </c>
      <c r="E769" t="s">
        <v>9</v>
      </c>
      <c r="F769" s="121">
        <v>4825</v>
      </c>
      <c r="G769" s="123">
        <v>13</v>
      </c>
      <c r="H769" s="103" t="s">
        <v>1616</v>
      </c>
    </row>
    <row r="770" spans="2:8" x14ac:dyDescent="0.25">
      <c r="B770">
        <v>768</v>
      </c>
      <c r="C770" t="s">
        <v>1617</v>
      </c>
      <c r="D770">
        <v>0</v>
      </c>
      <c r="E770" t="s">
        <v>9</v>
      </c>
      <c r="F770" s="121">
        <v>4825</v>
      </c>
      <c r="G770" s="123">
        <v>13</v>
      </c>
      <c r="H770" s="103" t="s">
        <v>1618</v>
      </c>
    </row>
    <row r="771" spans="2:8" x14ac:dyDescent="0.25">
      <c r="B771">
        <v>769</v>
      </c>
      <c r="C771" t="s">
        <v>1619</v>
      </c>
      <c r="D771">
        <v>0</v>
      </c>
      <c r="E771" t="s">
        <v>9</v>
      </c>
      <c r="F771" s="121">
        <v>4818</v>
      </c>
      <c r="G771" s="123">
        <v>13</v>
      </c>
      <c r="H771" s="103" t="s">
        <v>1620</v>
      </c>
    </row>
    <row r="772" spans="2:8" x14ac:dyDescent="0.25">
      <c r="B772">
        <v>770</v>
      </c>
      <c r="C772" t="s">
        <v>1621</v>
      </c>
      <c r="D772">
        <v>0</v>
      </c>
      <c r="E772" t="s">
        <v>35</v>
      </c>
      <c r="F772" s="121" t="s">
        <v>36</v>
      </c>
      <c r="G772" s="103" t="s">
        <v>37</v>
      </c>
      <c r="H772" s="103" t="s">
        <v>1622</v>
      </c>
    </row>
    <row r="773" spans="2:8" x14ac:dyDescent="0.25">
      <c r="B773">
        <v>771</v>
      </c>
      <c r="C773" t="s">
        <v>1623</v>
      </c>
      <c r="D773">
        <v>0</v>
      </c>
      <c r="E773" t="s">
        <v>35</v>
      </c>
      <c r="F773" s="121" t="s">
        <v>36</v>
      </c>
      <c r="G773" s="103" t="s">
        <v>37</v>
      </c>
      <c r="H773" s="103" t="s">
        <v>1624</v>
      </c>
    </row>
    <row r="774" spans="2:8" x14ac:dyDescent="0.25">
      <c r="B774">
        <v>772</v>
      </c>
      <c r="C774" t="s">
        <v>1625</v>
      </c>
      <c r="D774">
        <v>0</v>
      </c>
      <c r="E774" t="s">
        <v>9</v>
      </c>
      <c r="F774" s="121">
        <v>2734</v>
      </c>
      <c r="G774" s="123">
        <v>13</v>
      </c>
      <c r="H774" s="103" t="s">
        <v>1626</v>
      </c>
    </row>
    <row r="775" spans="2:8" x14ac:dyDescent="0.25">
      <c r="B775">
        <v>773</v>
      </c>
      <c r="C775" t="s">
        <v>1627</v>
      </c>
      <c r="D775">
        <v>0</v>
      </c>
      <c r="E775" t="s">
        <v>9</v>
      </c>
      <c r="F775" s="121">
        <v>4825</v>
      </c>
      <c r="G775" s="123">
        <v>13</v>
      </c>
      <c r="H775" s="103" t="s">
        <v>1628</v>
      </c>
    </row>
    <row r="776" spans="2:8" x14ac:dyDescent="0.25">
      <c r="B776">
        <v>774</v>
      </c>
      <c r="C776" t="s">
        <v>1629</v>
      </c>
      <c r="D776">
        <v>0</v>
      </c>
      <c r="E776" t="s">
        <v>9</v>
      </c>
      <c r="F776" s="121">
        <v>4825</v>
      </c>
      <c r="G776" s="123">
        <v>13</v>
      </c>
      <c r="H776" s="103" t="s">
        <v>1630</v>
      </c>
    </row>
    <row r="777" spans="2:8" x14ac:dyDescent="0.25">
      <c r="B777">
        <v>775</v>
      </c>
      <c r="C777" t="s">
        <v>1631</v>
      </c>
      <c r="D777" t="s">
        <v>1632</v>
      </c>
      <c r="E777" t="s">
        <v>21</v>
      </c>
      <c r="F777" s="121" t="s">
        <v>44</v>
      </c>
      <c r="G777" s="123" t="s">
        <v>37</v>
      </c>
      <c r="H777" s="103" t="s">
        <v>1633</v>
      </c>
    </row>
    <row r="778" spans="2:8" x14ac:dyDescent="0.25">
      <c r="B778">
        <v>776</v>
      </c>
      <c r="C778" t="s">
        <v>1634</v>
      </c>
      <c r="D778">
        <v>0</v>
      </c>
      <c r="E778" t="s">
        <v>9</v>
      </c>
      <c r="F778" s="121">
        <v>780</v>
      </c>
      <c r="G778" s="123">
        <v>23</v>
      </c>
      <c r="H778" s="103" t="s">
        <v>1635</v>
      </c>
    </row>
    <row r="779" spans="2:8" x14ac:dyDescent="0.25">
      <c r="B779">
        <v>777</v>
      </c>
      <c r="C779" t="s">
        <v>1636</v>
      </c>
      <c r="D779">
        <v>0</v>
      </c>
      <c r="E779" t="s">
        <v>9</v>
      </c>
      <c r="F779" s="121">
        <v>4825</v>
      </c>
      <c r="G779" s="123">
        <v>13</v>
      </c>
      <c r="H779" s="103" t="s">
        <v>1637</v>
      </c>
    </row>
    <row r="780" spans="2:8" x14ac:dyDescent="0.25">
      <c r="B780">
        <v>778</v>
      </c>
      <c r="C780" t="s">
        <v>210</v>
      </c>
      <c r="D780" t="s">
        <v>1638</v>
      </c>
      <c r="E780" t="s">
        <v>9</v>
      </c>
      <c r="F780" s="121">
        <v>780</v>
      </c>
      <c r="G780" s="123"/>
      <c r="H780" s="103" t="s">
        <v>1639</v>
      </c>
    </row>
    <row r="781" spans="2:8" x14ac:dyDescent="0.25">
      <c r="B781">
        <v>779</v>
      </c>
      <c r="C781" t="s">
        <v>1640</v>
      </c>
      <c r="D781">
        <v>0</v>
      </c>
      <c r="E781" t="s">
        <v>9</v>
      </c>
      <c r="F781" s="121">
        <v>4825</v>
      </c>
      <c r="G781" s="123">
        <v>13</v>
      </c>
      <c r="H781" s="103" t="s">
        <v>1641</v>
      </c>
    </row>
    <row r="782" spans="2:8" x14ac:dyDescent="0.25">
      <c r="B782">
        <v>780</v>
      </c>
      <c r="C782" t="s">
        <v>1642</v>
      </c>
      <c r="D782">
        <v>0</v>
      </c>
      <c r="E782" t="s">
        <v>9</v>
      </c>
      <c r="F782" s="121">
        <v>1880</v>
      </c>
      <c r="G782" s="123">
        <v>13</v>
      </c>
      <c r="H782" s="103" t="s">
        <v>1643</v>
      </c>
    </row>
    <row r="783" spans="2:8" x14ac:dyDescent="0.25">
      <c r="B783">
        <v>781</v>
      </c>
      <c r="C783" t="s">
        <v>1644</v>
      </c>
      <c r="D783">
        <v>0</v>
      </c>
      <c r="E783" t="s">
        <v>9</v>
      </c>
      <c r="F783" s="121">
        <v>780</v>
      </c>
      <c r="G783" s="123">
        <v>13</v>
      </c>
      <c r="H783" s="103" t="s">
        <v>1645</v>
      </c>
    </row>
    <row r="784" spans="2:8" x14ac:dyDescent="0.25">
      <c r="B784">
        <v>782</v>
      </c>
      <c r="C784" t="s">
        <v>1646</v>
      </c>
      <c r="D784">
        <v>0</v>
      </c>
      <c r="E784" t="s">
        <v>9</v>
      </c>
      <c r="F784" s="121">
        <v>780</v>
      </c>
      <c r="G784" s="123">
        <v>13</v>
      </c>
      <c r="H784" s="103" t="s">
        <v>1647</v>
      </c>
    </row>
    <row r="785" spans="2:8" x14ac:dyDescent="0.25">
      <c r="B785">
        <v>783</v>
      </c>
      <c r="C785" t="s">
        <v>1648</v>
      </c>
      <c r="D785">
        <v>0</v>
      </c>
      <c r="E785" t="s">
        <v>21</v>
      </c>
      <c r="F785" s="121" t="s">
        <v>44</v>
      </c>
      <c r="G785" s="123" t="s">
        <v>22</v>
      </c>
      <c r="H785" s="103" t="s">
        <v>1649</v>
      </c>
    </row>
    <row r="786" spans="2:8" x14ac:dyDescent="0.25">
      <c r="B786">
        <v>784</v>
      </c>
      <c r="C786" t="s">
        <v>1650</v>
      </c>
      <c r="D786">
        <v>0</v>
      </c>
      <c r="E786" t="s">
        <v>9</v>
      </c>
      <c r="F786" s="121">
        <v>4825</v>
      </c>
      <c r="G786" s="123">
        <v>13</v>
      </c>
      <c r="H786" s="103" t="s">
        <v>1651</v>
      </c>
    </row>
    <row r="787" spans="2:8" x14ac:dyDescent="0.25">
      <c r="B787">
        <v>785</v>
      </c>
      <c r="C787" t="s">
        <v>1652</v>
      </c>
      <c r="D787">
        <v>0</v>
      </c>
      <c r="E787" t="s">
        <v>21</v>
      </c>
      <c r="F787" s="121">
        <v>7802</v>
      </c>
      <c r="G787" s="123" t="s">
        <v>37</v>
      </c>
      <c r="H787" s="103" t="s">
        <v>1653</v>
      </c>
    </row>
    <row r="788" spans="2:8" x14ac:dyDescent="0.25">
      <c r="B788">
        <v>786</v>
      </c>
      <c r="C788" t="s">
        <v>1654</v>
      </c>
      <c r="D788">
        <v>0</v>
      </c>
      <c r="E788" t="s">
        <v>9</v>
      </c>
      <c r="F788" s="121">
        <v>949</v>
      </c>
      <c r="G788" s="123">
        <v>13</v>
      </c>
      <c r="H788" s="103" t="s">
        <v>1655</v>
      </c>
    </row>
    <row r="789" spans="2:8" x14ac:dyDescent="0.25">
      <c r="B789">
        <v>787</v>
      </c>
      <c r="C789" t="s">
        <v>1656</v>
      </c>
      <c r="D789">
        <v>0</v>
      </c>
      <c r="E789" t="s">
        <v>9</v>
      </c>
      <c r="F789" s="121">
        <v>780</v>
      </c>
      <c r="G789" s="123">
        <v>23</v>
      </c>
      <c r="H789" s="103" t="s">
        <v>1657</v>
      </c>
    </row>
    <row r="790" spans="2:8" x14ac:dyDescent="0.25">
      <c r="B790">
        <v>788</v>
      </c>
      <c r="C790" t="s">
        <v>1658</v>
      </c>
      <c r="D790" t="s">
        <v>1659</v>
      </c>
      <c r="E790" t="s">
        <v>35</v>
      </c>
      <c r="F790" s="121" t="s">
        <v>36</v>
      </c>
      <c r="G790" s="103" t="s">
        <v>37</v>
      </c>
      <c r="H790" s="103" t="s">
        <v>1660</v>
      </c>
    </row>
    <row r="791" spans="2:8" x14ac:dyDescent="0.25">
      <c r="B791">
        <v>789</v>
      </c>
      <c r="C791" t="s">
        <v>1661</v>
      </c>
      <c r="D791">
        <v>0</v>
      </c>
      <c r="E791" t="s">
        <v>9</v>
      </c>
      <c r="F791" s="121">
        <v>4825</v>
      </c>
      <c r="G791" s="123">
        <v>13</v>
      </c>
      <c r="H791" s="103" t="s">
        <v>1662</v>
      </c>
    </row>
    <row r="792" spans="2:8" x14ac:dyDescent="0.25">
      <c r="B792">
        <v>790</v>
      </c>
      <c r="C792" t="s">
        <v>1663</v>
      </c>
      <c r="D792">
        <v>0</v>
      </c>
      <c r="E792" t="s">
        <v>9</v>
      </c>
      <c r="F792" s="121">
        <v>4535</v>
      </c>
      <c r="G792" s="123">
        <v>13</v>
      </c>
      <c r="H792" s="103" t="s">
        <v>1664</v>
      </c>
    </row>
    <row r="793" spans="2:8" x14ac:dyDescent="0.25">
      <c r="B793">
        <v>791</v>
      </c>
      <c r="C793" t="s">
        <v>1665</v>
      </c>
      <c r="D793">
        <v>0</v>
      </c>
      <c r="E793" t="s">
        <v>9</v>
      </c>
      <c r="F793" s="121">
        <v>4825</v>
      </c>
      <c r="G793" s="123">
        <v>13</v>
      </c>
      <c r="H793" s="103" t="s">
        <v>1666</v>
      </c>
    </row>
    <row r="794" spans="2:8" x14ac:dyDescent="0.25">
      <c r="B794">
        <v>792</v>
      </c>
      <c r="C794" t="s">
        <v>1667</v>
      </c>
      <c r="D794">
        <v>0</v>
      </c>
      <c r="E794" t="s">
        <v>9</v>
      </c>
      <c r="F794" s="121">
        <v>4825</v>
      </c>
      <c r="G794" s="123">
        <v>13</v>
      </c>
      <c r="H794" s="103" t="s">
        <v>1668</v>
      </c>
    </row>
    <row r="795" spans="2:8" x14ac:dyDescent="0.25">
      <c r="B795">
        <v>793</v>
      </c>
      <c r="C795" t="s">
        <v>1669</v>
      </c>
      <c r="D795">
        <v>0</v>
      </c>
      <c r="E795" t="s">
        <v>9</v>
      </c>
      <c r="F795" s="121">
        <v>4825</v>
      </c>
      <c r="G795" s="123">
        <v>13</v>
      </c>
      <c r="H795" s="103" t="s">
        <v>1670</v>
      </c>
    </row>
    <row r="796" spans="2:8" x14ac:dyDescent="0.25">
      <c r="B796">
        <v>794</v>
      </c>
      <c r="C796" t="s">
        <v>1671</v>
      </c>
      <c r="D796">
        <v>0</v>
      </c>
      <c r="E796" t="s">
        <v>9</v>
      </c>
      <c r="F796" s="121">
        <v>4825</v>
      </c>
      <c r="G796" s="123">
        <v>13</v>
      </c>
      <c r="H796" s="103" t="s">
        <v>1672</v>
      </c>
    </row>
    <row r="797" spans="2:8" x14ac:dyDescent="0.25">
      <c r="B797">
        <v>795</v>
      </c>
      <c r="C797" t="s">
        <v>1673</v>
      </c>
      <c r="D797">
        <v>0</v>
      </c>
      <c r="E797" t="s">
        <v>9</v>
      </c>
      <c r="F797" s="121">
        <v>4535</v>
      </c>
      <c r="G797" s="123">
        <v>13</v>
      </c>
      <c r="H797" s="103" t="s">
        <v>1674</v>
      </c>
    </row>
    <row r="798" spans="2:8" x14ac:dyDescent="0.25">
      <c r="B798">
        <v>796</v>
      </c>
      <c r="C798" t="s">
        <v>1675</v>
      </c>
      <c r="D798">
        <v>0</v>
      </c>
      <c r="E798" t="s">
        <v>9</v>
      </c>
      <c r="F798" s="121">
        <v>4825</v>
      </c>
      <c r="G798" s="123">
        <v>13</v>
      </c>
      <c r="H798" s="103" t="s">
        <v>1676</v>
      </c>
    </row>
    <row r="799" spans="2:8" x14ac:dyDescent="0.25">
      <c r="B799">
        <v>797</v>
      </c>
      <c r="C799" t="s">
        <v>1677</v>
      </c>
      <c r="D799">
        <v>0</v>
      </c>
      <c r="E799" t="s">
        <v>35</v>
      </c>
      <c r="F799" s="121" t="s">
        <v>670</v>
      </c>
      <c r="G799" s="103" t="s">
        <v>37</v>
      </c>
      <c r="H799" s="103" t="s">
        <v>1678</v>
      </c>
    </row>
    <row r="800" spans="2:8" x14ac:dyDescent="0.25">
      <c r="B800">
        <v>798</v>
      </c>
      <c r="C800" t="s">
        <v>1679</v>
      </c>
      <c r="D800">
        <v>0</v>
      </c>
      <c r="E800" t="s">
        <v>9</v>
      </c>
      <c r="F800" s="121">
        <v>4535</v>
      </c>
      <c r="G800" s="123">
        <v>13</v>
      </c>
      <c r="H800" s="103" t="s">
        <v>1680</v>
      </c>
    </row>
    <row r="801" spans="2:8" x14ac:dyDescent="0.25">
      <c r="B801">
        <v>799</v>
      </c>
      <c r="C801" t="s">
        <v>1681</v>
      </c>
      <c r="D801">
        <v>0</v>
      </c>
      <c r="E801" t="s">
        <v>9</v>
      </c>
      <c r="F801" s="121">
        <v>780</v>
      </c>
      <c r="G801" s="123">
        <v>23</v>
      </c>
      <c r="H801" s="103" t="s">
        <v>1682</v>
      </c>
    </row>
    <row r="802" spans="2:8" x14ac:dyDescent="0.25">
      <c r="B802">
        <v>800</v>
      </c>
      <c r="C802" t="s">
        <v>1683</v>
      </c>
      <c r="D802">
        <v>0</v>
      </c>
      <c r="E802" t="s">
        <v>9</v>
      </c>
      <c r="F802" s="121">
        <v>4825</v>
      </c>
      <c r="G802" s="123">
        <v>13</v>
      </c>
      <c r="H802" s="103" t="s">
        <v>1684</v>
      </c>
    </row>
    <row r="803" spans="2:8" x14ac:dyDescent="0.25">
      <c r="B803">
        <v>801</v>
      </c>
      <c r="C803" t="s">
        <v>1685</v>
      </c>
      <c r="D803">
        <v>0</v>
      </c>
      <c r="E803" t="s">
        <v>9</v>
      </c>
      <c r="F803" s="121">
        <v>4825</v>
      </c>
      <c r="G803" s="123">
        <v>13</v>
      </c>
      <c r="H803" s="103" t="s">
        <v>1539</v>
      </c>
    </row>
    <row r="804" spans="2:8" x14ac:dyDescent="0.25">
      <c r="B804">
        <v>802</v>
      </c>
      <c r="C804" t="s">
        <v>1686</v>
      </c>
      <c r="D804">
        <v>0</v>
      </c>
      <c r="E804" t="s">
        <v>9</v>
      </c>
      <c r="F804" s="121">
        <v>1235</v>
      </c>
      <c r="G804" s="123">
        <v>13</v>
      </c>
      <c r="H804" s="103" t="s">
        <v>1687</v>
      </c>
    </row>
    <row r="805" spans="2:8" x14ac:dyDescent="0.25">
      <c r="B805">
        <v>803</v>
      </c>
      <c r="C805" t="s">
        <v>1688</v>
      </c>
      <c r="D805">
        <v>0</v>
      </c>
      <c r="E805" t="s">
        <v>9</v>
      </c>
      <c r="F805" s="121">
        <v>4825</v>
      </c>
      <c r="G805" s="123">
        <v>13</v>
      </c>
      <c r="H805" s="103" t="s">
        <v>1689</v>
      </c>
    </row>
    <row r="806" spans="2:8" x14ac:dyDescent="0.25">
      <c r="B806">
        <v>804</v>
      </c>
      <c r="C806" t="s">
        <v>1690</v>
      </c>
      <c r="D806" t="s">
        <v>5276</v>
      </c>
      <c r="E806" t="s">
        <v>21</v>
      </c>
      <c r="F806" s="121" t="s">
        <v>44</v>
      </c>
      <c r="G806" s="103" t="s">
        <v>37</v>
      </c>
      <c r="H806" s="103" t="s">
        <v>1691</v>
      </c>
    </row>
    <row r="807" spans="2:8" x14ac:dyDescent="0.25">
      <c r="B807">
        <v>805</v>
      </c>
      <c r="C807" t="s">
        <v>1692</v>
      </c>
      <c r="D807">
        <v>0</v>
      </c>
      <c r="E807" t="s">
        <v>9</v>
      </c>
      <c r="F807" s="121">
        <v>4825</v>
      </c>
      <c r="G807" s="123">
        <v>13</v>
      </c>
      <c r="H807" s="103" t="s">
        <v>1693</v>
      </c>
    </row>
    <row r="808" spans="2:8" x14ac:dyDescent="0.25">
      <c r="B808">
        <v>806</v>
      </c>
      <c r="C808" t="s">
        <v>1694</v>
      </c>
      <c r="D808" t="s">
        <v>1695</v>
      </c>
      <c r="E808" t="s">
        <v>9</v>
      </c>
      <c r="F808" s="121">
        <v>4825</v>
      </c>
      <c r="G808" s="123">
        <v>1288</v>
      </c>
      <c r="H808" s="103" t="s">
        <v>1696</v>
      </c>
    </row>
    <row r="809" spans="2:8" x14ac:dyDescent="0.25">
      <c r="B809">
        <v>807</v>
      </c>
      <c r="C809" t="s">
        <v>1697</v>
      </c>
      <c r="D809">
        <v>0</v>
      </c>
      <c r="E809" t="s">
        <v>9</v>
      </c>
      <c r="F809" s="121">
        <v>780</v>
      </c>
      <c r="G809" s="123">
        <v>23</v>
      </c>
      <c r="H809" s="103" t="s">
        <v>1698</v>
      </c>
    </row>
    <row r="810" spans="2:8" x14ac:dyDescent="0.25">
      <c r="B810">
        <v>808</v>
      </c>
      <c r="C810" t="s">
        <v>1699</v>
      </c>
      <c r="D810">
        <v>0</v>
      </c>
      <c r="E810" t="s">
        <v>9</v>
      </c>
      <c r="F810" s="121">
        <v>4825</v>
      </c>
      <c r="G810" s="123">
        <v>13</v>
      </c>
      <c r="H810" s="103" t="s">
        <v>1700</v>
      </c>
    </row>
    <row r="811" spans="2:8" x14ac:dyDescent="0.25">
      <c r="B811">
        <v>809</v>
      </c>
      <c r="C811" t="s">
        <v>1701</v>
      </c>
      <c r="D811">
        <v>0</v>
      </c>
      <c r="E811" t="s">
        <v>21</v>
      </c>
      <c r="F811" s="121" t="s">
        <v>44</v>
      </c>
      <c r="G811" s="103" t="s">
        <v>37</v>
      </c>
      <c r="H811" s="103" t="s">
        <v>1702</v>
      </c>
    </row>
    <row r="812" spans="2:8" x14ac:dyDescent="0.25">
      <c r="B812">
        <v>810</v>
      </c>
      <c r="C812" t="s">
        <v>1703</v>
      </c>
      <c r="D812">
        <v>0</v>
      </c>
      <c r="E812" t="s">
        <v>9</v>
      </c>
      <c r="F812" s="121">
        <v>359</v>
      </c>
      <c r="G812" s="123">
        <v>13</v>
      </c>
      <c r="H812" s="103" t="s">
        <v>1704</v>
      </c>
    </row>
    <row r="813" spans="2:8" x14ac:dyDescent="0.25">
      <c r="B813">
        <v>811</v>
      </c>
      <c r="C813" t="s">
        <v>1705</v>
      </c>
      <c r="D813" t="s">
        <v>1706</v>
      </c>
      <c r="E813" t="s">
        <v>9</v>
      </c>
      <c r="F813" s="121">
        <v>4818</v>
      </c>
      <c r="G813" s="123"/>
      <c r="H813" s="103" t="s">
        <v>1707</v>
      </c>
    </row>
    <row r="814" spans="2:8" x14ac:dyDescent="0.25">
      <c r="B814">
        <v>812</v>
      </c>
      <c r="C814" t="s">
        <v>1708</v>
      </c>
      <c r="D814">
        <v>0</v>
      </c>
      <c r="E814" t="s">
        <v>9</v>
      </c>
      <c r="F814" s="121">
        <v>4825</v>
      </c>
      <c r="G814" s="123">
        <v>13</v>
      </c>
      <c r="H814" s="103" t="s">
        <v>1709</v>
      </c>
    </row>
    <row r="815" spans="2:8" x14ac:dyDescent="0.25">
      <c r="B815">
        <v>813</v>
      </c>
      <c r="C815" t="s">
        <v>1710</v>
      </c>
      <c r="D815">
        <v>0</v>
      </c>
      <c r="E815" t="s">
        <v>9</v>
      </c>
      <c r="F815" s="121">
        <v>4825</v>
      </c>
      <c r="G815" s="123"/>
      <c r="H815" s="103" t="s">
        <v>1711</v>
      </c>
    </row>
    <row r="816" spans="2:8" x14ac:dyDescent="0.25">
      <c r="B816">
        <v>814</v>
      </c>
      <c r="C816" t="s">
        <v>1712</v>
      </c>
      <c r="D816">
        <v>0</v>
      </c>
      <c r="E816" t="s">
        <v>9</v>
      </c>
      <c r="F816" s="121">
        <v>4825</v>
      </c>
      <c r="G816" s="123">
        <v>13</v>
      </c>
      <c r="H816" s="103" t="s">
        <v>1713</v>
      </c>
    </row>
    <row r="817" spans="2:8" x14ac:dyDescent="0.25">
      <c r="B817">
        <v>815</v>
      </c>
      <c r="C817" t="s">
        <v>1714</v>
      </c>
      <c r="D817">
        <v>0</v>
      </c>
      <c r="E817" t="s">
        <v>9</v>
      </c>
      <c r="F817" s="121">
        <v>4825</v>
      </c>
      <c r="G817" s="123">
        <v>13</v>
      </c>
      <c r="H817" s="103" t="s">
        <v>1715</v>
      </c>
    </row>
    <row r="818" spans="2:8" x14ac:dyDescent="0.25">
      <c r="B818">
        <v>816</v>
      </c>
      <c r="C818" t="s">
        <v>1716</v>
      </c>
      <c r="D818">
        <v>0</v>
      </c>
      <c r="E818" t="s">
        <v>9</v>
      </c>
      <c r="F818" s="121">
        <v>4825</v>
      </c>
      <c r="G818" s="123">
        <v>13</v>
      </c>
      <c r="H818" s="103" t="s">
        <v>1717</v>
      </c>
    </row>
    <row r="819" spans="2:8" x14ac:dyDescent="0.25">
      <c r="B819">
        <v>817</v>
      </c>
      <c r="C819" t="s">
        <v>1718</v>
      </c>
      <c r="D819">
        <v>0</v>
      </c>
      <c r="E819" t="s">
        <v>9</v>
      </c>
      <c r="F819" s="121">
        <v>4825</v>
      </c>
      <c r="G819" s="123">
        <v>13</v>
      </c>
      <c r="H819" s="103" t="s">
        <v>1719</v>
      </c>
    </row>
    <row r="820" spans="2:8" x14ac:dyDescent="0.25">
      <c r="B820">
        <v>818</v>
      </c>
      <c r="C820" t="s">
        <v>1720</v>
      </c>
      <c r="D820">
        <v>0</v>
      </c>
      <c r="E820" t="s">
        <v>9</v>
      </c>
      <c r="F820" s="121">
        <v>1053</v>
      </c>
      <c r="G820" s="123">
        <v>13</v>
      </c>
      <c r="H820" s="103" t="s">
        <v>1721</v>
      </c>
    </row>
    <row r="821" spans="2:8" x14ac:dyDescent="0.25">
      <c r="B821">
        <v>819</v>
      </c>
      <c r="C821" t="s">
        <v>1722</v>
      </c>
      <c r="D821" t="s">
        <v>1723</v>
      </c>
      <c r="E821" t="s">
        <v>9</v>
      </c>
      <c r="F821" s="121">
        <v>4825</v>
      </c>
      <c r="G821" s="123"/>
      <c r="H821" s="103" t="s">
        <v>1724</v>
      </c>
    </row>
    <row r="822" spans="2:8" x14ac:dyDescent="0.25">
      <c r="B822">
        <v>820</v>
      </c>
      <c r="C822" t="s">
        <v>1725</v>
      </c>
      <c r="D822">
        <v>0</v>
      </c>
      <c r="E822" t="s">
        <v>9</v>
      </c>
      <c r="F822" s="121">
        <v>4825</v>
      </c>
      <c r="G822" s="123">
        <v>13</v>
      </c>
      <c r="H822" s="103" t="s">
        <v>1726</v>
      </c>
    </row>
    <row r="823" spans="2:8" x14ac:dyDescent="0.25">
      <c r="B823">
        <v>821</v>
      </c>
      <c r="C823" t="s">
        <v>1727</v>
      </c>
      <c r="D823">
        <v>0</v>
      </c>
      <c r="E823" t="s">
        <v>9</v>
      </c>
      <c r="F823" s="121">
        <v>4096</v>
      </c>
      <c r="G823" s="123">
        <v>13</v>
      </c>
      <c r="H823" s="103" t="s">
        <v>1728</v>
      </c>
    </row>
    <row r="824" spans="2:8" x14ac:dyDescent="0.25">
      <c r="B824">
        <v>822</v>
      </c>
      <c r="C824" t="s">
        <v>1729</v>
      </c>
      <c r="D824">
        <v>0</v>
      </c>
      <c r="E824" t="s">
        <v>9</v>
      </c>
      <c r="F824" s="121">
        <v>4535</v>
      </c>
      <c r="G824" s="123">
        <v>13</v>
      </c>
      <c r="H824" s="103" t="s">
        <v>1730</v>
      </c>
    </row>
    <row r="825" spans="2:8" x14ac:dyDescent="0.25">
      <c r="B825">
        <v>823</v>
      </c>
      <c r="C825" t="s">
        <v>1731</v>
      </c>
      <c r="D825">
        <v>0</v>
      </c>
      <c r="E825" t="s">
        <v>9</v>
      </c>
      <c r="F825" s="121">
        <v>949</v>
      </c>
      <c r="G825" s="123">
        <v>23</v>
      </c>
      <c r="H825" s="103" t="s">
        <v>1732</v>
      </c>
    </row>
    <row r="826" spans="2:8" x14ac:dyDescent="0.25">
      <c r="B826">
        <v>824</v>
      </c>
      <c r="C826" t="s">
        <v>1733</v>
      </c>
      <c r="D826">
        <v>0</v>
      </c>
      <c r="E826" t="s">
        <v>9</v>
      </c>
      <c r="F826" s="121">
        <v>1053</v>
      </c>
      <c r="G826" s="123">
        <v>23</v>
      </c>
      <c r="H826" s="103" t="s">
        <v>1734</v>
      </c>
    </row>
    <row r="827" spans="2:8" x14ac:dyDescent="0.25">
      <c r="B827">
        <v>825</v>
      </c>
      <c r="C827" t="s">
        <v>1735</v>
      </c>
      <c r="D827">
        <v>0</v>
      </c>
      <c r="E827" t="s">
        <v>9</v>
      </c>
      <c r="F827" s="121">
        <v>3880</v>
      </c>
      <c r="G827" s="123">
        <v>1288</v>
      </c>
      <c r="H827" s="103" t="s">
        <v>1736</v>
      </c>
    </row>
    <row r="828" spans="2:8" x14ac:dyDescent="0.25">
      <c r="B828">
        <v>826</v>
      </c>
      <c r="C828" t="s">
        <v>1737</v>
      </c>
      <c r="D828">
        <v>0</v>
      </c>
      <c r="E828" t="s">
        <v>9</v>
      </c>
      <c r="F828" s="121">
        <v>1602</v>
      </c>
      <c r="G828" s="123">
        <v>13</v>
      </c>
      <c r="H828" s="103" t="s">
        <v>1738</v>
      </c>
    </row>
    <row r="829" spans="2:8" x14ac:dyDescent="0.25">
      <c r="B829">
        <v>827</v>
      </c>
      <c r="C829" t="s">
        <v>1739</v>
      </c>
      <c r="D829">
        <v>0</v>
      </c>
      <c r="E829" t="s">
        <v>9</v>
      </c>
      <c r="F829" s="121">
        <v>4825</v>
      </c>
      <c r="G829" s="123">
        <v>13</v>
      </c>
      <c r="H829" s="103" t="s">
        <v>1740</v>
      </c>
    </row>
    <row r="830" spans="2:8" x14ac:dyDescent="0.25">
      <c r="B830">
        <v>828</v>
      </c>
      <c r="C830" t="s">
        <v>1741</v>
      </c>
      <c r="D830">
        <v>0</v>
      </c>
      <c r="E830" t="s">
        <v>9</v>
      </c>
      <c r="F830" s="121">
        <v>780</v>
      </c>
      <c r="G830" s="123">
        <v>23</v>
      </c>
      <c r="H830" s="103" t="s">
        <v>1742</v>
      </c>
    </row>
    <row r="831" spans="2:8" x14ac:dyDescent="0.25">
      <c r="B831">
        <v>829</v>
      </c>
      <c r="C831" t="s">
        <v>1743</v>
      </c>
      <c r="D831">
        <v>0</v>
      </c>
      <c r="E831" t="s">
        <v>9</v>
      </c>
      <c r="F831" s="121">
        <v>4825</v>
      </c>
      <c r="G831" s="123">
        <v>13</v>
      </c>
      <c r="H831" s="103" t="s">
        <v>1744</v>
      </c>
    </row>
    <row r="832" spans="2:8" x14ac:dyDescent="0.25">
      <c r="B832">
        <v>830</v>
      </c>
      <c r="C832" t="s">
        <v>1745</v>
      </c>
      <c r="D832">
        <v>0</v>
      </c>
      <c r="E832" t="s">
        <v>9</v>
      </c>
      <c r="F832" s="121">
        <v>949</v>
      </c>
      <c r="G832" s="123">
        <v>23</v>
      </c>
      <c r="H832" s="103" t="s">
        <v>1746</v>
      </c>
    </row>
    <row r="833" spans="2:8" x14ac:dyDescent="0.25">
      <c r="B833">
        <v>831</v>
      </c>
      <c r="C833" t="s">
        <v>1747</v>
      </c>
      <c r="D833">
        <v>0</v>
      </c>
      <c r="E833" t="s">
        <v>9</v>
      </c>
      <c r="F833" s="121">
        <v>4818</v>
      </c>
      <c r="G833" s="123">
        <v>13</v>
      </c>
      <c r="H833" s="103" t="s">
        <v>1748</v>
      </c>
    </row>
    <row r="834" spans="2:8" x14ac:dyDescent="0.25">
      <c r="B834">
        <v>832</v>
      </c>
      <c r="C834" t="s">
        <v>1749</v>
      </c>
      <c r="D834">
        <v>0</v>
      </c>
      <c r="E834" t="s">
        <v>9</v>
      </c>
      <c r="F834" s="121">
        <v>4825</v>
      </c>
      <c r="G834" s="123">
        <v>13</v>
      </c>
      <c r="H834" s="103" t="s">
        <v>1750</v>
      </c>
    </row>
    <row r="835" spans="2:8" x14ac:dyDescent="0.25">
      <c r="B835">
        <v>833</v>
      </c>
      <c r="C835" t="s">
        <v>1751</v>
      </c>
      <c r="D835">
        <v>0</v>
      </c>
      <c r="E835" t="s">
        <v>9</v>
      </c>
      <c r="F835" s="121">
        <v>611</v>
      </c>
      <c r="G835" s="123">
        <v>23</v>
      </c>
      <c r="H835" s="103" t="s">
        <v>1752</v>
      </c>
    </row>
    <row r="836" spans="2:8" x14ac:dyDescent="0.25">
      <c r="B836">
        <v>834</v>
      </c>
      <c r="C836" t="s">
        <v>1753</v>
      </c>
      <c r="D836" t="s">
        <v>5086</v>
      </c>
      <c r="E836" t="s">
        <v>9</v>
      </c>
      <c r="F836" s="121">
        <v>128</v>
      </c>
      <c r="G836" s="123"/>
      <c r="H836" s="103" t="s">
        <v>5065</v>
      </c>
    </row>
    <row r="837" spans="2:8" x14ac:dyDescent="0.25">
      <c r="B837">
        <v>835</v>
      </c>
      <c r="C837" t="s">
        <v>1755</v>
      </c>
      <c r="D837">
        <v>0</v>
      </c>
      <c r="E837" t="s">
        <v>9</v>
      </c>
      <c r="F837" s="121">
        <v>150</v>
      </c>
      <c r="G837" s="123">
        <v>13</v>
      </c>
      <c r="H837" s="103" t="s">
        <v>1756</v>
      </c>
    </row>
    <row r="838" spans="2:8" x14ac:dyDescent="0.25">
      <c r="B838">
        <v>836</v>
      </c>
      <c r="C838" t="s">
        <v>1757</v>
      </c>
      <c r="D838">
        <v>0</v>
      </c>
      <c r="E838" t="s">
        <v>9</v>
      </c>
      <c r="F838" s="121">
        <v>4825</v>
      </c>
      <c r="G838" s="123">
        <v>13</v>
      </c>
      <c r="H838" s="103" t="s">
        <v>1758</v>
      </c>
    </row>
    <row r="839" spans="2:8" x14ac:dyDescent="0.25">
      <c r="B839">
        <v>837</v>
      </c>
      <c r="C839" t="s">
        <v>1759</v>
      </c>
      <c r="D839">
        <v>0</v>
      </c>
      <c r="E839" t="s">
        <v>9</v>
      </c>
      <c r="F839" s="121">
        <v>4825</v>
      </c>
      <c r="G839" s="123">
        <v>13</v>
      </c>
      <c r="H839" s="103" t="s">
        <v>1760</v>
      </c>
    </row>
    <row r="840" spans="2:8" x14ac:dyDescent="0.25">
      <c r="B840">
        <v>838</v>
      </c>
      <c r="C840" t="s">
        <v>1761</v>
      </c>
      <c r="D840" t="s">
        <v>1762</v>
      </c>
      <c r="E840" t="s">
        <v>9</v>
      </c>
      <c r="F840" s="121">
        <v>4818</v>
      </c>
      <c r="G840" s="123">
        <v>13</v>
      </c>
      <c r="H840" s="103" t="s">
        <v>1763</v>
      </c>
    </row>
    <row r="841" spans="2:8" x14ac:dyDescent="0.25">
      <c r="B841">
        <v>839</v>
      </c>
      <c r="C841" t="s">
        <v>1764</v>
      </c>
      <c r="D841">
        <v>0</v>
      </c>
      <c r="E841" t="s">
        <v>9</v>
      </c>
      <c r="F841" s="121">
        <v>4825</v>
      </c>
      <c r="G841" s="123">
        <v>13</v>
      </c>
      <c r="H841" s="103" t="s">
        <v>1765</v>
      </c>
    </row>
    <row r="842" spans="2:8" x14ac:dyDescent="0.25">
      <c r="B842">
        <v>840</v>
      </c>
      <c r="C842" t="s">
        <v>1766</v>
      </c>
      <c r="D842">
        <v>0</v>
      </c>
      <c r="E842" t="s">
        <v>9</v>
      </c>
      <c r="F842" s="121">
        <v>4825</v>
      </c>
      <c r="G842" s="123">
        <v>13</v>
      </c>
      <c r="H842" s="103" t="s">
        <v>1767</v>
      </c>
    </row>
    <row r="843" spans="2:8" x14ac:dyDescent="0.25">
      <c r="B843">
        <v>841</v>
      </c>
      <c r="C843" t="s">
        <v>1768</v>
      </c>
      <c r="D843">
        <v>0</v>
      </c>
      <c r="E843" t="s">
        <v>9</v>
      </c>
      <c r="F843" s="121">
        <v>4825</v>
      </c>
      <c r="G843" s="123">
        <v>13</v>
      </c>
      <c r="H843" s="103" t="s">
        <v>1769</v>
      </c>
    </row>
    <row r="844" spans="2:8" x14ac:dyDescent="0.25">
      <c r="B844">
        <v>842</v>
      </c>
      <c r="C844" t="s">
        <v>1770</v>
      </c>
      <c r="D844">
        <v>0</v>
      </c>
      <c r="E844" t="s">
        <v>9</v>
      </c>
      <c r="F844" s="121">
        <v>4694</v>
      </c>
      <c r="G844" s="123">
        <v>13</v>
      </c>
      <c r="H844" s="103" t="s">
        <v>1771</v>
      </c>
    </row>
    <row r="845" spans="2:8" x14ac:dyDescent="0.25">
      <c r="B845">
        <v>843</v>
      </c>
      <c r="C845" t="s">
        <v>1772</v>
      </c>
      <c r="D845" t="s">
        <v>1773</v>
      </c>
      <c r="E845" t="s">
        <v>9</v>
      </c>
      <c r="F845" s="121">
        <v>4825</v>
      </c>
      <c r="G845" s="123">
        <v>13</v>
      </c>
      <c r="H845" s="103" t="s">
        <v>1774</v>
      </c>
    </row>
    <row r="846" spans="2:8" x14ac:dyDescent="0.25">
      <c r="B846">
        <v>844</v>
      </c>
      <c r="C846" t="s">
        <v>1775</v>
      </c>
      <c r="D846">
        <v>0</v>
      </c>
      <c r="E846" t="s">
        <v>9</v>
      </c>
      <c r="F846" s="121">
        <v>4825</v>
      </c>
      <c r="G846" s="123">
        <v>13</v>
      </c>
      <c r="H846" s="103" t="s">
        <v>1776</v>
      </c>
    </row>
    <row r="847" spans="2:8" x14ac:dyDescent="0.25">
      <c r="B847">
        <v>845</v>
      </c>
      <c r="C847" t="s">
        <v>1777</v>
      </c>
      <c r="D847">
        <v>0</v>
      </c>
      <c r="E847" t="s">
        <v>9</v>
      </c>
      <c r="F847" s="121">
        <v>4825</v>
      </c>
      <c r="G847" s="123">
        <v>13</v>
      </c>
      <c r="H847" s="103" t="s">
        <v>1778</v>
      </c>
    </row>
    <row r="848" spans="2:8" x14ac:dyDescent="0.25">
      <c r="B848">
        <v>846</v>
      </c>
      <c r="C848" t="s">
        <v>1779</v>
      </c>
      <c r="D848" t="s">
        <v>1780</v>
      </c>
      <c r="E848" t="s">
        <v>9</v>
      </c>
      <c r="F848" s="121">
        <v>4825</v>
      </c>
      <c r="G848" s="123">
        <v>13</v>
      </c>
      <c r="H848" s="103" t="s">
        <v>1781</v>
      </c>
    </row>
    <row r="849" spans="2:8" x14ac:dyDescent="0.25">
      <c r="B849">
        <v>847</v>
      </c>
      <c r="C849" t="s">
        <v>1782</v>
      </c>
      <c r="D849">
        <v>0</v>
      </c>
      <c r="E849" t="s">
        <v>9</v>
      </c>
      <c r="F849" s="121">
        <v>4825</v>
      </c>
      <c r="G849" s="123">
        <v>13</v>
      </c>
      <c r="H849" s="103" t="s">
        <v>1783</v>
      </c>
    </row>
    <row r="850" spans="2:8" x14ac:dyDescent="0.25">
      <c r="B850">
        <v>848</v>
      </c>
      <c r="C850" t="s">
        <v>1784</v>
      </c>
      <c r="D850">
        <v>0</v>
      </c>
      <c r="E850" t="s">
        <v>9</v>
      </c>
      <c r="F850" s="121">
        <v>4825</v>
      </c>
      <c r="G850" s="123">
        <v>13</v>
      </c>
      <c r="H850" s="103" t="s">
        <v>1785</v>
      </c>
    </row>
    <row r="851" spans="2:8" x14ac:dyDescent="0.25">
      <c r="B851">
        <v>849</v>
      </c>
      <c r="C851" t="s">
        <v>1786</v>
      </c>
      <c r="D851">
        <v>0</v>
      </c>
      <c r="E851" t="s">
        <v>21</v>
      </c>
      <c r="F851" s="121" t="s">
        <v>293</v>
      </c>
      <c r="G851" s="103" t="s">
        <v>22</v>
      </c>
      <c r="H851" s="103" t="s">
        <v>1787</v>
      </c>
    </row>
    <row r="852" spans="2:8" x14ac:dyDescent="0.25">
      <c r="B852">
        <v>850</v>
      </c>
      <c r="C852" t="s">
        <v>1788</v>
      </c>
      <c r="D852">
        <v>0</v>
      </c>
      <c r="E852" t="s">
        <v>9</v>
      </c>
      <c r="F852" s="121">
        <v>4825</v>
      </c>
      <c r="G852" s="123">
        <v>13</v>
      </c>
      <c r="H852" s="103" t="s">
        <v>1789</v>
      </c>
    </row>
    <row r="853" spans="2:8" x14ac:dyDescent="0.25">
      <c r="B853">
        <v>851</v>
      </c>
      <c r="C853" t="s">
        <v>1790</v>
      </c>
      <c r="D853" t="s">
        <v>1791</v>
      </c>
      <c r="E853" t="s">
        <v>21</v>
      </c>
      <c r="F853" s="121" t="s">
        <v>44</v>
      </c>
      <c r="G853" s="103" t="s">
        <v>22</v>
      </c>
      <c r="H853" s="103" t="s">
        <v>1792</v>
      </c>
    </row>
    <row r="854" spans="2:8" x14ac:dyDescent="0.25">
      <c r="B854">
        <v>852</v>
      </c>
      <c r="C854" t="s">
        <v>1793</v>
      </c>
      <c r="D854">
        <v>0</v>
      </c>
      <c r="E854" t="s">
        <v>9</v>
      </c>
      <c r="F854" s="121">
        <v>4825</v>
      </c>
      <c r="G854" s="123">
        <v>13</v>
      </c>
      <c r="H854" s="103" t="s">
        <v>1794</v>
      </c>
    </row>
    <row r="855" spans="2:8" x14ac:dyDescent="0.25">
      <c r="B855">
        <v>853</v>
      </c>
      <c r="C855" t="s">
        <v>1795</v>
      </c>
      <c r="D855">
        <v>0</v>
      </c>
      <c r="E855" t="s">
        <v>9</v>
      </c>
      <c r="F855" s="121">
        <v>4818</v>
      </c>
      <c r="G855" s="123">
        <v>13</v>
      </c>
      <c r="H855" s="103" t="s">
        <v>1796</v>
      </c>
    </row>
    <row r="856" spans="2:8" x14ac:dyDescent="0.25">
      <c r="B856">
        <v>854</v>
      </c>
      <c r="C856" t="s">
        <v>1797</v>
      </c>
      <c r="D856">
        <v>0</v>
      </c>
      <c r="E856" t="s">
        <v>21</v>
      </c>
      <c r="F856" s="121">
        <v>20770</v>
      </c>
      <c r="G856" s="103" t="s">
        <v>22</v>
      </c>
      <c r="H856" s="103" t="s">
        <v>1798</v>
      </c>
    </row>
    <row r="857" spans="2:8" x14ac:dyDescent="0.25">
      <c r="B857">
        <v>855</v>
      </c>
      <c r="C857" t="s">
        <v>1799</v>
      </c>
      <c r="D857" t="s">
        <v>1800</v>
      </c>
      <c r="E857" t="s">
        <v>35</v>
      </c>
      <c r="F857" s="121" t="s">
        <v>36</v>
      </c>
      <c r="G857" s="103" t="s">
        <v>37</v>
      </c>
      <c r="H857" s="103" t="s">
        <v>1801</v>
      </c>
    </row>
    <row r="858" spans="2:8" x14ac:dyDescent="0.25">
      <c r="B858">
        <v>856</v>
      </c>
      <c r="C858" t="s">
        <v>1802</v>
      </c>
      <c r="D858">
        <v>0</v>
      </c>
      <c r="E858" t="s">
        <v>9</v>
      </c>
      <c r="F858" s="121">
        <v>949</v>
      </c>
      <c r="G858" s="123">
        <v>13</v>
      </c>
      <c r="H858" s="103" t="s">
        <v>1803</v>
      </c>
    </row>
    <row r="859" spans="2:8" x14ac:dyDescent="0.25">
      <c r="B859">
        <v>857</v>
      </c>
      <c r="C859" t="s">
        <v>1804</v>
      </c>
      <c r="D859">
        <v>0</v>
      </c>
      <c r="E859" t="s">
        <v>9</v>
      </c>
      <c r="F859" s="121">
        <v>2281</v>
      </c>
      <c r="G859" s="123">
        <v>13</v>
      </c>
      <c r="H859" s="103" t="s">
        <v>1805</v>
      </c>
    </row>
    <row r="860" spans="2:8" x14ac:dyDescent="0.25">
      <c r="B860">
        <v>858</v>
      </c>
      <c r="C860" t="s">
        <v>1806</v>
      </c>
      <c r="D860">
        <v>0</v>
      </c>
      <c r="E860" t="s">
        <v>9</v>
      </c>
      <c r="F860" s="121">
        <v>1598</v>
      </c>
      <c r="G860" s="123">
        <v>13</v>
      </c>
      <c r="H860" s="103" t="s">
        <v>1807</v>
      </c>
    </row>
    <row r="861" spans="2:8" x14ac:dyDescent="0.25">
      <c r="B861">
        <v>859</v>
      </c>
      <c r="C861" t="s">
        <v>1808</v>
      </c>
      <c r="D861">
        <v>0</v>
      </c>
      <c r="E861" t="s">
        <v>9</v>
      </c>
      <c r="F861" s="121">
        <v>598</v>
      </c>
      <c r="G861" s="123">
        <v>13</v>
      </c>
      <c r="H861" s="103" t="s">
        <v>1809</v>
      </c>
    </row>
    <row r="862" spans="2:8" x14ac:dyDescent="0.25">
      <c r="B862">
        <v>860</v>
      </c>
      <c r="C862" t="s">
        <v>1288</v>
      </c>
      <c r="D862">
        <v>0</v>
      </c>
      <c r="E862" t="s">
        <v>9</v>
      </c>
      <c r="F862" s="121">
        <v>4818</v>
      </c>
      <c r="G862" s="123">
        <v>13</v>
      </c>
      <c r="H862" s="103" t="s">
        <v>1810</v>
      </c>
    </row>
    <row r="863" spans="2:8" x14ac:dyDescent="0.25">
      <c r="B863">
        <v>861</v>
      </c>
      <c r="C863" t="s">
        <v>1811</v>
      </c>
      <c r="D863">
        <v>0</v>
      </c>
      <c r="E863" t="s">
        <v>21</v>
      </c>
      <c r="F863" s="121">
        <v>3616</v>
      </c>
      <c r="G863" s="103" t="s">
        <v>22</v>
      </c>
      <c r="H863" s="103" t="s">
        <v>1812</v>
      </c>
    </row>
    <row r="864" spans="2:8" x14ac:dyDescent="0.25">
      <c r="B864">
        <v>862</v>
      </c>
      <c r="C864" t="s">
        <v>1813</v>
      </c>
      <c r="D864">
        <v>0</v>
      </c>
      <c r="E864" t="s">
        <v>9</v>
      </c>
      <c r="F864" s="121">
        <v>4818</v>
      </c>
      <c r="G864" s="123">
        <v>13</v>
      </c>
      <c r="H864" s="103" t="s">
        <v>1814</v>
      </c>
    </row>
    <row r="865" spans="2:8" x14ac:dyDescent="0.25">
      <c r="B865">
        <v>863</v>
      </c>
      <c r="C865" t="s">
        <v>1815</v>
      </c>
      <c r="D865">
        <v>0</v>
      </c>
      <c r="E865" t="s">
        <v>9</v>
      </c>
      <c r="F865" s="121">
        <v>4818</v>
      </c>
      <c r="G865" s="123">
        <v>13</v>
      </c>
      <c r="H865" s="103" t="s">
        <v>1816</v>
      </c>
    </row>
    <row r="866" spans="2:8" x14ac:dyDescent="0.25">
      <c r="B866">
        <v>864</v>
      </c>
      <c r="C866" t="s">
        <v>1817</v>
      </c>
      <c r="D866">
        <v>0</v>
      </c>
      <c r="E866" t="s">
        <v>9</v>
      </c>
      <c r="F866" s="121">
        <v>4825</v>
      </c>
      <c r="G866" s="123">
        <v>13</v>
      </c>
      <c r="H866" s="103" t="s">
        <v>1818</v>
      </c>
    </row>
    <row r="867" spans="2:8" x14ac:dyDescent="0.25">
      <c r="B867">
        <v>865</v>
      </c>
      <c r="C867" t="s">
        <v>1819</v>
      </c>
      <c r="D867">
        <v>0</v>
      </c>
      <c r="E867" t="s">
        <v>9</v>
      </c>
      <c r="F867" s="121">
        <v>1943</v>
      </c>
      <c r="G867" s="123">
        <v>23</v>
      </c>
      <c r="H867" s="103" t="s">
        <v>1820</v>
      </c>
    </row>
    <row r="868" spans="2:8" x14ac:dyDescent="0.25">
      <c r="B868">
        <v>866</v>
      </c>
      <c r="C868" t="s">
        <v>1821</v>
      </c>
      <c r="D868">
        <v>0</v>
      </c>
      <c r="E868" t="s">
        <v>9</v>
      </c>
      <c r="F868" s="121">
        <v>4825</v>
      </c>
      <c r="G868" s="123">
        <v>13</v>
      </c>
      <c r="H868" s="103" t="s">
        <v>1822</v>
      </c>
    </row>
    <row r="869" spans="2:8" x14ac:dyDescent="0.25">
      <c r="B869">
        <v>867</v>
      </c>
      <c r="C869" t="s">
        <v>1823</v>
      </c>
      <c r="D869">
        <v>0</v>
      </c>
      <c r="E869" t="s">
        <v>9</v>
      </c>
      <c r="F869" s="121">
        <v>949</v>
      </c>
      <c r="G869" s="123">
        <v>13</v>
      </c>
      <c r="H869" s="103" t="s">
        <v>1824</v>
      </c>
    </row>
    <row r="870" spans="2:8" x14ac:dyDescent="0.25">
      <c r="B870">
        <v>868</v>
      </c>
      <c r="C870" t="s">
        <v>1825</v>
      </c>
      <c r="D870">
        <v>0</v>
      </c>
      <c r="E870" t="s">
        <v>9</v>
      </c>
      <c r="F870" s="121">
        <v>4818</v>
      </c>
      <c r="G870" s="103">
        <v>1288</v>
      </c>
      <c r="H870" s="103" t="s">
        <v>1826</v>
      </c>
    </row>
    <row r="871" spans="2:8" x14ac:dyDescent="0.25">
      <c r="B871">
        <v>869</v>
      </c>
      <c r="C871" t="s">
        <v>1827</v>
      </c>
      <c r="D871" t="s">
        <v>1828</v>
      </c>
      <c r="E871" t="s">
        <v>9</v>
      </c>
      <c r="F871" s="121">
        <v>4818</v>
      </c>
      <c r="G871" s="123"/>
      <c r="H871" s="103" t="s">
        <v>1829</v>
      </c>
    </row>
    <row r="872" spans="2:8" x14ac:dyDescent="0.25">
      <c r="B872">
        <v>870</v>
      </c>
      <c r="C872" t="s">
        <v>1830</v>
      </c>
      <c r="D872">
        <v>0</v>
      </c>
      <c r="E872" t="s">
        <v>9</v>
      </c>
      <c r="F872" s="121">
        <v>642</v>
      </c>
      <c r="G872" s="123">
        <v>13</v>
      </c>
      <c r="H872" s="103" t="s">
        <v>1831</v>
      </c>
    </row>
    <row r="873" spans="2:8" x14ac:dyDescent="0.25">
      <c r="B873">
        <v>871</v>
      </c>
      <c r="C873" t="s">
        <v>1832</v>
      </c>
      <c r="D873">
        <v>0</v>
      </c>
      <c r="E873" t="s">
        <v>9</v>
      </c>
      <c r="F873" s="121">
        <v>4067</v>
      </c>
      <c r="G873" s="123">
        <v>13</v>
      </c>
      <c r="H873" s="103" t="s">
        <v>519</v>
      </c>
    </row>
    <row r="874" spans="2:8" x14ac:dyDescent="0.25">
      <c r="B874">
        <v>872</v>
      </c>
      <c r="C874" t="s">
        <v>1833</v>
      </c>
      <c r="D874">
        <v>0</v>
      </c>
      <c r="E874" t="s">
        <v>35</v>
      </c>
      <c r="F874" s="121" t="s">
        <v>36</v>
      </c>
      <c r="G874" s="103" t="s">
        <v>37</v>
      </c>
      <c r="H874" s="103" t="s">
        <v>1834</v>
      </c>
    </row>
    <row r="875" spans="2:8" x14ac:dyDescent="0.25">
      <c r="B875">
        <v>873</v>
      </c>
      <c r="C875" t="s">
        <v>1835</v>
      </c>
      <c r="D875" t="s">
        <v>1836</v>
      </c>
      <c r="E875" t="s">
        <v>21</v>
      </c>
      <c r="F875" s="121">
        <v>3862</v>
      </c>
      <c r="G875" s="123"/>
      <c r="H875" s="103" t="s">
        <v>1837</v>
      </c>
    </row>
    <row r="876" spans="2:8" x14ac:dyDescent="0.25">
      <c r="B876">
        <v>874</v>
      </c>
      <c r="C876" t="s">
        <v>1838</v>
      </c>
      <c r="D876">
        <v>0</v>
      </c>
      <c r="E876" t="s">
        <v>9</v>
      </c>
      <c r="F876" s="121">
        <v>949</v>
      </c>
      <c r="G876" s="123">
        <v>23</v>
      </c>
      <c r="H876" s="103" t="s">
        <v>1839</v>
      </c>
    </row>
    <row r="877" spans="2:8" x14ac:dyDescent="0.25">
      <c r="B877">
        <v>875</v>
      </c>
      <c r="C877" t="s">
        <v>1840</v>
      </c>
      <c r="D877">
        <v>0</v>
      </c>
      <c r="E877" t="s">
        <v>9</v>
      </c>
      <c r="F877" s="121">
        <v>4825</v>
      </c>
      <c r="G877" s="123">
        <v>13</v>
      </c>
      <c r="H877" s="103" t="s">
        <v>1841</v>
      </c>
    </row>
    <row r="878" spans="2:8" x14ac:dyDescent="0.25">
      <c r="B878">
        <v>876</v>
      </c>
      <c r="C878" t="s">
        <v>1842</v>
      </c>
      <c r="D878">
        <v>0</v>
      </c>
      <c r="E878" t="s">
        <v>35</v>
      </c>
      <c r="F878" s="121" t="s">
        <v>1843</v>
      </c>
      <c r="G878" s="103" t="s">
        <v>37</v>
      </c>
      <c r="H878" s="103" t="s">
        <v>1844</v>
      </c>
    </row>
    <row r="879" spans="2:8" x14ac:dyDescent="0.25">
      <c r="B879">
        <v>877</v>
      </c>
      <c r="C879" t="s">
        <v>938</v>
      </c>
      <c r="D879">
        <v>0</v>
      </c>
      <c r="E879" t="s">
        <v>9</v>
      </c>
      <c r="F879" s="121">
        <v>949</v>
      </c>
      <c r="G879" s="123">
        <v>23</v>
      </c>
      <c r="H879" s="103" t="s">
        <v>939</v>
      </c>
    </row>
    <row r="880" spans="2:8" x14ac:dyDescent="0.25">
      <c r="B880">
        <v>878</v>
      </c>
      <c r="C880" t="s">
        <v>1845</v>
      </c>
      <c r="D880">
        <v>0</v>
      </c>
      <c r="E880" t="s">
        <v>9</v>
      </c>
      <c r="F880" s="121">
        <v>4818</v>
      </c>
      <c r="G880" s="123">
        <v>13</v>
      </c>
      <c r="H880" s="103" t="s">
        <v>1846</v>
      </c>
    </row>
    <row r="881" spans="2:8" x14ac:dyDescent="0.25">
      <c r="B881">
        <v>879</v>
      </c>
      <c r="C881" t="s">
        <v>1847</v>
      </c>
      <c r="D881">
        <v>0</v>
      </c>
      <c r="E881" t="s">
        <v>9</v>
      </c>
      <c r="F881" s="121">
        <v>4818</v>
      </c>
      <c r="G881" s="123">
        <v>13</v>
      </c>
      <c r="H881" s="103" t="s">
        <v>1848</v>
      </c>
    </row>
    <row r="882" spans="2:8" x14ac:dyDescent="0.25">
      <c r="B882">
        <v>880</v>
      </c>
      <c r="C882" t="s">
        <v>1849</v>
      </c>
      <c r="D882">
        <v>0</v>
      </c>
      <c r="E882" t="s">
        <v>9</v>
      </c>
      <c r="F882" s="121">
        <v>4825</v>
      </c>
      <c r="G882" s="123">
        <v>13</v>
      </c>
      <c r="H882" s="103" t="s">
        <v>1850</v>
      </c>
    </row>
    <row r="883" spans="2:8" x14ac:dyDescent="0.25">
      <c r="B883">
        <v>881</v>
      </c>
      <c r="C883" t="s">
        <v>1851</v>
      </c>
      <c r="D883">
        <v>0</v>
      </c>
      <c r="E883" t="s">
        <v>9</v>
      </c>
      <c r="F883" s="121">
        <v>4818</v>
      </c>
      <c r="G883" s="123">
        <v>13</v>
      </c>
      <c r="H883" s="103" t="s">
        <v>1852</v>
      </c>
    </row>
    <row r="884" spans="2:8" x14ac:dyDescent="0.25">
      <c r="B884">
        <v>882</v>
      </c>
      <c r="C884" t="s">
        <v>1853</v>
      </c>
      <c r="D884">
        <v>0</v>
      </c>
      <c r="E884" t="s">
        <v>9</v>
      </c>
      <c r="F884" s="121">
        <v>4825</v>
      </c>
      <c r="G884" s="123">
        <v>13</v>
      </c>
      <c r="H884" s="103" t="s">
        <v>1854</v>
      </c>
    </row>
    <row r="885" spans="2:8" x14ac:dyDescent="0.25">
      <c r="B885">
        <v>883</v>
      </c>
      <c r="C885" t="s">
        <v>1855</v>
      </c>
      <c r="D885">
        <v>0</v>
      </c>
      <c r="E885" t="s">
        <v>35</v>
      </c>
      <c r="F885" s="121" t="s">
        <v>36</v>
      </c>
      <c r="G885" s="103" t="s">
        <v>37</v>
      </c>
      <c r="H885" s="103" t="s">
        <v>1856</v>
      </c>
    </row>
    <row r="886" spans="2:8" x14ac:dyDescent="0.25">
      <c r="B886">
        <v>884</v>
      </c>
      <c r="C886" t="s">
        <v>1857</v>
      </c>
      <c r="D886">
        <v>0</v>
      </c>
      <c r="E886" t="s">
        <v>9</v>
      </c>
      <c r="F886" s="121">
        <v>4818</v>
      </c>
      <c r="G886" s="123">
        <v>13</v>
      </c>
      <c r="H886" s="103" t="s">
        <v>1858</v>
      </c>
    </row>
    <row r="887" spans="2:8" x14ac:dyDescent="0.25">
      <c r="B887">
        <v>885</v>
      </c>
      <c r="C887" t="s">
        <v>1859</v>
      </c>
      <c r="D887">
        <v>0</v>
      </c>
      <c r="E887" t="s">
        <v>9</v>
      </c>
      <c r="F887" s="121">
        <v>4818</v>
      </c>
      <c r="G887" s="123">
        <v>13</v>
      </c>
      <c r="H887" s="103" t="s">
        <v>1860</v>
      </c>
    </row>
    <row r="888" spans="2:8" x14ac:dyDescent="0.25">
      <c r="B888">
        <v>886</v>
      </c>
      <c r="C888" t="s">
        <v>1861</v>
      </c>
      <c r="D888">
        <v>0</v>
      </c>
      <c r="E888" t="s">
        <v>9</v>
      </c>
      <c r="F888" s="121">
        <v>2162</v>
      </c>
      <c r="G888" s="123">
        <v>13</v>
      </c>
      <c r="H888" s="103" t="s">
        <v>1862</v>
      </c>
    </row>
    <row r="889" spans="2:8" x14ac:dyDescent="0.25">
      <c r="B889">
        <v>887</v>
      </c>
      <c r="C889" t="s">
        <v>1863</v>
      </c>
      <c r="D889" t="s">
        <v>1864</v>
      </c>
      <c r="E889" t="s">
        <v>9</v>
      </c>
      <c r="F889" s="121">
        <v>949</v>
      </c>
      <c r="G889" s="123"/>
      <c r="H889" s="103" t="s">
        <v>1865</v>
      </c>
    </row>
    <row r="890" spans="2:8" x14ac:dyDescent="0.25">
      <c r="B890">
        <v>888</v>
      </c>
      <c r="C890" t="s">
        <v>1866</v>
      </c>
      <c r="D890">
        <v>0</v>
      </c>
      <c r="E890" t="s">
        <v>9</v>
      </c>
      <c r="F890" s="121">
        <v>4601</v>
      </c>
      <c r="G890" s="123">
        <v>13</v>
      </c>
      <c r="H890" s="103" t="s">
        <v>1867</v>
      </c>
    </row>
    <row r="891" spans="2:8" x14ac:dyDescent="0.25">
      <c r="B891">
        <v>889</v>
      </c>
      <c r="C891" t="s">
        <v>1868</v>
      </c>
      <c r="D891">
        <v>0</v>
      </c>
      <c r="E891" t="s">
        <v>9</v>
      </c>
      <c r="F891" s="121">
        <v>949</v>
      </c>
      <c r="G891" s="123">
        <v>23</v>
      </c>
      <c r="H891" s="103" t="s">
        <v>1869</v>
      </c>
    </row>
    <row r="892" spans="2:8" x14ac:dyDescent="0.25">
      <c r="B892">
        <v>890</v>
      </c>
      <c r="C892" t="s">
        <v>1870</v>
      </c>
      <c r="D892" t="s">
        <v>1871</v>
      </c>
      <c r="E892" t="s">
        <v>9</v>
      </c>
      <c r="F892" s="121">
        <v>4818</v>
      </c>
      <c r="G892" s="123"/>
      <c r="H892" s="103" t="s">
        <v>1872</v>
      </c>
    </row>
    <row r="893" spans="2:8" x14ac:dyDescent="0.25">
      <c r="B893">
        <v>891</v>
      </c>
      <c r="C893" t="s">
        <v>1873</v>
      </c>
      <c r="D893">
        <v>0</v>
      </c>
      <c r="E893" t="s">
        <v>35</v>
      </c>
      <c r="F893" s="121" t="s">
        <v>36</v>
      </c>
      <c r="G893" s="103" t="s">
        <v>37</v>
      </c>
      <c r="H893" s="103" t="s">
        <v>1874</v>
      </c>
    </row>
    <row r="894" spans="2:8" x14ac:dyDescent="0.25">
      <c r="B894">
        <v>892</v>
      </c>
      <c r="C894" t="s">
        <v>1875</v>
      </c>
      <c r="D894">
        <v>0</v>
      </c>
      <c r="E894" t="s">
        <v>9</v>
      </c>
      <c r="F894" s="121">
        <v>4818</v>
      </c>
      <c r="G894" s="123">
        <v>13</v>
      </c>
      <c r="H894" s="103" t="s">
        <v>1876</v>
      </c>
    </row>
    <row r="895" spans="2:8" x14ac:dyDescent="0.25">
      <c r="B895">
        <v>893</v>
      </c>
      <c r="C895" t="s">
        <v>1877</v>
      </c>
      <c r="D895">
        <v>0</v>
      </c>
      <c r="E895" t="s">
        <v>9</v>
      </c>
      <c r="F895" s="121">
        <v>4818</v>
      </c>
      <c r="G895" s="123">
        <v>13</v>
      </c>
      <c r="H895" s="103" t="s">
        <v>1878</v>
      </c>
    </row>
    <row r="896" spans="2:8" x14ac:dyDescent="0.25">
      <c r="B896">
        <v>894</v>
      </c>
      <c r="C896" t="s">
        <v>1879</v>
      </c>
      <c r="D896">
        <v>0</v>
      </c>
      <c r="E896" t="s">
        <v>9</v>
      </c>
      <c r="F896" s="121">
        <v>949</v>
      </c>
      <c r="G896" s="123">
        <v>23</v>
      </c>
      <c r="H896" s="103" t="s">
        <v>1880</v>
      </c>
    </row>
    <row r="897" spans="2:8" x14ac:dyDescent="0.25">
      <c r="B897">
        <v>895</v>
      </c>
      <c r="C897" t="s">
        <v>1881</v>
      </c>
      <c r="D897">
        <v>0</v>
      </c>
      <c r="E897" t="s">
        <v>9</v>
      </c>
      <c r="F897" s="121">
        <v>949</v>
      </c>
      <c r="G897" s="123">
        <v>13</v>
      </c>
      <c r="H897" s="103" t="s">
        <v>1882</v>
      </c>
    </row>
    <row r="898" spans="2:8" x14ac:dyDescent="0.25">
      <c r="B898">
        <v>896</v>
      </c>
      <c r="C898" t="s">
        <v>1883</v>
      </c>
      <c r="D898">
        <v>0</v>
      </c>
      <c r="E898" t="s">
        <v>9</v>
      </c>
      <c r="F898" s="121">
        <v>780</v>
      </c>
      <c r="G898" s="123">
        <v>23</v>
      </c>
      <c r="H898" s="103" t="s">
        <v>1657</v>
      </c>
    </row>
    <row r="899" spans="2:8" x14ac:dyDescent="0.25">
      <c r="B899">
        <v>897</v>
      </c>
      <c r="C899" t="s">
        <v>1884</v>
      </c>
      <c r="D899">
        <v>0</v>
      </c>
      <c r="E899" t="s">
        <v>9</v>
      </c>
      <c r="F899" s="121">
        <v>4818</v>
      </c>
      <c r="G899" s="123">
        <v>13</v>
      </c>
      <c r="H899" s="103" t="s">
        <v>1885</v>
      </c>
    </row>
    <row r="900" spans="2:8" x14ac:dyDescent="0.25">
      <c r="B900">
        <v>898</v>
      </c>
      <c r="C900" t="s">
        <v>1289</v>
      </c>
      <c r="D900">
        <v>0</v>
      </c>
      <c r="E900" t="s">
        <v>9</v>
      </c>
      <c r="F900" s="121">
        <v>4818</v>
      </c>
      <c r="G900" s="123">
        <v>13</v>
      </c>
      <c r="H900" s="103" t="s">
        <v>1886</v>
      </c>
    </row>
    <row r="901" spans="2:8" x14ac:dyDescent="0.25">
      <c r="B901">
        <v>899</v>
      </c>
      <c r="C901" t="s">
        <v>1887</v>
      </c>
      <c r="D901">
        <v>0</v>
      </c>
      <c r="E901" t="s">
        <v>9</v>
      </c>
      <c r="F901" s="121">
        <v>4818</v>
      </c>
      <c r="G901" s="123">
        <v>13</v>
      </c>
      <c r="H901" s="103" t="s">
        <v>1888</v>
      </c>
    </row>
    <row r="902" spans="2:8" x14ac:dyDescent="0.25">
      <c r="B902">
        <v>900</v>
      </c>
      <c r="C902" t="s">
        <v>1889</v>
      </c>
      <c r="D902">
        <v>0</v>
      </c>
      <c r="E902" t="s">
        <v>9</v>
      </c>
      <c r="F902" s="121">
        <v>4818</v>
      </c>
      <c r="G902" s="123">
        <v>13</v>
      </c>
      <c r="H902" s="103" t="s">
        <v>1890</v>
      </c>
    </row>
    <row r="903" spans="2:8" x14ac:dyDescent="0.25">
      <c r="B903">
        <v>901</v>
      </c>
      <c r="C903" t="s">
        <v>1891</v>
      </c>
      <c r="D903">
        <v>0</v>
      </c>
      <c r="E903" t="s">
        <v>9</v>
      </c>
      <c r="F903" s="121">
        <v>4081</v>
      </c>
      <c r="G903" s="123">
        <v>13</v>
      </c>
      <c r="H903" s="103" t="s">
        <v>1892</v>
      </c>
    </row>
    <row r="904" spans="2:8" x14ac:dyDescent="0.25">
      <c r="B904">
        <v>902</v>
      </c>
      <c r="C904" t="s">
        <v>1893</v>
      </c>
      <c r="D904">
        <v>0</v>
      </c>
      <c r="E904" t="s">
        <v>9</v>
      </c>
      <c r="F904" s="121">
        <v>4825</v>
      </c>
      <c r="G904" s="123">
        <v>13</v>
      </c>
      <c r="H904" s="103" t="s">
        <v>1259</v>
      </c>
    </row>
    <row r="905" spans="2:8" x14ac:dyDescent="0.25">
      <c r="B905">
        <v>903</v>
      </c>
      <c r="C905" t="s">
        <v>1894</v>
      </c>
      <c r="D905">
        <v>0</v>
      </c>
      <c r="E905" t="s">
        <v>9</v>
      </c>
      <c r="F905" s="121">
        <v>4601</v>
      </c>
      <c r="G905" s="123">
        <v>13</v>
      </c>
      <c r="H905" s="103" t="s">
        <v>1895</v>
      </c>
    </row>
    <row r="906" spans="2:8" x14ac:dyDescent="0.25">
      <c r="B906">
        <v>904</v>
      </c>
      <c r="C906" t="s">
        <v>1896</v>
      </c>
      <c r="D906">
        <v>0</v>
      </c>
      <c r="E906" t="s">
        <v>9</v>
      </c>
      <c r="F906" s="121">
        <v>4825</v>
      </c>
      <c r="G906" s="123">
        <v>13</v>
      </c>
      <c r="H906" s="103" t="s">
        <v>1897</v>
      </c>
    </row>
    <row r="907" spans="2:8" x14ac:dyDescent="0.25">
      <c r="B907">
        <v>905</v>
      </c>
      <c r="C907" t="s">
        <v>1898</v>
      </c>
      <c r="D907">
        <v>0</v>
      </c>
      <c r="E907" t="s">
        <v>9</v>
      </c>
      <c r="F907" s="121">
        <v>780</v>
      </c>
      <c r="G907" s="123">
        <v>23</v>
      </c>
      <c r="H907" s="103" t="s">
        <v>1899</v>
      </c>
    </row>
    <row r="908" spans="2:8" x14ac:dyDescent="0.25">
      <c r="B908">
        <v>906</v>
      </c>
      <c r="C908" t="s">
        <v>1900</v>
      </c>
      <c r="D908">
        <v>0</v>
      </c>
      <c r="E908" t="s">
        <v>21</v>
      </c>
      <c r="F908" s="121">
        <v>3801</v>
      </c>
      <c r="G908" s="103" t="s">
        <v>37</v>
      </c>
      <c r="H908" s="103" t="s">
        <v>1901</v>
      </c>
    </row>
    <row r="909" spans="2:8" x14ac:dyDescent="0.25">
      <c r="B909">
        <v>907</v>
      </c>
      <c r="C909" t="s">
        <v>1902</v>
      </c>
      <c r="D909" t="s">
        <v>1903</v>
      </c>
      <c r="E909" t="s">
        <v>9</v>
      </c>
      <c r="F909" s="121">
        <v>4818</v>
      </c>
      <c r="G909" s="123">
        <v>13</v>
      </c>
      <c r="H909" s="103" t="s">
        <v>1904</v>
      </c>
    </row>
    <row r="910" spans="2:8" x14ac:dyDescent="0.25">
      <c r="B910">
        <v>908</v>
      </c>
      <c r="C910" t="s">
        <v>371</v>
      </c>
      <c r="D910">
        <v>0</v>
      </c>
      <c r="E910" t="s">
        <v>9</v>
      </c>
      <c r="F910" s="121">
        <v>3279</v>
      </c>
      <c r="G910" s="123">
        <v>13</v>
      </c>
      <c r="H910" s="103" t="s">
        <v>1905</v>
      </c>
    </row>
    <row r="911" spans="2:8" x14ac:dyDescent="0.25">
      <c r="B911">
        <v>909</v>
      </c>
      <c r="C911" t="s">
        <v>1906</v>
      </c>
      <c r="D911" t="s">
        <v>1907</v>
      </c>
      <c r="E911" t="s">
        <v>9</v>
      </c>
      <c r="F911" s="121">
        <v>4818</v>
      </c>
      <c r="G911" s="123">
        <v>13</v>
      </c>
      <c r="H911" s="103" t="s">
        <v>1908</v>
      </c>
    </row>
    <row r="912" spans="2:8" x14ac:dyDescent="0.25">
      <c r="B912">
        <v>910</v>
      </c>
      <c r="C912" t="s">
        <v>1090</v>
      </c>
      <c r="D912">
        <v>0</v>
      </c>
      <c r="E912" t="s">
        <v>9</v>
      </c>
      <c r="F912" s="121">
        <v>949</v>
      </c>
      <c r="G912" s="123">
        <v>23</v>
      </c>
      <c r="H912" s="103" t="s">
        <v>1909</v>
      </c>
    </row>
    <row r="913" spans="2:8" x14ac:dyDescent="0.25">
      <c r="B913">
        <v>911</v>
      </c>
      <c r="C913" t="s">
        <v>1910</v>
      </c>
      <c r="D913">
        <v>0</v>
      </c>
      <c r="E913" t="s">
        <v>35</v>
      </c>
      <c r="F913" s="121" t="s">
        <v>36</v>
      </c>
      <c r="G913" s="103" t="s">
        <v>37</v>
      </c>
      <c r="H913" s="103" t="s">
        <v>1911</v>
      </c>
    </row>
    <row r="914" spans="2:8" x14ac:dyDescent="0.25">
      <c r="B914">
        <v>912</v>
      </c>
      <c r="C914" t="s">
        <v>1912</v>
      </c>
      <c r="D914">
        <v>0</v>
      </c>
      <c r="E914" t="s">
        <v>9</v>
      </c>
      <c r="F914" s="121">
        <v>3419</v>
      </c>
      <c r="G914" s="123">
        <v>13</v>
      </c>
      <c r="H914" s="103" t="s">
        <v>1913</v>
      </c>
    </row>
    <row r="915" spans="2:8" x14ac:dyDescent="0.25">
      <c r="B915">
        <v>913</v>
      </c>
      <c r="C915" t="s">
        <v>1914</v>
      </c>
      <c r="D915">
        <v>0</v>
      </c>
      <c r="E915" t="s">
        <v>9</v>
      </c>
      <c r="F915" s="121">
        <v>4825</v>
      </c>
      <c r="G915" s="123">
        <v>23</v>
      </c>
      <c r="H915" s="103" t="s">
        <v>1915</v>
      </c>
    </row>
    <row r="916" spans="2:8" x14ac:dyDescent="0.25">
      <c r="B916">
        <v>914</v>
      </c>
      <c r="C916" t="s">
        <v>1916</v>
      </c>
      <c r="D916">
        <v>0</v>
      </c>
      <c r="E916" t="s">
        <v>9</v>
      </c>
      <c r="F916" s="121">
        <v>2734</v>
      </c>
      <c r="G916" s="123">
        <v>13</v>
      </c>
      <c r="H916" s="103" t="s">
        <v>1917</v>
      </c>
    </row>
    <row r="917" spans="2:8" x14ac:dyDescent="0.25">
      <c r="B917">
        <v>915</v>
      </c>
      <c r="C917" t="s">
        <v>1918</v>
      </c>
      <c r="D917">
        <v>0</v>
      </c>
      <c r="E917" t="s">
        <v>9</v>
      </c>
      <c r="F917" s="121">
        <v>949</v>
      </c>
      <c r="G917" s="123">
        <v>23</v>
      </c>
      <c r="H917" s="103" t="s">
        <v>845</v>
      </c>
    </row>
    <row r="918" spans="2:8" x14ac:dyDescent="0.25">
      <c r="B918">
        <v>916</v>
      </c>
      <c r="C918" t="s">
        <v>1919</v>
      </c>
      <c r="D918">
        <v>0</v>
      </c>
      <c r="E918" t="s">
        <v>35</v>
      </c>
      <c r="F918" s="121" t="s">
        <v>36</v>
      </c>
      <c r="G918" s="103" t="s">
        <v>37</v>
      </c>
      <c r="H918" s="103" t="s">
        <v>1920</v>
      </c>
    </row>
    <row r="919" spans="2:8" x14ac:dyDescent="0.25">
      <c r="B919">
        <v>917</v>
      </c>
      <c r="C919" t="s">
        <v>1921</v>
      </c>
      <c r="D919">
        <v>0</v>
      </c>
      <c r="E919" t="s">
        <v>9</v>
      </c>
      <c r="F919" s="121">
        <v>949</v>
      </c>
      <c r="G919" s="123">
        <v>13</v>
      </c>
      <c r="H919" s="103" t="s">
        <v>1922</v>
      </c>
    </row>
    <row r="920" spans="2:8" x14ac:dyDescent="0.25">
      <c r="B920">
        <v>918</v>
      </c>
      <c r="C920" t="s">
        <v>1923</v>
      </c>
      <c r="D920">
        <v>0</v>
      </c>
      <c r="E920" t="s">
        <v>9</v>
      </c>
      <c r="F920" s="121">
        <v>128</v>
      </c>
      <c r="G920" s="123">
        <v>13</v>
      </c>
      <c r="H920" s="103" t="s">
        <v>1924</v>
      </c>
    </row>
    <row r="921" spans="2:8" x14ac:dyDescent="0.25">
      <c r="B921">
        <v>919</v>
      </c>
      <c r="C921" t="s">
        <v>1925</v>
      </c>
      <c r="D921">
        <v>0</v>
      </c>
      <c r="E921" t="s">
        <v>35</v>
      </c>
      <c r="F921" s="121" t="s">
        <v>36</v>
      </c>
      <c r="G921" s="103" t="s">
        <v>37</v>
      </c>
      <c r="H921" s="103" t="s">
        <v>1926</v>
      </c>
    </row>
    <row r="922" spans="2:8" x14ac:dyDescent="0.25">
      <c r="B922">
        <v>920</v>
      </c>
      <c r="C922" t="s">
        <v>1927</v>
      </c>
      <c r="D922">
        <v>0</v>
      </c>
      <c r="E922" t="s">
        <v>35</v>
      </c>
      <c r="F922" s="121" t="s">
        <v>36</v>
      </c>
      <c r="G922" s="123" t="s">
        <v>37</v>
      </c>
      <c r="H922" s="103" t="s">
        <v>1928</v>
      </c>
    </row>
    <row r="923" spans="2:8" x14ac:dyDescent="0.25">
      <c r="B923">
        <v>921</v>
      </c>
      <c r="C923" t="s">
        <v>840</v>
      </c>
      <c r="D923">
        <v>0</v>
      </c>
      <c r="E923" t="s">
        <v>9</v>
      </c>
      <c r="F923" s="121">
        <v>4818</v>
      </c>
      <c r="G923" s="123">
        <v>13</v>
      </c>
      <c r="H923" s="103" t="s">
        <v>841</v>
      </c>
    </row>
    <row r="924" spans="2:8" x14ac:dyDescent="0.25">
      <c r="B924">
        <v>922</v>
      </c>
      <c r="C924" t="s">
        <v>1929</v>
      </c>
      <c r="D924">
        <v>0</v>
      </c>
      <c r="E924" t="s">
        <v>9</v>
      </c>
      <c r="F924" s="121">
        <v>4825</v>
      </c>
      <c r="G924" s="123">
        <v>13</v>
      </c>
      <c r="H924" s="103" t="s">
        <v>1930</v>
      </c>
    </row>
    <row r="925" spans="2:8" x14ac:dyDescent="0.25">
      <c r="B925">
        <v>923</v>
      </c>
      <c r="C925" t="s">
        <v>1931</v>
      </c>
      <c r="D925">
        <v>0</v>
      </c>
      <c r="E925" t="s">
        <v>9</v>
      </c>
      <c r="F925" s="121">
        <v>4825</v>
      </c>
      <c r="G925" s="123">
        <v>13</v>
      </c>
      <c r="H925" s="103" t="s">
        <v>1932</v>
      </c>
    </row>
    <row r="926" spans="2:8" x14ac:dyDescent="0.25">
      <c r="B926">
        <v>924</v>
      </c>
      <c r="C926" t="s">
        <v>1933</v>
      </c>
      <c r="D926">
        <v>0</v>
      </c>
      <c r="E926" t="s">
        <v>9</v>
      </c>
      <c r="F926" s="121">
        <v>2734</v>
      </c>
      <c r="G926" s="123">
        <v>13</v>
      </c>
      <c r="H926" s="103" t="s">
        <v>1934</v>
      </c>
    </row>
    <row r="927" spans="2:8" x14ac:dyDescent="0.25">
      <c r="B927">
        <v>925</v>
      </c>
      <c r="C927" t="s">
        <v>1935</v>
      </c>
      <c r="D927" t="s">
        <v>1936</v>
      </c>
      <c r="E927" t="s">
        <v>9</v>
      </c>
      <c r="F927" s="121">
        <v>4825</v>
      </c>
      <c r="G927" s="123">
        <v>13</v>
      </c>
      <c r="H927" s="103" t="s">
        <v>1937</v>
      </c>
    </row>
    <row r="928" spans="2:8" x14ac:dyDescent="0.25">
      <c r="B928">
        <v>926</v>
      </c>
      <c r="C928" t="s">
        <v>1938</v>
      </c>
      <c r="D928" t="s">
        <v>1939</v>
      </c>
      <c r="E928" t="s">
        <v>9</v>
      </c>
      <c r="F928" s="121">
        <v>4825</v>
      </c>
      <c r="G928" s="123">
        <v>13</v>
      </c>
      <c r="H928" s="103" t="s">
        <v>1940</v>
      </c>
    </row>
    <row r="929" spans="2:8" x14ac:dyDescent="0.25">
      <c r="B929">
        <v>927</v>
      </c>
      <c r="C929" t="s">
        <v>1941</v>
      </c>
      <c r="D929">
        <v>0</v>
      </c>
      <c r="E929" t="s">
        <v>9</v>
      </c>
      <c r="F929" s="121">
        <v>949</v>
      </c>
      <c r="G929" s="123">
        <v>13</v>
      </c>
      <c r="H929" s="103" t="s">
        <v>1942</v>
      </c>
    </row>
    <row r="930" spans="2:8" x14ac:dyDescent="0.25">
      <c r="B930">
        <v>928</v>
      </c>
      <c r="C930" t="s">
        <v>1943</v>
      </c>
      <c r="D930">
        <v>0</v>
      </c>
      <c r="E930" t="s">
        <v>35</v>
      </c>
      <c r="F930" s="121" t="s">
        <v>36</v>
      </c>
      <c r="G930" s="103" t="s">
        <v>1944</v>
      </c>
      <c r="H930" s="103" t="s">
        <v>1945</v>
      </c>
    </row>
    <row r="931" spans="2:8" x14ac:dyDescent="0.25">
      <c r="B931">
        <v>929</v>
      </c>
      <c r="C931" t="s">
        <v>497</v>
      </c>
      <c r="D931">
        <v>0</v>
      </c>
      <c r="E931" t="s">
        <v>9</v>
      </c>
      <c r="F931" s="121">
        <v>4818</v>
      </c>
      <c r="G931" s="123">
        <v>13</v>
      </c>
      <c r="H931" s="103" t="s">
        <v>1946</v>
      </c>
    </row>
    <row r="932" spans="2:8" x14ac:dyDescent="0.25">
      <c r="B932">
        <v>930</v>
      </c>
      <c r="C932" t="s">
        <v>1947</v>
      </c>
      <c r="D932">
        <v>0</v>
      </c>
      <c r="E932" t="s">
        <v>9</v>
      </c>
      <c r="F932" s="121">
        <v>4818</v>
      </c>
      <c r="G932" s="123">
        <v>13</v>
      </c>
      <c r="H932" s="103" t="s">
        <v>1948</v>
      </c>
    </row>
    <row r="933" spans="2:8" x14ac:dyDescent="0.25">
      <c r="B933">
        <v>931</v>
      </c>
      <c r="C933" t="s">
        <v>1949</v>
      </c>
      <c r="D933">
        <v>0</v>
      </c>
      <c r="E933" t="s">
        <v>9</v>
      </c>
      <c r="F933" s="121">
        <v>4818</v>
      </c>
      <c r="G933" s="123">
        <v>13</v>
      </c>
      <c r="H933" s="103" t="s">
        <v>1950</v>
      </c>
    </row>
    <row r="934" spans="2:8" x14ac:dyDescent="0.25">
      <c r="B934">
        <v>932</v>
      </c>
      <c r="C934" t="s">
        <v>1951</v>
      </c>
      <c r="D934">
        <v>0</v>
      </c>
      <c r="E934" t="s">
        <v>35</v>
      </c>
      <c r="F934" s="121" t="s">
        <v>379</v>
      </c>
      <c r="G934" s="103" t="s">
        <v>37</v>
      </c>
      <c r="H934" s="103" t="s">
        <v>1952</v>
      </c>
    </row>
    <row r="935" spans="2:8" x14ac:dyDescent="0.25">
      <c r="B935">
        <v>933</v>
      </c>
      <c r="C935" t="s">
        <v>1953</v>
      </c>
      <c r="D935">
        <v>0</v>
      </c>
      <c r="E935" t="s">
        <v>21</v>
      </c>
      <c r="F935" s="121">
        <v>3738</v>
      </c>
      <c r="G935" s="103" t="s">
        <v>22</v>
      </c>
      <c r="H935" s="103" t="s">
        <v>1954</v>
      </c>
    </row>
    <row r="936" spans="2:8" x14ac:dyDescent="0.25">
      <c r="B936">
        <v>934</v>
      </c>
      <c r="C936" t="s">
        <v>1955</v>
      </c>
      <c r="D936">
        <v>0</v>
      </c>
      <c r="E936" t="s">
        <v>9</v>
      </c>
      <c r="F936" s="121">
        <v>949</v>
      </c>
      <c r="G936" s="123">
        <v>13</v>
      </c>
      <c r="H936" s="103" t="s">
        <v>1956</v>
      </c>
    </row>
    <row r="937" spans="2:8" x14ac:dyDescent="0.25">
      <c r="B937">
        <v>935</v>
      </c>
      <c r="C937" t="s">
        <v>1957</v>
      </c>
      <c r="D937">
        <v>0</v>
      </c>
      <c r="E937" t="s">
        <v>9</v>
      </c>
      <c r="F937" s="121">
        <v>4818</v>
      </c>
      <c r="G937" s="123">
        <v>13</v>
      </c>
      <c r="H937" s="103" t="s">
        <v>1958</v>
      </c>
    </row>
    <row r="938" spans="2:8" x14ac:dyDescent="0.25">
      <c r="B938">
        <v>936</v>
      </c>
      <c r="C938" t="s">
        <v>1959</v>
      </c>
      <c r="D938">
        <v>0</v>
      </c>
      <c r="E938" t="s">
        <v>35</v>
      </c>
      <c r="F938" s="121" t="s">
        <v>36</v>
      </c>
      <c r="G938" s="103" t="s">
        <v>37</v>
      </c>
      <c r="H938" s="103" t="s">
        <v>1960</v>
      </c>
    </row>
    <row r="939" spans="2:8" x14ac:dyDescent="0.25">
      <c r="B939">
        <v>937</v>
      </c>
      <c r="C939" t="s">
        <v>1961</v>
      </c>
      <c r="D939">
        <v>0</v>
      </c>
      <c r="E939" t="s">
        <v>9</v>
      </c>
      <c r="F939" s="121">
        <v>780</v>
      </c>
      <c r="G939" s="123">
        <v>23</v>
      </c>
      <c r="H939" s="103" t="s">
        <v>1962</v>
      </c>
    </row>
    <row r="940" spans="2:8" x14ac:dyDescent="0.25">
      <c r="B940">
        <v>938</v>
      </c>
      <c r="C940" t="s">
        <v>1963</v>
      </c>
      <c r="D940">
        <v>0</v>
      </c>
      <c r="E940" t="s">
        <v>1964</v>
      </c>
      <c r="F940" s="121">
        <v>3</v>
      </c>
      <c r="G940" s="103" t="s">
        <v>1944</v>
      </c>
      <c r="H940" s="103" t="s">
        <v>1965</v>
      </c>
    </row>
    <row r="941" spans="2:8" x14ac:dyDescent="0.25">
      <c r="B941">
        <v>939</v>
      </c>
      <c r="C941" t="s">
        <v>1966</v>
      </c>
      <c r="D941">
        <v>0</v>
      </c>
      <c r="E941" t="s">
        <v>35</v>
      </c>
      <c r="F941" s="121" t="s">
        <v>36</v>
      </c>
      <c r="G941" s="103" t="s">
        <v>37</v>
      </c>
      <c r="H941" s="103" t="s">
        <v>1967</v>
      </c>
    </row>
    <row r="942" spans="2:8" x14ac:dyDescent="0.25">
      <c r="B942">
        <v>940</v>
      </c>
      <c r="C942" t="s">
        <v>1968</v>
      </c>
      <c r="D942">
        <v>0</v>
      </c>
      <c r="E942" t="s">
        <v>9</v>
      </c>
      <c r="F942" s="121">
        <v>4818</v>
      </c>
      <c r="G942" s="123">
        <v>13</v>
      </c>
      <c r="H942" s="103" t="s">
        <v>1969</v>
      </c>
    </row>
    <row r="943" spans="2:8" x14ac:dyDescent="0.25">
      <c r="B943">
        <v>941</v>
      </c>
      <c r="C943" t="s">
        <v>1970</v>
      </c>
      <c r="D943">
        <v>0</v>
      </c>
      <c r="E943" t="s">
        <v>9</v>
      </c>
      <c r="F943" s="121">
        <v>4577</v>
      </c>
      <c r="G943" s="103">
        <v>13</v>
      </c>
      <c r="H943" s="103" t="s">
        <v>1971</v>
      </c>
    </row>
    <row r="944" spans="2:8" x14ac:dyDescent="0.25">
      <c r="B944">
        <v>942</v>
      </c>
      <c r="C944" t="s">
        <v>1972</v>
      </c>
      <c r="D944">
        <v>0</v>
      </c>
      <c r="E944" t="s">
        <v>35</v>
      </c>
      <c r="F944" s="121" t="s">
        <v>36</v>
      </c>
      <c r="G944" s="103" t="s">
        <v>37</v>
      </c>
      <c r="H944" s="103" t="s">
        <v>1973</v>
      </c>
    </row>
    <row r="945" spans="2:8" x14ac:dyDescent="0.25">
      <c r="B945">
        <v>943</v>
      </c>
      <c r="C945" t="s">
        <v>1974</v>
      </c>
      <c r="D945">
        <v>0</v>
      </c>
      <c r="E945" t="s">
        <v>35</v>
      </c>
      <c r="F945" s="121" t="s">
        <v>36</v>
      </c>
      <c r="G945" s="103" t="s">
        <v>37</v>
      </c>
      <c r="H945" s="103" t="s">
        <v>1975</v>
      </c>
    </row>
    <row r="946" spans="2:8" x14ac:dyDescent="0.25">
      <c r="B946">
        <v>944</v>
      </c>
      <c r="C946" t="s">
        <v>1976</v>
      </c>
      <c r="D946">
        <v>0</v>
      </c>
      <c r="E946" t="s">
        <v>9</v>
      </c>
      <c r="F946" s="121">
        <v>4818</v>
      </c>
      <c r="G946" s="123">
        <v>13</v>
      </c>
      <c r="H946" s="103" t="s">
        <v>1977</v>
      </c>
    </row>
    <row r="947" spans="2:8" x14ac:dyDescent="0.25">
      <c r="B947">
        <v>945</v>
      </c>
      <c r="C947" t="s">
        <v>1126</v>
      </c>
      <c r="D947">
        <v>0</v>
      </c>
      <c r="E947" t="s">
        <v>9</v>
      </c>
      <c r="F947" s="121">
        <v>949</v>
      </c>
      <c r="G947" s="123">
        <v>23</v>
      </c>
      <c r="H947" s="103" t="s">
        <v>1127</v>
      </c>
    </row>
    <row r="948" spans="2:8" x14ac:dyDescent="0.25">
      <c r="B948">
        <v>946</v>
      </c>
      <c r="C948" t="s">
        <v>5070</v>
      </c>
      <c r="D948" t="s">
        <v>5069</v>
      </c>
      <c r="E948" t="s">
        <v>21</v>
      </c>
      <c r="F948" s="121" t="s">
        <v>431</v>
      </c>
      <c r="G948" s="103" t="s">
        <v>22</v>
      </c>
      <c r="H948" s="103" t="s">
        <v>1978</v>
      </c>
    </row>
    <row r="949" spans="2:8" x14ac:dyDescent="0.25">
      <c r="B949">
        <v>947</v>
      </c>
      <c r="C949" t="s">
        <v>1979</v>
      </c>
      <c r="D949">
        <v>0</v>
      </c>
      <c r="E949" t="s">
        <v>9</v>
      </c>
      <c r="F949" s="121">
        <v>4694</v>
      </c>
      <c r="G949" s="123">
        <v>23</v>
      </c>
      <c r="H949" s="103" t="s">
        <v>1980</v>
      </c>
    </row>
    <row r="950" spans="2:8" x14ac:dyDescent="0.25">
      <c r="B950">
        <v>948</v>
      </c>
      <c r="C950" t="s">
        <v>1981</v>
      </c>
      <c r="D950">
        <v>0</v>
      </c>
      <c r="E950" t="s">
        <v>9</v>
      </c>
      <c r="F950" s="121">
        <v>4825</v>
      </c>
      <c r="G950" s="123">
        <v>1288</v>
      </c>
      <c r="H950" s="103" t="s">
        <v>1982</v>
      </c>
    </row>
    <row r="951" spans="2:8" x14ac:dyDescent="0.25">
      <c r="B951">
        <v>949</v>
      </c>
      <c r="C951" t="s">
        <v>1983</v>
      </c>
      <c r="D951">
        <v>0</v>
      </c>
      <c r="E951" t="s">
        <v>9</v>
      </c>
      <c r="F951" s="121">
        <v>4825</v>
      </c>
      <c r="G951" s="123">
        <v>13</v>
      </c>
      <c r="H951" s="103" t="s">
        <v>1984</v>
      </c>
    </row>
    <row r="952" spans="2:8" x14ac:dyDescent="0.25">
      <c r="B952">
        <v>950</v>
      </c>
      <c r="C952" t="s">
        <v>1160</v>
      </c>
      <c r="D952">
        <v>0</v>
      </c>
      <c r="E952" t="s">
        <v>21</v>
      </c>
      <c r="F952" s="121">
        <v>3801</v>
      </c>
      <c r="G952" s="103" t="s">
        <v>22</v>
      </c>
      <c r="H952" s="103" t="s">
        <v>1985</v>
      </c>
    </row>
    <row r="953" spans="2:8" x14ac:dyDescent="0.25">
      <c r="B953">
        <v>951</v>
      </c>
      <c r="C953" t="s">
        <v>1986</v>
      </c>
      <c r="D953" t="s">
        <v>1987</v>
      </c>
      <c r="E953" t="s">
        <v>21</v>
      </c>
      <c r="F953" s="121">
        <v>3616</v>
      </c>
      <c r="G953" s="103" t="s">
        <v>37</v>
      </c>
      <c r="H953" s="103" t="s">
        <v>1988</v>
      </c>
    </row>
    <row r="954" spans="2:8" x14ac:dyDescent="0.25">
      <c r="B954">
        <v>952</v>
      </c>
      <c r="C954" t="s">
        <v>1071</v>
      </c>
      <c r="D954">
        <v>0</v>
      </c>
      <c r="E954" t="s">
        <v>9</v>
      </c>
      <c r="F954" s="121">
        <v>4818</v>
      </c>
      <c r="G954" s="123">
        <v>13</v>
      </c>
      <c r="H954" s="103" t="s">
        <v>1072</v>
      </c>
    </row>
    <row r="955" spans="2:8" x14ac:dyDescent="0.25">
      <c r="B955">
        <v>953</v>
      </c>
      <c r="C955" t="s">
        <v>1989</v>
      </c>
      <c r="D955">
        <v>0</v>
      </c>
      <c r="E955" t="s">
        <v>9</v>
      </c>
      <c r="F955" s="121">
        <v>949</v>
      </c>
      <c r="G955" s="123">
        <v>23</v>
      </c>
      <c r="H955" s="103" t="s">
        <v>1990</v>
      </c>
    </row>
    <row r="956" spans="2:8" x14ac:dyDescent="0.25">
      <c r="B956">
        <v>954</v>
      </c>
      <c r="C956" t="s">
        <v>1991</v>
      </c>
      <c r="D956">
        <v>0</v>
      </c>
      <c r="E956" t="s">
        <v>35</v>
      </c>
      <c r="F956" s="121" t="s">
        <v>36</v>
      </c>
      <c r="G956" s="103" t="s">
        <v>37</v>
      </c>
      <c r="H956" s="103" t="s">
        <v>1992</v>
      </c>
    </row>
    <row r="957" spans="2:8" x14ac:dyDescent="0.25">
      <c r="B957">
        <v>955</v>
      </c>
      <c r="C957" t="s">
        <v>1993</v>
      </c>
      <c r="D957">
        <v>0</v>
      </c>
      <c r="E957" t="s">
        <v>9</v>
      </c>
      <c r="F957" s="121">
        <v>3444</v>
      </c>
      <c r="G957" s="123">
        <v>13</v>
      </c>
      <c r="H957" s="103" t="s">
        <v>1994</v>
      </c>
    </row>
    <row r="958" spans="2:8" x14ac:dyDescent="0.25">
      <c r="B958">
        <v>956</v>
      </c>
      <c r="C958" t="s">
        <v>1995</v>
      </c>
      <c r="D958" t="s">
        <v>1996</v>
      </c>
      <c r="E958" t="s">
        <v>9</v>
      </c>
      <c r="F958" s="121">
        <v>4818</v>
      </c>
      <c r="G958" s="123"/>
      <c r="H958" s="103" t="s">
        <v>1997</v>
      </c>
    </row>
    <row r="959" spans="2:8" x14ac:dyDescent="0.25">
      <c r="B959">
        <v>957</v>
      </c>
      <c r="C959" t="s">
        <v>1998</v>
      </c>
      <c r="D959">
        <v>0</v>
      </c>
      <c r="E959" t="s">
        <v>9</v>
      </c>
      <c r="F959" s="121">
        <v>949</v>
      </c>
      <c r="G959" s="123">
        <v>23</v>
      </c>
      <c r="H959" s="103" t="s">
        <v>1999</v>
      </c>
    </row>
    <row r="960" spans="2:8" x14ac:dyDescent="0.25">
      <c r="B960">
        <v>958</v>
      </c>
      <c r="C960" t="s">
        <v>485</v>
      </c>
      <c r="D960">
        <v>0</v>
      </c>
      <c r="E960" t="s">
        <v>35</v>
      </c>
      <c r="F960" s="121" t="s">
        <v>36</v>
      </c>
      <c r="G960" s="103" t="s">
        <v>37</v>
      </c>
      <c r="H960" s="103" t="s">
        <v>2000</v>
      </c>
    </row>
    <row r="961" spans="2:8" x14ac:dyDescent="0.25">
      <c r="B961">
        <v>959</v>
      </c>
      <c r="C961" t="s">
        <v>2001</v>
      </c>
      <c r="D961">
        <v>0</v>
      </c>
      <c r="E961" t="s">
        <v>9</v>
      </c>
      <c r="F961" s="121">
        <v>4825</v>
      </c>
      <c r="G961" s="123">
        <v>13</v>
      </c>
      <c r="H961" s="103" t="s">
        <v>2002</v>
      </c>
    </row>
    <row r="962" spans="2:8" x14ac:dyDescent="0.25">
      <c r="B962">
        <v>960</v>
      </c>
      <c r="C962" t="s">
        <v>2003</v>
      </c>
      <c r="D962">
        <v>0</v>
      </c>
      <c r="E962" t="s">
        <v>9</v>
      </c>
      <c r="F962" s="121">
        <v>949</v>
      </c>
      <c r="G962" s="123">
        <v>23</v>
      </c>
      <c r="H962" s="103" t="s">
        <v>2004</v>
      </c>
    </row>
    <row r="963" spans="2:8" x14ac:dyDescent="0.25">
      <c r="B963">
        <v>961</v>
      </c>
      <c r="C963" t="s">
        <v>2005</v>
      </c>
      <c r="D963">
        <v>0</v>
      </c>
      <c r="E963" t="s">
        <v>9</v>
      </c>
      <c r="F963" s="121">
        <v>4825</v>
      </c>
      <c r="G963" s="123">
        <v>13</v>
      </c>
      <c r="H963" s="103" t="s">
        <v>2006</v>
      </c>
    </row>
    <row r="964" spans="2:8" x14ac:dyDescent="0.25">
      <c r="B964">
        <v>962</v>
      </c>
      <c r="C964" t="s">
        <v>2007</v>
      </c>
      <c r="D964">
        <v>0</v>
      </c>
      <c r="E964" t="s">
        <v>9</v>
      </c>
      <c r="F964" s="121">
        <v>949</v>
      </c>
      <c r="G964" s="123">
        <v>13</v>
      </c>
      <c r="H964" s="103" t="s">
        <v>2008</v>
      </c>
    </row>
    <row r="965" spans="2:8" x14ac:dyDescent="0.25">
      <c r="B965">
        <v>963</v>
      </c>
      <c r="C965" t="s">
        <v>2009</v>
      </c>
      <c r="D965">
        <v>0</v>
      </c>
      <c r="E965" t="s">
        <v>21</v>
      </c>
      <c r="F965" s="121">
        <v>3616</v>
      </c>
      <c r="G965" s="103" t="s">
        <v>37</v>
      </c>
      <c r="H965" s="103" t="s">
        <v>2010</v>
      </c>
    </row>
    <row r="966" spans="2:8" x14ac:dyDescent="0.25">
      <c r="B966">
        <v>964</v>
      </c>
      <c r="C966" t="s">
        <v>2011</v>
      </c>
      <c r="D966">
        <v>0</v>
      </c>
      <c r="E966" t="s">
        <v>9</v>
      </c>
      <c r="F966" s="121">
        <v>780</v>
      </c>
      <c r="G966" s="123">
        <v>13</v>
      </c>
      <c r="H966" s="103" t="s">
        <v>2012</v>
      </c>
    </row>
    <row r="967" spans="2:8" x14ac:dyDescent="0.25">
      <c r="B967">
        <v>965</v>
      </c>
      <c r="C967" t="s">
        <v>2013</v>
      </c>
      <c r="D967">
        <v>0</v>
      </c>
      <c r="E967" t="s">
        <v>9</v>
      </c>
      <c r="F967" s="121">
        <v>4818</v>
      </c>
      <c r="G967" s="123">
        <v>13</v>
      </c>
      <c r="H967" s="103" t="s">
        <v>2014</v>
      </c>
    </row>
    <row r="968" spans="2:8" x14ac:dyDescent="0.25">
      <c r="B968">
        <v>966</v>
      </c>
      <c r="C968" t="s">
        <v>2015</v>
      </c>
      <c r="D968">
        <v>0</v>
      </c>
      <c r="E968" t="s">
        <v>9</v>
      </c>
      <c r="F968" s="121">
        <v>4818</v>
      </c>
      <c r="G968" s="123">
        <v>13</v>
      </c>
      <c r="H968" s="103" t="s">
        <v>2016</v>
      </c>
    </row>
    <row r="969" spans="2:8" x14ac:dyDescent="0.25">
      <c r="B969">
        <v>967</v>
      </c>
      <c r="C969" t="s">
        <v>2017</v>
      </c>
      <c r="D969">
        <v>0</v>
      </c>
      <c r="E969" t="s">
        <v>9</v>
      </c>
      <c r="F969" s="121">
        <v>949</v>
      </c>
      <c r="G969" s="123">
        <v>13</v>
      </c>
      <c r="H969" s="103" t="s">
        <v>2018</v>
      </c>
    </row>
    <row r="970" spans="2:8" x14ac:dyDescent="0.25">
      <c r="B970">
        <v>968</v>
      </c>
      <c r="C970" t="s">
        <v>2019</v>
      </c>
      <c r="D970">
        <v>0</v>
      </c>
      <c r="E970" t="s">
        <v>9</v>
      </c>
      <c r="F970" s="121">
        <v>949</v>
      </c>
      <c r="G970" s="123">
        <v>13</v>
      </c>
      <c r="H970" s="103" t="s">
        <v>2020</v>
      </c>
    </row>
    <row r="971" spans="2:8" x14ac:dyDescent="0.25">
      <c r="B971">
        <v>969</v>
      </c>
      <c r="C971" t="s">
        <v>2021</v>
      </c>
      <c r="D971">
        <v>0</v>
      </c>
      <c r="E971" t="s">
        <v>9</v>
      </c>
      <c r="F971" s="121">
        <v>4818</v>
      </c>
      <c r="G971" s="123">
        <v>13</v>
      </c>
      <c r="H971" s="103" t="s">
        <v>2022</v>
      </c>
    </row>
    <row r="972" spans="2:8" x14ac:dyDescent="0.25">
      <c r="B972">
        <v>970</v>
      </c>
      <c r="C972" t="s">
        <v>2023</v>
      </c>
      <c r="D972" t="s">
        <v>4975</v>
      </c>
      <c r="E972" t="s">
        <v>9</v>
      </c>
      <c r="F972" s="121">
        <v>4818</v>
      </c>
      <c r="G972" s="123">
        <v>13</v>
      </c>
      <c r="H972" s="103" t="s">
        <v>2024</v>
      </c>
    </row>
    <row r="973" spans="2:8" x14ac:dyDescent="0.25">
      <c r="B973">
        <v>971</v>
      </c>
      <c r="C973" t="s">
        <v>2025</v>
      </c>
      <c r="D973">
        <v>0</v>
      </c>
      <c r="E973" t="s">
        <v>9</v>
      </c>
      <c r="F973" s="121">
        <v>3419</v>
      </c>
      <c r="G973" s="123">
        <v>13</v>
      </c>
      <c r="H973" s="103" t="s">
        <v>2026</v>
      </c>
    </row>
    <row r="974" spans="2:8" x14ac:dyDescent="0.25">
      <c r="B974">
        <v>972</v>
      </c>
      <c r="C974" t="s">
        <v>2027</v>
      </c>
      <c r="D974">
        <v>0</v>
      </c>
      <c r="E974" t="s">
        <v>9</v>
      </c>
      <c r="F974" s="121">
        <v>4818</v>
      </c>
      <c r="G974" s="123">
        <v>13</v>
      </c>
      <c r="H974" s="103" t="s">
        <v>2028</v>
      </c>
    </row>
    <row r="975" spans="2:8" x14ac:dyDescent="0.25">
      <c r="B975">
        <v>973</v>
      </c>
      <c r="C975" t="s">
        <v>2029</v>
      </c>
      <c r="D975">
        <v>0</v>
      </c>
      <c r="E975" t="s">
        <v>9</v>
      </c>
      <c r="F975" s="121">
        <v>949</v>
      </c>
      <c r="G975" s="123">
        <v>13</v>
      </c>
      <c r="H975" s="103" t="s">
        <v>2030</v>
      </c>
    </row>
    <row r="976" spans="2:8" x14ac:dyDescent="0.25">
      <c r="B976">
        <v>974</v>
      </c>
      <c r="C976" t="s">
        <v>2031</v>
      </c>
      <c r="D976">
        <v>0</v>
      </c>
      <c r="E976" t="s">
        <v>9</v>
      </c>
      <c r="F976" s="121">
        <v>949</v>
      </c>
      <c r="G976" s="123">
        <v>23</v>
      </c>
      <c r="H976" s="103" t="s">
        <v>2032</v>
      </c>
    </row>
    <row r="977" spans="2:8" x14ac:dyDescent="0.25">
      <c r="B977">
        <v>975</v>
      </c>
      <c r="C977" t="s">
        <v>2033</v>
      </c>
      <c r="D977">
        <v>0</v>
      </c>
      <c r="E977" t="s">
        <v>9</v>
      </c>
      <c r="F977" s="121">
        <v>4825</v>
      </c>
      <c r="G977" s="123">
        <v>13</v>
      </c>
      <c r="H977" s="103" t="s">
        <v>2034</v>
      </c>
    </row>
    <row r="978" spans="2:8" x14ac:dyDescent="0.25">
      <c r="B978">
        <v>976</v>
      </c>
      <c r="C978" t="s">
        <v>2035</v>
      </c>
      <c r="D978">
        <v>0</v>
      </c>
      <c r="E978" t="s">
        <v>9</v>
      </c>
      <c r="F978" s="121">
        <v>565</v>
      </c>
      <c r="G978" s="123">
        <v>23</v>
      </c>
      <c r="H978" s="103" t="s">
        <v>2036</v>
      </c>
    </row>
    <row r="979" spans="2:8" x14ac:dyDescent="0.25">
      <c r="B979">
        <v>977</v>
      </c>
      <c r="C979" t="s">
        <v>2037</v>
      </c>
      <c r="D979">
        <v>0</v>
      </c>
      <c r="E979" t="s">
        <v>21</v>
      </c>
      <c r="F979" s="121">
        <v>3414</v>
      </c>
      <c r="G979" s="103" t="s">
        <v>37</v>
      </c>
      <c r="H979" s="103" t="s">
        <v>2038</v>
      </c>
    </row>
    <row r="980" spans="2:8" x14ac:dyDescent="0.25">
      <c r="B980">
        <v>978</v>
      </c>
      <c r="C980" t="s">
        <v>2039</v>
      </c>
      <c r="D980">
        <v>0</v>
      </c>
      <c r="E980" t="s">
        <v>21</v>
      </c>
      <c r="F980" s="121">
        <v>3616</v>
      </c>
      <c r="G980" s="103" t="s">
        <v>37</v>
      </c>
      <c r="H980" s="103" t="s">
        <v>2040</v>
      </c>
    </row>
    <row r="981" spans="2:8" x14ac:dyDescent="0.25">
      <c r="B981">
        <v>979</v>
      </c>
      <c r="C981" t="s">
        <v>2041</v>
      </c>
      <c r="D981">
        <v>0</v>
      </c>
      <c r="E981" t="s">
        <v>9</v>
      </c>
      <c r="F981" s="121">
        <v>4818</v>
      </c>
      <c r="G981" s="123">
        <v>13</v>
      </c>
      <c r="H981" s="103" t="s">
        <v>2042</v>
      </c>
    </row>
    <row r="982" spans="2:8" x14ac:dyDescent="0.25">
      <c r="B982">
        <v>980</v>
      </c>
      <c r="C982" t="s">
        <v>2043</v>
      </c>
      <c r="D982">
        <v>0</v>
      </c>
      <c r="E982" t="s">
        <v>9</v>
      </c>
      <c r="F982" s="121">
        <v>4818</v>
      </c>
      <c r="G982" s="123">
        <v>13</v>
      </c>
      <c r="H982" s="103" t="s">
        <v>2044</v>
      </c>
    </row>
    <row r="983" spans="2:8" x14ac:dyDescent="0.25">
      <c r="B983">
        <v>981</v>
      </c>
      <c r="C983" t="s">
        <v>2045</v>
      </c>
      <c r="D983">
        <v>0</v>
      </c>
      <c r="E983" t="s">
        <v>21</v>
      </c>
      <c r="F983" s="121">
        <v>3589</v>
      </c>
      <c r="G983" s="103" t="s">
        <v>37</v>
      </c>
      <c r="H983" s="103" t="s">
        <v>2046</v>
      </c>
    </row>
    <row r="984" spans="2:8" x14ac:dyDescent="0.25">
      <c r="B984">
        <v>982</v>
      </c>
      <c r="C984" t="s">
        <v>2047</v>
      </c>
      <c r="D984">
        <v>0</v>
      </c>
      <c r="E984" t="s">
        <v>21</v>
      </c>
      <c r="F984" s="121">
        <v>3589</v>
      </c>
      <c r="G984" s="103" t="s">
        <v>37</v>
      </c>
      <c r="H984" s="103" t="s">
        <v>2048</v>
      </c>
    </row>
    <row r="985" spans="2:8" x14ac:dyDescent="0.25">
      <c r="B985">
        <v>983</v>
      </c>
      <c r="C985" t="s">
        <v>2049</v>
      </c>
      <c r="D985">
        <v>0</v>
      </c>
      <c r="E985" t="s">
        <v>35</v>
      </c>
      <c r="F985" s="121" t="s">
        <v>36</v>
      </c>
      <c r="G985" s="103" t="s">
        <v>37</v>
      </c>
      <c r="H985" s="103" t="s">
        <v>2050</v>
      </c>
    </row>
    <row r="986" spans="2:8" x14ac:dyDescent="0.25">
      <c r="B986">
        <v>984</v>
      </c>
      <c r="C986" t="s">
        <v>2051</v>
      </c>
      <c r="D986">
        <v>0</v>
      </c>
      <c r="E986" t="s">
        <v>35</v>
      </c>
      <c r="F986" s="121" t="s">
        <v>2052</v>
      </c>
      <c r="G986" s="103" t="s">
        <v>37</v>
      </c>
      <c r="H986" s="103" t="s">
        <v>2053</v>
      </c>
    </row>
    <row r="987" spans="2:8" x14ac:dyDescent="0.25">
      <c r="B987">
        <v>985</v>
      </c>
      <c r="C987" t="s">
        <v>2054</v>
      </c>
      <c r="D987">
        <v>0</v>
      </c>
      <c r="E987" t="s">
        <v>21</v>
      </c>
      <c r="F987" s="121">
        <v>3589</v>
      </c>
      <c r="G987" s="103" t="s">
        <v>37</v>
      </c>
      <c r="H987" s="103" t="s">
        <v>2055</v>
      </c>
    </row>
    <row r="988" spans="2:8" x14ac:dyDescent="0.25">
      <c r="B988">
        <v>986</v>
      </c>
      <c r="C988" t="s">
        <v>2056</v>
      </c>
      <c r="D988">
        <v>0</v>
      </c>
      <c r="E988" t="s">
        <v>35</v>
      </c>
      <c r="F988" s="121" t="s">
        <v>36</v>
      </c>
      <c r="G988" s="103" t="s">
        <v>37</v>
      </c>
      <c r="H988" s="103" t="s">
        <v>2057</v>
      </c>
    </row>
    <row r="989" spans="2:8" x14ac:dyDescent="0.25">
      <c r="B989">
        <v>987</v>
      </c>
      <c r="C989" t="s">
        <v>2058</v>
      </c>
      <c r="D989">
        <v>0</v>
      </c>
      <c r="E989" t="s">
        <v>21</v>
      </c>
      <c r="F989" s="121">
        <v>3616</v>
      </c>
      <c r="G989" s="103" t="s">
        <v>37</v>
      </c>
      <c r="H989" s="103" t="s">
        <v>2059</v>
      </c>
    </row>
    <row r="990" spans="2:8" x14ac:dyDescent="0.25">
      <c r="B990">
        <v>988</v>
      </c>
      <c r="C990" t="s">
        <v>2060</v>
      </c>
      <c r="D990">
        <v>0</v>
      </c>
      <c r="E990" t="s">
        <v>35</v>
      </c>
      <c r="F990" s="121" t="s">
        <v>36</v>
      </c>
      <c r="G990" s="103" t="s">
        <v>37</v>
      </c>
      <c r="H990" s="103" t="s">
        <v>2061</v>
      </c>
    </row>
    <row r="991" spans="2:8" x14ac:dyDescent="0.25">
      <c r="B991">
        <v>989</v>
      </c>
      <c r="C991" t="s">
        <v>2062</v>
      </c>
      <c r="D991">
        <v>0</v>
      </c>
      <c r="E991" t="s">
        <v>21</v>
      </c>
      <c r="F991" s="121">
        <v>3589</v>
      </c>
      <c r="G991" s="103" t="s">
        <v>37</v>
      </c>
      <c r="H991" s="103" t="s">
        <v>2063</v>
      </c>
    </row>
    <row r="992" spans="2:8" x14ac:dyDescent="0.25">
      <c r="B992">
        <v>990</v>
      </c>
      <c r="C992" t="s">
        <v>2064</v>
      </c>
      <c r="D992">
        <v>0</v>
      </c>
      <c r="E992" t="s">
        <v>9</v>
      </c>
      <c r="F992" s="121">
        <v>4818</v>
      </c>
      <c r="G992" s="123">
        <v>13</v>
      </c>
      <c r="H992" s="103" t="s">
        <v>2065</v>
      </c>
    </row>
    <row r="993" spans="2:8" x14ac:dyDescent="0.25">
      <c r="B993">
        <v>991</v>
      </c>
      <c r="C993" t="s">
        <v>2066</v>
      </c>
      <c r="D993">
        <v>0</v>
      </c>
      <c r="E993" t="s">
        <v>9</v>
      </c>
      <c r="F993" s="121">
        <v>4825</v>
      </c>
      <c r="G993" s="123">
        <v>13</v>
      </c>
      <c r="H993" s="103" t="s">
        <v>2067</v>
      </c>
    </row>
    <row r="994" spans="2:8" x14ac:dyDescent="0.25">
      <c r="B994">
        <v>992</v>
      </c>
      <c r="C994" t="s">
        <v>2068</v>
      </c>
      <c r="D994">
        <v>0</v>
      </c>
      <c r="E994" t="s">
        <v>9</v>
      </c>
      <c r="F994" s="121">
        <v>941</v>
      </c>
      <c r="G994" s="123">
        <v>13</v>
      </c>
      <c r="H994" s="103" t="s">
        <v>2069</v>
      </c>
    </row>
    <row r="995" spans="2:8" x14ac:dyDescent="0.25">
      <c r="B995">
        <v>993</v>
      </c>
      <c r="C995" t="s">
        <v>2070</v>
      </c>
      <c r="D995">
        <v>0</v>
      </c>
      <c r="E995" t="s">
        <v>9</v>
      </c>
      <c r="F995" s="121">
        <v>949</v>
      </c>
      <c r="G995" s="123">
        <v>23</v>
      </c>
      <c r="H995" s="103" t="s">
        <v>2071</v>
      </c>
    </row>
    <row r="996" spans="2:8" x14ac:dyDescent="0.25">
      <c r="B996">
        <v>994</v>
      </c>
      <c r="C996" t="s">
        <v>2072</v>
      </c>
      <c r="D996">
        <v>0</v>
      </c>
      <c r="E996" t="s">
        <v>9</v>
      </c>
      <c r="F996" s="121">
        <v>949</v>
      </c>
      <c r="G996" s="123">
        <v>23</v>
      </c>
      <c r="H996" s="103" t="s">
        <v>2073</v>
      </c>
    </row>
    <row r="997" spans="2:8" x14ac:dyDescent="0.25">
      <c r="B997">
        <v>995</v>
      </c>
      <c r="C997" t="s">
        <v>2074</v>
      </c>
      <c r="D997">
        <v>0</v>
      </c>
      <c r="E997" t="s">
        <v>9</v>
      </c>
      <c r="F997" s="121">
        <v>949</v>
      </c>
      <c r="G997" s="123">
        <v>13</v>
      </c>
      <c r="H997" s="103" t="s">
        <v>2075</v>
      </c>
    </row>
    <row r="998" spans="2:8" x14ac:dyDescent="0.25">
      <c r="B998">
        <v>996</v>
      </c>
      <c r="C998" t="s">
        <v>2076</v>
      </c>
      <c r="D998">
        <v>0</v>
      </c>
      <c r="E998" t="s">
        <v>9</v>
      </c>
      <c r="F998" s="121">
        <v>3419</v>
      </c>
      <c r="G998" s="123">
        <v>13</v>
      </c>
      <c r="H998" s="103" t="s">
        <v>2077</v>
      </c>
    </row>
    <row r="999" spans="2:8" x14ac:dyDescent="0.25">
      <c r="B999">
        <v>997</v>
      </c>
      <c r="C999" t="s">
        <v>2078</v>
      </c>
      <c r="D999">
        <v>0</v>
      </c>
      <c r="E999" t="s">
        <v>9</v>
      </c>
      <c r="F999" s="121">
        <v>949</v>
      </c>
      <c r="G999" s="123">
        <v>23</v>
      </c>
      <c r="H999" s="103" t="s">
        <v>2079</v>
      </c>
    </row>
    <row r="1000" spans="2:8" x14ac:dyDescent="0.25">
      <c r="B1000">
        <v>998</v>
      </c>
      <c r="C1000" t="s">
        <v>2080</v>
      </c>
      <c r="D1000">
        <v>0</v>
      </c>
      <c r="E1000" t="s">
        <v>9</v>
      </c>
      <c r="F1000" s="121">
        <v>4825</v>
      </c>
      <c r="G1000" s="123">
        <v>13</v>
      </c>
      <c r="H1000" s="103" t="s">
        <v>2081</v>
      </c>
    </row>
    <row r="1001" spans="2:8" x14ac:dyDescent="0.25">
      <c r="B1001">
        <v>999</v>
      </c>
      <c r="C1001" t="s">
        <v>2082</v>
      </c>
      <c r="D1001">
        <v>0</v>
      </c>
      <c r="E1001" t="s">
        <v>21</v>
      </c>
      <c r="F1001" s="121">
        <v>5490</v>
      </c>
      <c r="G1001" s="103" t="s">
        <v>37</v>
      </c>
      <c r="H1001" s="103" t="s">
        <v>2083</v>
      </c>
    </row>
    <row r="1002" spans="2:8" x14ac:dyDescent="0.25">
      <c r="B1002">
        <v>1000</v>
      </c>
      <c r="C1002" t="s">
        <v>866</v>
      </c>
      <c r="D1002">
        <v>0</v>
      </c>
      <c r="E1002" t="s">
        <v>9</v>
      </c>
      <c r="F1002" s="121">
        <v>949</v>
      </c>
      <c r="G1002" s="123">
        <v>23</v>
      </c>
      <c r="H1002" s="103" t="s">
        <v>2084</v>
      </c>
    </row>
    <row r="1003" spans="2:8" x14ac:dyDescent="0.25">
      <c r="B1003">
        <v>1001</v>
      </c>
      <c r="C1003" t="s">
        <v>2085</v>
      </c>
      <c r="D1003">
        <v>0</v>
      </c>
      <c r="E1003" t="s">
        <v>9</v>
      </c>
      <c r="F1003" s="121">
        <v>1448</v>
      </c>
      <c r="G1003" s="123">
        <v>13</v>
      </c>
      <c r="H1003" s="103" t="s">
        <v>2086</v>
      </c>
    </row>
    <row r="1004" spans="2:8" x14ac:dyDescent="0.25">
      <c r="B1004">
        <v>1002</v>
      </c>
      <c r="C1004" t="s">
        <v>2087</v>
      </c>
      <c r="D1004">
        <v>0</v>
      </c>
      <c r="E1004" t="s">
        <v>9</v>
      </c>
      <c r="F1004" s="121">
        <v>4818</v>
      </c>
      <c r="G1004" s="123">
        <v>13</v>
      </c>
      <c r="H1004" s="103" t="s">
        <v>2088</v>
      </c>
    </row>
    <row r="1005" spans="2:8" x14ac:dyDescent="0.25">
      <c r="B1005">
        <v>1003</v>
      </c>
      <c r="C1005" t="s">
        <v>936</v>
      </c>
      <c r="D1005">
        <v>0</v>
      </c>
      <c r="E1005" t="s">
        <v>9</v>
      </c>
      <c r="F1005" s="121">
        <v>4818</v>
      </c>
      <c r="G1005" s="123">
        <v>13</v>
      </c>
      <c r="H1005" s="103" t="s">
        <v>937</v>
      </c>
    </row>
    <row r="1006" spans="2:8" x14ac:dyDescent="0.25">
      <c r="B1006">
        <v>1004</v>
      </c>
      <c r="C1006" t="s">
        <v>2089</v>
      </c>
      <c r="D1006">
        <v>0</v>
      </c>
      <c r="E1006" t="s">
        <v>9</v>
      </c>
      <c r="F1006" s="121">
        <v>949</v>
      </c>
      <c r="G1006" s="123">
        <v>23</v>
      </c>
      <c r="H1006" s="103" t="s">
        <v>2090</v>
      </c>
    </row>
    <row r="1007" spans="2:8" x14ac:dyDescent="0.25">
      <c r="B1007">
        <v>1005</v>
      </c>
      <c r="C1007" t="s">
        <v>2091</v>
      </c>
      <c r="D1007">
        <v>0</v>
      </c>
      <c r="E1007" t="s">
        <v>9</v>
      </c>
      <c r="F1007" s="121">
        <v>4818</v>
      </c>
      <c r="G1007" s="123">
        <v>13</v>
      </c>
      <c r="H1007" s="103" t="s">
        <v>1846</v>
      </c>
    </row>
    <row r="1008" spans="2:8" x14ac:dyDescent="0.25">
      <c r="B1008">
        <v>1006</v>
      </c>
      <c r="C1008" t="s">
        <v>2092</v>
      </c>
      <c r="D1008">
        <v>0</v>
      </c>
      <c r="E1008" t="s">
        <v>21</v>
      </c>
      <c r="F1008" s="121">
        <v>3801</v>
      </c>
      <c r="G1008" s="103" t="s">
        <v>37</v>
      </c>
      <c r="H1008" s="103" t="s">
        <v>2093</v>
      </c>
    </row>
    <row r="1009" spans="2:8" x14ac:dyDescent="0.25">
      <c r="B1009">
        <v>1007</v>
      </c>
      <c r="C1009" t="s">
        <v>2094</v>
      </c>
      <c r="D1009">
        <v>0</v>
      </c>
      <c r="E1009" t="s">
        <v>9</v>
      </c>
      <c r="F1009" s="121">
        <v>4818</v>
      </c>
      <c r="G1009" s="123">
        <v>13</v>
      </c>
      <c r="H1009" s="103" t="s">
        <v>2095</v>
      </c>
    </row>
    <row r="1010" spans="2:8" x14ac:dyDescent="0.25">
      <c r="B1010">
        <v>1008</v>
      </c>
      <c r="C1010" t="s">
        <v>2096</v>
      </c>
      <c r="D1010">
        <v>0</v>
      </c>
      <c r="E1010" t="s">
        <v>9</v>
      </c>
      <c r="F1010" s="121">
        <v>4818</v>
      </c>
      <c r="G1010" s="123">
        <v>13</v>
      </c>
      <c r="H1010" s="103" t="s">
        <v>2097</v>
      </c>
    </row>
    <row r="1011" spans="2:8" x14ac:dyDescent="0.25">
      <c r="B1011">
        <v>1009</v>
      </c>
      <c r="C1011" t="s">
        <v>2098</v>
      </c>
      <c r="D1011" t="s">
        <v>2099</v>
      </c>
      <c r="E1011" t="s">
        <v>9</v>
      </c>
      <c r="F1011" s="121">
        <v>949</v>
      </c>
      <c r="G1011" s="123"/>
      <c r="H1011" s="103" t="s">
        <v>2100</v>
      </c>
    </row>
    <row r="1012" spans="2:8" x14ac:dyDescent="0.25">
      <c r="B1012">
        <v>1010</v>
      </c>
      <c r="C1012" t="s">
        <v>2101</v>
      </c>
      <c r="D1012">
        <v>0</v>
      </c>
      <c r="E1012" t="s">
        <v>9</v>
      </c>
      <c r="F1012" s="121">
        <v>4825</v>
      </c>
      <c r="G1012" s="123">
        <v>13</v>
      </c>
      <c r="H1012" s="103" t="s">
        <v>2102</v>
      </c>
    </row>
    <row r="1013" spans="2:8" x14ac:dyDescent="0.25">
      <c r="B1013">
        <v>1011</v>
      </c>
      <c r="C1013" t="s">
        <v>2103</v>
      </c>
      <c r="D1013">
        <v>0</v>
      </c>
      <c r="E1013" t="s">
        <v>9</v>
      </c>
      <c r="F1013" s="121">
        <v>4818</v>
      </c>
      <c r="G1013" s="123">
        <v>13</v>
      </c>
      <c r="H1013" s="103" t="s">
        <v>2104</v>
      </c>
    </row>
    <row r="1014" spans="2:8" x14ac:dyDescent="0.25">
      <c r="B1014">
        <v>1012</v>
      </c>
      <c r="C1014" t="s">
        <v>2105</v>
      </c>
      <c r="D1014">
        <v>0</v>
      </c>
      <c r="E1014" t="s">
        <v>35</v>
      </c>
      <c r="F1014" s="121" t="s">
        <v>36</v>
      </c>
      <c r="G1014" s="103" t="s">
        <v>37</v>
      </c>
      <c r="H1014" s="103" t="s">
        <v>2106</v>
      </c>
    </row>
    <row r="1015" spans="2:8" x14ac:dyDescent="0.25">
      <c r="B1015">
        <v>1013</v>
      </c>
      <c r="C1015" t="s">
        <v>2107</v>
      </c>
      <c r="D1015" t="s">
        <v>2108</v>
      </c>
      <c r="E1015" t="s">
        <v>9</v>
      </c>
      <c r="F1015" s="121">
        <v>949</v>
      </c>
      <c r="G1015" s="103">
        <v>1288</v>
      </c>
      <c r="H1015" s="103" t="s">
        <v>2109</v>
      </c>
    </row>
    <row r="1016" spans="2:8" x14ac:dyDescent="0.25">
      <c r="B1016">
        <v>1014</v>
      </c>
      <c r="C1016" t="s">
        <v>2110</v>
      </c>
      <c r="D1016">
        <v>0</v>
      </c>
      <c r="E1016" t="s">
        <v>9</v>
      </c>
      <c r="F1016" s="121">
        <v>4825</v>
      </c>
      <c r="G1016" s="123">
        <v>13</v>
      </c>
      <c r="H1016" s="103" t="s">
        <v>2111</v>
      </c>
    </row>
    <row r="1017" spans="2:8" x14ac:dyDescent="0.25">
      <c r="B1017">
        <v>1015</v>
      </c>
      <c r="C1017" t="s">
        <v>2112</v>
      </c>
      <c r="D1017">
        <v>0</v>
      </c>
      <c r="E1017" t="s">
        <v>9</v>
      </c>
      <c r="F1017" s="121">
        <v>4818</v>
      </c>
      <c r="G1017" s="123">
        <v>13</v>
      </c>
      <c r="H1017" s="103" t="s">
        <v>2113</v>
      </c>
    </row>
    <row r="1018" spans="2:8" x14ac:dyDescent="0.25">
      <c r="B1018">
        <v>1016</v>
      </c>
      <c r="C1018" t="s">
        <v>2114</v>
      </c>
      <c r="D1018">
        <v>0</v>
      </c>
      <c r="E1018" t="s">
        <v>9</v>
      </c>
      <c r="F1018" s="121">
        <v>4825</v>
      </c>
      <c r="G1018" s="123">
        <v>13</v>
      </c>
      <c r="H1018" s="103" t="s">
        <v>2115</v>
      </c>
    </row>
    <row r="1019" spans="2:8" x14ac:dyDescent="0.25">
      <c r="B1019">
        <v>1017</v>
      </c>
      <c r="C1019" t="s">
        <v>2116</v>
      </c>
      <c r="D1019">
        <v>0</v>
      </c>
      <c r="E1019" t="s">
        <v>9</v>
      </c>
      <c r="F1019" s="121">
        <v>949</v>
      </c>
      <c r="G1019" s="123">
        <v>13</v>
      </c>
      <c r="H1019" s="103" t="s">
        <v>2117</v>
      </c>
    </row>
    <row r="1020" spans="2:8" x14ac:dyDescent="0.25">
      <c r="B1020">
        <v>1018</v>
      </c>
      <c r="C1020" t="s">
        <v>2118</v>
      </c>
      <c r="D1020">
        <v>0</v>
      </c>
      <c r="E1020" t="s">
        <v>35</v>
      </c>
      <c r="F1020" s="121" t="s">
        <v>2119</v>
      </c>
      <c r="G1020" s="103" t="s">
        <v>37</v>
      </c>
      <c r="H1020" s="103" t="s">
        <v>2120</v>
      </c>
    </row>
    <row r="1021" spans="2:8" x14ac:dyDescent="0.25">
      <c r="B1021">
        <v>1019</v>
      </c>
      <c r="C1021" t="s">
        <v>2121</v>
      </c>
      <c r="D1021">
        <v>0</v>
      </c>
      <c r="E1021" t="s">
        <v>9</v>
      </c>
      <c r="F1021" s="121">
        <v>4825</v>
      </c>
      <c r="G1021" s="123">
        <v>13</v>
      </c>
      <c r="H1021" s="103" t="s">
        <v>2122</v>
      </c>
    </row>
    <row r="1022" spans="2:8" x14ac:dyDescent="0.25">
      <c r="B1022">
        <v>1020</v>
      </c>
      <c r="C1022" t="s">
        <v>2123</v>
      </c>
      <c r="D1022">
        <v>0</v>
      </c>
      <c r="E1022" t="s">
        <v>21</v>
      </c>
      <c r="F1022" s="121">
        <v>3801</v>
      </c>
      <c r="G1022" s="103" t="s">
        <v>37</v>
      </c>
      <c r="H1022" s="103" t="s">
        <v>2124</v>
      </c>
    </row>
    <row r="1023" spans="2:8" x14ac:dyDescent="0.25">
      <c r="B1023">
        <v>1021</v>
      </c>
      <c r="C1023" t="s">
        <v>2125</v>
      </c>
      <c r="D1023">
        <v>0</v>
      </c>
      <c r="E1023" t="s">
        <v>9</v>
      </c>
      <c r="F1023" s="121">
        <v>4825</v>
      </c>
      <c r="G1023" s="123">
        <v>13</v>
      </c>
      <c r="H1023" s="103" t="s">
        <v>2126</v>
      </c>
    </row>
    <row r="1024" spans="2:8" x14ac:dyDescent="0.25">
      <c r="B1024">
        <v>1022</v>
      </c>
      <c r="C1024" t="s">
        <v>2127</v>
      </c>
      <c r="D1024">
        <v>0</v>
      </c>
      <c r="E1024" t="s">
        <v>35</v>
      </c>
      <c r="F1024" s="121" t="s">
        <v>36</v>
      </c>
      <c r="G1024" s="103" t="s">
        <v>37</v>
      </c>
      <c r="H1024" s="103" t="s">
        <v>2128</v>
      </c>
    </row>
    <row r="1025" spans="2:8" x14ac:dyDescent="0.25">
      <c r="B1025">
        <v>1023</v>
      </c>
      <c r="C1025" t="s">
        <v>2129</v>
      </c>
      <c r="D1025">
        <v>0</v>
      </c>
      <c r="E1025" t="s">
        <v>35</v>
      </c>
      <c r="F1025" s="121" t="s">
        <v>2130</v>
      </c>
      <c r="G1025" s="103" t="s">
        <v>37</v>
      </c>
      <c r="H1025" s="103" t="s">
        <v>2131</v>
      </c>
    </row>
    <row r="1026" spans="2:8" x14ac:dyDescent="0.25">
      <c r="B1026">
        <v>1024</v>
      </c>
      <c r="C1026" t="s">
        <v>2132</v>
      </c>
      <c r="D1026">
        <v>0</v>
      </c>
      <c r="E1026" t="s">
        <v>9</v>
      </c>
      <c r="F1026" s="121">
        <v>4825</v>
      </c>
      <c r="G1026" s="123">
        <v>13</v>
      </c>
      <c r="H1026" s="103" t="s">
        <v>2133</v>
      </c>
    </row>
    <row r="1027" spans="2:8" x14ac:dyDescent="0.25">
      <c r="B1027">
        <v>1025</v>
      </c>
      <c r="C1027" t="s">
        <v>2134</v>
      </c>
      <c r="D1027" t="s">
        <v>2135</v>
      </c>
      <c r="E1027" t="s">
        <v>35</v>
      </c>
      <c r="F1027" s="121" t="s">
        <v>36</v>
      </c>
      <c r="G1027" s="123"/>
      <c r="H1027" s="103" t="s">
        <v>2136</v>
      </c>
    </row>
    <row r="1028" spans="2:8" x14ac:dyDescent="0.25">
      <c r="B1028">
        <v>1026</v>
      </c>
      <c r="C1028" t="s">
        <v>2137</v>
      </c>
      <c r="D1028">
        <v>0</v>
      </c>
      <c r="E1028" t="s">
        <v>9</v>
      </c>
      <c r="F1028" s="121">
        <v>780</v>
      </c>
      <c r="G1028" s="123">
        <v>23</v>
      </c>
      <c r="H1028" s="103" t="s">
        <v>2138</v>
      </c>
    </row>
    <row r="1029" spans="2:8" x14ac:dyDescent="0.25">
      <c r="B1029">
        <v>1027</v>
      </c>
      <c r="C1029" t="s">
        <v>2139</v>
      </c>
      <c r="D1029">
        <v>0</v>
      </c>
      <c r="E1029" t="s">
        <v>9</v>
      </c>
      <c r="F1029" s="121">
        <v>4825</v>
      </c>
      <c r="G1029" s="123">
        <v>13</v>
      </c>
      <c r="H1029" s="103" t="s">
        <v>2140</v>
      </c>
    </row>
    <row r="1030" spans="2:8" x14ac:dyDescent="0.25">
      <c r="B1030">
        <v>1028</v>
      </c>
      <c r="C1030" t="s">
        <v>2141</v>
      </c>
      <c r="D1030">
        <v>0</v>
      </c>
      <c r="E1030" t="s">
        <v>9</v>
      </c>
      <c r="F1030" s="121">
        <v>4825</v>
      </c>
      <c r="G1030" s="123">
        <v>23</v>
      </c>
      <c r="H1030" s="103" t="s">
        <v>2142</v>
      </c>
    </row>
    <row r="1031" spans="2:8" x14ac:dyDescent="0.25">
      <c r="B1031">
        <v>1029</v>
      </c>
      <c r="C1031" t="s">
        <v>2143</v>
      </c>
      <c r="D1031">
        <v>0</v>
      </c>
      <c r="E1031" t="s">
        <v>9</v>
      </c>
      <c r="F1031" s="121">
        <v>4825</v>
      </c>
      <c r="G1031" s="123">
        <v>13</v>
      </c>
      <c r="H1031" s="103" t="s">
        <v>2144</v>
      </c>
    </row>
    <row r="1032" spans="2:8" x14ac:dyDescent="0.25">
      <c r="B1032">
        <v>1030</v>
      </c>
      <c r="C1032" t="s">
        <v>2145</v>
      </c>
      <c r="D1032">
        <v>0</v>
      </c>
      <c r="E1032" t="s">
        <v>9</v>
      </c>
      <c r="F1032" s="121">
        <v>4825</v>
      </c>
      <c r="G1032" s="123">
        <v>13</v>
      </c>
      <c r="H1032" s="103" t="s">
        <v>2146</v>
      </c>
    </row>
    <row r="1033" spans="2:8" x14ac:dyDescent="0.25">
      <c r="B1033">
        <v>1031</v>
      </c>
      <c r="C1033" t="s">
        <v>2147</v>
      </c>
      <c r="D1033">
        <v>0</v>
      </c>
      <c r="E1033" t="s">
        <v>9</v>
      </c>
      <c r="F1033" s="121">
        <v>4825</v>
      </c>
      <c r="G1033" s="123">
        <v>13</v>
      </c>
      <c r="H1033" s="103" t="s">
        <v>2148</v>
      </c>
    </row>
    <row r="1034" spans="2:8" x14ac:dyDescent="0.25">
      <c r="B1034">
        <v>1032</v>
      </c>
      <c r="C1034" t="s">
        <v>2149</v>
      </c>
      <c r="D1034">
        <v>0</v>
      </c>
      <c r="E1034" t="s">
        <v>9</v>
      </c>
      <c r="F1034" s="121">
        <v>4825</v>
      </c>
      <c r="G1034" s="123">
        <v>13</v>
      </c>
      <c r="H1034" s="103" t="s">
        <v>2150</v>
      </c>
    </row>
    <row r="1035" spans="2:8" x14ac:dyDescent="0.25">
      <c r="B1035">
        <v>1033</v>
      </c>
      <c r="C1035" t="s">
        <v>2151</v>
      </c>
      <c r="D1035">
        <v>0</v>
      </c>
      <c r="E1035" t="s">
        <v>9</v>
      </c>
      <c r="F1035" s="121">
        <v>780</v>
      </c>
      <c r="G1035" s="123">
        <v>13</v>
      </c>
      <c r="H1035" s="103" t="s">
        <v>2152</v>
      </c>
    </row>
    <row r="1036" spans="2:8" x14ac:dyDescent="0.25">
      <c r="B1036">
        <v>1034</v>
      </c>
      <c r="C1036" t="s">
        <v>2153</v>
      </c>
      <c r="D1036">
        <v>0</v>
      </c>
      <c r="E1036" t="s">
        <v>9</v>
      </c>
      <c r="F1036" s="121">
        <v>780</v>
      </c>
      <c r="G1036" s="123">
        <v>23</v>
      </c>
      <c r="H1036" s="103" t="s">
        <v>1403</v>
      </c>
    </row>
    <row r="1037" spans="2:8" x14ac:dyDescent="0.25">
      <c r="B1037">
        <v>1035</v>
      </c>
      <c r="C1037" t="s">
        <v>2154</v>
      </c>
      <c r="D1037">
        <v>0</v>
      </c>
      <c r="E1037" t="s">
        <v>9</v>
      </c>
      <c r="F1037" s="121">
        <v>4818</v>
      </c>
      <c r="G1037" s="123">
        <v>13</v>
      </c>
      <c r="H1037" s="103" t="s">
        <v>2155</v>
      </c>
    </row>
    <row r="1038" spans="2:8" x14ac:dyDescent="0.25">
      <c r="B1038">
        <v>1036</v>
      </c>
      <c r="C1038" t="s">
        <v>2156</v>
      </c>
      <c r="D1038">
        <v>0</v>
      </c>
      <c r="E1038" t="s">
        <v>9</v>
      </c>
      <c r="F1038" s="121">
        <v>780</v>
      </c>
      <c r="G1038" s="123">
        <v>23</v>
      </c>
      <c r="H1038" s="103" t="s">
        <v>2157</v>
      </c>
    </row>
    <row r="1039" spans="2:8" x14ac:dyDescent="0.25">
      <c r="B1039">
        <v>1037</v>
      </c>
      <c r="C1039" t="s">
        <v>2158</v>
      </c>
      <c r="D1039">
        <v>0</v>
      </c>
      <c r="E1039" t="s">
        <v>9</v>
      </c>
      <c r="F1039" s="121">
        <v>1018</v>
      </c>
      <c r="G1039" s="123">
        <v>13</v>
      </c>
      <c r="H1039" s="103" t="s">
        <v>2159</v>
      </c>
    </row>
    <row r="1040" spans="2:8" x14ac:dyDescent="0.25">
      <c r="B1040">
        <v>1038</v>
      </c>
      <c r="C1040" t="s">
        <v>2160</v>
      </c>
      <c r="D1040">
        <v>0</v>
      </c>
      <c r="E1040" t="s">
        <v>9</v>
      </c>
      <c r="F1040" s="121">
        <v>4818</v>
      </c>
      <c r="G1040" s="123">
        <v>13</v>
      </c>
      <c r="H1040" s="103" t="s">
        <v>2161</v>
      </c>
    </row>
    <row r="1041" spans="2:8" x14ac:dyDescent="0.25">
      <c r="B1041">
        <v>1039</v>
      </c>
      <c r="C1041" t="s">
        <v>2162</v>
      </c>
      <c r="D1041">
        <v>0</v>
      </c>
      <c r="E1041" t="s">
        <v>35</v>
      </c>
      <c r="F1041" s="121" t="s">
        <v>36</v>
      </c>
      <c r="G1041" s="103" t="s">
        <v>37</v>
      </c>
      <c r="H1041" s="103" t="s">
        <v>2163</v>
      </c>
    </row>
    <row r="1042" spans="2:8" x14ac:dyDescent="0.25">
      <c r="B1042">
        <v>1040</v>
      </c>
      <c r="C1042" t="s">
        <v>2164</v>
      </c>
      <c r="D1042">
        <v>0</v>
      </c>
      <c r="E1042" t="s">
        <v>9</v>
      </c>
      <c r="F1042" s="121">
        <v>949</v>
      </c>
      <c r="G1042" s="123">
        <v>13</v>
      </c>
      <c r="H1042" s="103" t="s">
        <v>2165</v>
      </c>
    </row>
    <row r="1043" spans="2:8" x14ac:dyDescent="0.25">
      <c r="B1043">
        <v>1041</v>
      </c>
      <c r="C1043" t="s">
        <v>2166</v>
      </c>
      <c r="D1043">
        <v>0</v>
      </c>
      <c r="E1043" t="s">
        <v>9</v>
      </c>
      <c r="F1043" s="121">
        <v>250</v>
      </c>
      <c r="G1043" s="123">
        <v>13</v>
      </c>
      <c r="H1043" s="103" t="s">
        <v>2167</v>
      </c>
    </row>
    <row r="1044" spans="2:8" x14ac:dyDescent="0.25">
      <c r="B1044">
        <v>1042</v>
      </c>
      <c r="C1044" t="s">
        <v>2168</v>
      </c>
      <c r="D1044">
        <v>0</v>
      </c>
      <c r="E1044" t="s">
        <v>9</v>
      </c>
      <c r="F1044" s="121">
        <v>949</v>
      </c>
      <c r="G1044" s="123">
        <v>23</v>
      </c>
      <c r="H1044" s="103" t="s">
        <v>2169</v>
      </c>
    </row>
    <row r="1045" spans="2:8" x14ac:dyDescent="0.25">
      <c r="B1045">
        <v>1043</v>
      </c>
      <c r="C1045" t="s">
        <v>2170</v>
      </c>
      <c r="D1045">
        <v>0</v>
      </c>
      <c r="E1045" t="s">
        <v>35</v>
      </c>
      <c r="F1045" s="121" t="s">
        <v>452</v>
      </c>
      <c r="G1045" s="103" t="s">
        <v>37</v>
      </c>
      <c r="H1045" s="103" t="s">
        <v>2171</v>
      </c>
    </row>
    <row r="1046" spans="2:8" x14ac:dyDescent="0.25">
      <c r="B1046">
        <v>1044</v>
      </c>
      <c r="C1046" t="s">
        <v>2172</v>
      </c>
      <c r="D1046">
        <v>0</v>
      </c>
      <c r="E1046" t="s">
        <v>9</v>
      </c>
      <c r="F1046" s="121">
        <v>780</v>
      </c>
      <c r="G1046" s="123">
        <v>23</v>
      </c>
      <c r="H1046" s="103" t="s">
        <v>2173</v>
      </c>
    </row>
    <row r="1047" spans="2:8" x14ac:dyDescent="0.25">
      <c r="B1047">
        <v>1045</v>
      </c>
      <c r="C1047" t="s">
        <v>2174</v>
      </c>
      <c r="D1047">
        <v>0</v>
      </c>
      <c r="E1047" t="s">
        <v>9</v>
      </c>
      <c r="F1047" s="121">
        <v>4825</v>
      </c>
      <c r="G1047" s="123">
        <v>13</v>
      </c>
      <c r="H1047" s="103" t="s">
        <v>1932</v>
      </c>
    </row>
    <row r="1048" spans="2:8" x14ac:dyDescent="0.25">
      <c r="B1048">
        <v>1046</v>
      </c>
      <c r="C1048" t="s">
        <v>2175</v>
      </c>
      <c r="D1048" t="s">
        <v>5155</v>
      </c>
      <c r="E1048" t="s">
        <v>9</v>
      </c>
      <c r="F1048" s="121">
        <v>4825</v>
      </c>
      <c r="G1048" s="123">
        <v>1288</v>
      </c>
      <c r="H1048" s="103" t="s">
        <v>2176</v>
      </c>
    </row>
    <row r="1049" spans="2:8" x14ac:dyDescent="0.25">
      <c r="B1049">
        <v>1047</v>
      </c>
      <c r="C1049" t="s">
        <v>2177</v>
      </c>
      <c r="D1049">
        <v>0</v>
      </c>
      <c r="E1049" t="s">
        <v>9</v>
      </c>
      <c r="F1049" s="121">
        <v>780</v>
      </c>
      <c r="G1049" s="123">
        <v>23</v>
      </c>
      <c r="H1049" s="103" t="s">
        <v>2178</v>
      </c>
    </row>
    <row r="1050" spans="2:8" x14ac:dyDescent="0.25">
      <c r="B1050">
        <v>1048</v>
      </c>
      <c r="C1050" t="s">
        <v>2179</v>
      </c>
      <c r="D1050">
        <v>0</v>
      </c>
      <c r="E1050" t="s">
        <v>35</v>
      </c>
      <c r="F1050" s="121" t="s">
        <v>36</v>
      </c>
      <c r="G1050" s="103" t="s">
        <v>37</v>
      </c>
      <c r="H1050" s="103" t="s">
        <v>2180</v>
      </c>
    </row>
    <row r="1051" spans="2:8" x14ac:dyDescent="0.25">
      <c r="B1051">
        <v>1049</v>
      </c>
      <c r="C1051" t="s">
        <v>2181</v>
      </c>
      <c r="D1051">
        <v>0</v>
      </c>
      <c r="E1051" t="s">
        <v>9</v>
      </c>
      <c r="F1051" s="121">
        <v>4825</v>
      </c>
      <c r="G1051" s="123">
        <v>13</v>
      </c>
      <c r="H1051" s="103" t="s">
        <v>2182</v>
      </c>
    </row>
    <row r="1052" spans="2:8" x14ac:dyDescent="0.25">
      <c r="B1052">
        <v>1050</v>
      </c>
      <c r="C1052" t="s">
        <v>2183</v>
      </c>
      <c r="D1052">
        <v>0</v>
      </c>
      <c r="E1052" t="s">
        <v>9</v>
      </c>
      <c r="F1052" s="121">
        <v>780</v>
      </c>
      <c r="G1052" s="123">
        <v>23</v>
      </c>
      <c r="H1052" s="103" t="s">
        <v>2184</v>
      </c>
    </row>
    <row r="1053" spans="2:8" x14ac:dyDescent="0.25">
      <c r="B1053">
        <v>1051</v>
      </c>
      <c r="C1053" t="s">
        <v>2185</v>
      </c>
      <c r="D1053">
        <v>0</v>
      </c>
      <c r="E1053" t="s">
        <v>9</v>
      </c>
      <c r="F1053" s="121">
        <v>4818</v>
      </c>
      <c r="G1053" s="123">
        <v>13</v>
      </c>
      <c r="H1053" s="103" t="s">
        <v>2186</v>
      </c>
    </row>
    <row r="1054" spans="2:8" x14ac:dyDescent="0.25">
      <c r="B1054">
        <v>1052</v>
      </c>
      <c r="C1054" t="s">
        <v>2187</v>
      </c>
      <c r="D1054">
        <v>0</v>
      </c>
      <c r="E1054" t="s">
        <v>9</v>
      </c>
      <c r="F1054" s="121">
        <v>4825</v>
      </c>
      <c r="G1054" s="123">
        <v>13</v>
      </c>
      <c r="H1054" s="103" t="s">
        <v>2188</v>
      </c>
    </row>
    <row r="1055" spans="2:8" x14ac:dyDescent="0.25">
      <c r="B1055">
        <v>1053</v>
      </c>
      <c r="C1055" t="s">
        <v>2189</v>
      </c>
      <c r="D1055">
        <v>0</v>
      </c>
      <c r="E1055" t="s">
        <v>9</v>
      </c>
      <c r="F1055" s="121">
        <v>4825</v>
      </c>
      <c r="G1055" s="123">
        <v>13</v>
      </c>
      <c r="H1055" s="103" t="s">
        <v>2190</v>
      </c>
    </row>
    <row r="1056" spans="2:8" x14ac:dyDescent="0.25">
      <c r="B1056">
        <v>1054</v>
      </c>
      <c r="C1056" t="s">
        <v>2191</v>
      </c>
      <c r="D1056">
        <v>0</v>
      </c>
      <c r="E1056" t="s">
        <v>9</v>
      </c>
      <c r="F1056" s="121">
        <v>4825</v>
      </c>
      <c r="G1056" s="123">
        <v>13</v>
      </c>
      <c r="H1056" s="103" t="s">
        <v>2192</v>
      </c>
    </row>
    <row r="1057" spans="2:8" x14ac:dyDescent="0.25">
      <c r="B1057">
        <v>1055</v>
      </c>
      <c r="C1057" t="s">
        <v>2193</v>
      </c>
      <c r="D1057" t="s">
        <v>5299</v>
      </c>
      <c r="E1057" t="s">
        <v>9</v>
      </c>
      <c r="F1057" s="121">
        <v>4825</v>
      </c>
      <c r="G1057" s="123">
        <v>13</v>
      </c>
      <c r="H1057" s="103" t="s">
        <v>2194</v>
      </c>
    </row>
    <row r="1058" spans="2:8" x14ac:dyDescent="0.25">
      <c r="B1058">
        <v>1056</v>
      </c>
      <c r="C1058" t="s">
        <v>2195</v>
      </c>
      <c r="D1058">
        <v>0</v>
      </c>
      <c r="E1058" t="s">
        <v>9</v>
      </c>
      <c r="F1058" s="121">
        <v>1086</v>
      </c>
      <c r="G1058" s="123">
        <v>13</v>
      </c>
      <c r="H1058" s="103" t="s">
        <v>2196</v>
      </c>
    </row>
    <row r="1059" spans="2:8" x14ac:dyDescent="0.25">
      <c r="B1059">
        <v>1057</v>
      </c>
      <c r="C1059" t="s">
        <v>2197</v>
      </c>
      <c r="D1059">
        <v>0</v>
      </c>
      <c r="E1059" t="s">
        <v>9</v>
      </c>
      <c r="F1059" s="121">
        <v>4825</v>
      </c>
      <c r="G1059" s="123">
        <v>13</v>
      </c>
      <c r="H1059" s="103" t="s">
        <v>2198</v>
      </c>
    </row>
    <row r="1060" spans="2:8" x14ac:dyDescent="0.25">
      <c r="B1060">
        <v>1058</v>
      </c>
      <c r="C1060" t="s">
        <v>2199</v>
      </c>
      <c r="D1060">
        <v>0</v>
      </c>
      <c r="E1060" t="s">
        <v>9</v>
      </c>
      <c r="F1060" s="121">
        <v>4818</v>
      </c>
      <c r="G1060" s="123">
        <v>13</v>
      </c>
      <c r="H1060" s="103" t="s">
        <v>2200</v>
      </c>
    </row>
    <row r="1061" spans="2:8" x14ac:dyDescent="0.25">
      <c r="B1061">
        <v>1059</v>
      </c>
      <c r="C1061" t="s">
        <v>1966</v>
      </c>
      <c r="D1061">
        <v>0</v>
      </c>
      <c r="E1061" t="s">
        <v>9</v>
      </c>
      <c r="F1061" s="121">
        <v>4818</v>
      </c>
      <c r="G1061" s="123">
        <v>23</v>
      </c>
      <c r="H1061" s="103" t="s">
        <v>2201</v>
      </c>
    </row>
    <row r="1062" spans="2:8" x14ac:dyDescent="0.25">
      <c r="B1062">
        <v>1060</v>
      </c>
      <c r="C1062" t="s">
        <v>2202</v>
      </c>
      <c r="D1062">
        <v>0</v>
      </c>
      <c r="E1062" t="s">
        <v>9</v>
      </c>
      <c r="F1062" s="121">
        <v>4601</v>
      </c>
      <c r="G1062" s="123">
        <v>13</v>
      </c>
      <c r="H1062" s="103" t="s">
        <v>2203</v>
      </c>
    </row>
    <row r="1063" spans="2:8" x14ac:dyDescent="0.25">
      <c r="B1063">
        <v>1061</v>
      </c>
      <c r="C1063" t="s">
        <v>2204</v>
      </c>
      <c r="D1063">
        <v>0</v>
      </c>
      <c r="E1063" t="s">
        <v>9</v>
      </c>
      <c r="F1063" s="121">
        <v>4601</v>
      </c>
      <c r="G1063" s="123">
        <v>13</v>
      </c>
      <c r="H1063" s="103" t="s">
        <v>2205</v>
      </c>
    </row>
    <row r="1064" spans="2:8" x14ac:dyDescent="0.25">
      <c r="B1064">
        <v>1062</v>
      </c>
      <c r="C1064" t="s">
        <v>2206</v>
      </c>
      <c r="D1064">
        <v>0</v>
      </c>
      <c r="E1064" t="s">
        <v>9</v>
      </c>
      <c r="F1064" s="121">
        <v>3788</v>
      </c>
      <c r="G1064" s="123">
        <v>13</v>
      </c>
      <c r="H1064" s="103" t="s">
        <v>2207</v>
      </c>
    </row>
    <row r="1065" spans="2:8" x14ac:dyDescent="0.25">
      <c r="B1065">
        <v>1063</v>
      </c>
      <c r="C1065" t="s">
        <v>2208</v>
      </c>
      <c r="D1065">
        <v>0</v>
      </c>
      <c r="E1065" t="s">
        <v>9</v>
      </c>
      <c r="F1065" s="121">
        <v>4825</v>
      </c>
      <c r="G1065" s="123">
        <v>13</v>
      </c>
      <c r="H1065" s="103" t="s">
        <v>2209</v>
      </c>
    </row>
    <row r="1066" spans="2:8" x14ac:dyDescent="0.25">
      <c r="B1066">
        <v>1064</v>
      </c>
      <c r="C1066" t="s">
        <v>2210</v>
      </c>
      <c r="D1066">
        <v>0</v>
      </c>
      <c r="E1066" t="s">
        <v>9</v>
      </c>
      <c r="F1066" s="121">
        <v>4825</v>
      </c>
      <c r="G1066" s="123">
        <v>13</v>
      </c>
      <c r="H1066" s="103" t="s">
        <v>2211</v>
      </c>
    </row>
    <row r="1067" spans="2:8" x14ac:dyDescent="0.25">
      <c r="B1067">
        <v>1065</v>
      </c>
      <c r="C1067" t="s">
        <v>2212</v>
      </c>
      <c r="D1067">
        <v>0</v>
      </c>
      <c r="E1067" t="s">
        <v>35</v>
      </c>
      <c r="F1067" s="121" t="s">
        <v>36</v>
      </c>
      <c r="G1067" s="103" t="s">
        <v>37</v>
      </c>
      <c r="H1067" s="103" t="s">
        <v>2213</v>
      </c>
    </row>
    <row r="1068" spans="2:8" x14ac:dyDescent="0.25">
      <c r="B1068">
        <v>1066</v>
      </c>
      <c r="C1068" t="s">
        <v>2214</v>
      </c>
      <c r="D1068">
        <v>0</v>
      </c>
      <c r="E1068" t="s">
        <v>9</v>
      </c>
      <c r="F1068" s="121">
        <v>2734</v>
      </c>
      <c r="G1068" s="123">
        <v>13</v>
      </c>
      <c r="H1068" s="103" t="s">
        <v>2215</v>
      </c>
    </row>
    <row r="1069" spans="2:8" x14ac:dyDescent="0.25">
      <c r="B1069">
        <v>1067</v>
      </c>
      <c r="C1069" t="s">
        <v>2216</v>
      </c>
      <c r="D1069">
        <v>0</v>
      </c>
      <c r="E1069" t="s">
        <v>9</v>
      </c>
      <c r="F1069" s="121">
        <v>780</v>
      </c>
      <c r="G1069" s="123">
        <v>13</v>
      </c>
      <c r="H1069" s="103" t="s">
        <v>2217</v>
      </c>
    </row>
    <row r="1070" spans="2:8" x14ac:dyDescent="0.25">
      <c r="B1070">
        <v>1068</v>
      </c>
      <c r="C1070" t="s">
        <v>2218</v>
      </c>
      <c r="D1070">
        <v>0</v>
      </c>
      <c r="E1070" t="s">
        <v>9</v>
      </c>
      <c r="F1070" s="121">
        <v>2734</v>
      </c>
      <c r="G1070" s="123">
        <v>13</v>
      </c>
      <c r="H1070" s="103" t="s">
        <v>2219</v>
      </c>
    </row>
    <row r="1071" spans="2:8" x14ac:dyDescent="0.25">
      <c r="B1071">
        <v>1069</v>
      </c>
      <c r="C1071" t="s">
        <v>2220</v>
      </c>
      <c r="D1071">
        <v>0</v>
      </c>
      <c r="E1071" t="s">
        <v>9</v>
      </c>
      <c r="F1071" s="121">
        <v>4818</v>
      </c>
      <c r="G1071" s="123">
        <v>13</v>
      </c>
      <c r="H1071" s="103" t="s">
        <v>2221</v>
      </c>
    </row>
    <row r="1072" spans="2:8" x14ac:dyDescent="0.25">
      <c r="B1072">
        <v>1070</v>
      </c>
      <c r="C1072" t="s">
        <v>2222</v>
      </c>
      <c r="D1072">
        <v>0</v>
      </c>
      <c r="E1072" t="s">
        <v>35</v>
      </c>
      <c r="F1072" s="121" t="s">
        <v>532</v>
      </c>
      <c r="G1072" s="103" t="s">
        <v>37</v>
      </c>
      <c r="H1072" s="103" t="s">
        <v>2223</v>
      </c>
    </row>
    <row r="1073" spans="2:8" x14ac:dyDescent="0.25">
      <c r="B1073">
        <v>1071</v>
      </c>
      <c r="C1073" t="s">
        <v>2224</v>
      </c>
      <c r="D1073">
        <v>0</v>
      </c>
      <c r="E1073" t="s">
        <v>9</v>
      </c>
      <c r="F1073" s="121">
        <v>4825</v>
      </c>
      <c r="G1073" s="103" t="s">
        <v>37</v>
      </c>
      <c r="H1073" s="103" t="s">
        <v>1163</v>
      </c>
    </row>
    <row r="1074" spans="2:8" x14ac:dyDescent="0.25">
      <c r="B1074">
        <v>1072</v>
      </c>
      <c r="C1074" t="s">
        <v>2225</v>
      </c>
      <c r="D1074">
        <v>0</v>
      </c>
      <c r="E1074" t="s">
        <v>9</v>
      </c>
      <c r="F1074" s="121">
        <v>13</v>
      </c>
      <c r="G1074" s="123">
        <v>23</v>
      </c>
      <c r="H1074" s="103" t="s">
        <v>2226</v>
      </c>
    </row>
    <row r="1075" spans="2:8" x14ac:dyDescent="0.25">
      <c r="B1075">
        <v>1073</v>
      </c>
      <c r="C1075" t="s">
        <v>2227</v>
      </c>
      <c r="D1075" t="s">
        <v>2228</v>
      </c>
      <c r="E1075" t="s">
        <v>9</v>
      </c>
      <c r="F1075" s="121">
        <v>4818</v>
      </c>
      <c r="G1075" s="123"/>
      <c r="H1075" s="103" t="s">
        <v>2229</v>
      </c>
    </row>
    <row r="1076" spans="2:8" x14ac:dyDescent="0.25">
      <c r="B1076">
        <v>1074</v>
      </c>
      <c r="C1076" t="s">
        <v>2230</v>
      </c>
      <c r="D1076" t="s">
        <v>2231</v>
      </c>
      <c r="E1076" t="s">
        <v>9</v>
      </c>
      <c r="F1076" s="121">
        <v>4818</v>
      </c>
      <c r="G1076" s="123"/>
      <c r="H1076" s="103" t="s">
        <v>2232</v>
      </c>
    </row>
    <row r="1077" spans="2:8" x14ac:dyDescent="0.25">
      <c r="B1077">
        <v>1075</v>
      </c>
      <c r="C1077" t="s">
        <v>2233</v>
      </c>
      <c r="D1077">
        <v>0</v>
      </c>
      <c r="E1077" t="s">
        <v>9</v>
      </c>
      <c r="F1077" s="121">
        <v>2734</v>
      </c>
      <c r="G1077" s="123">
        <v>13</v>
      </c>
      <c r="H1077" s="103" t="s">
        <v>2234</v>
      </c>
    </row>
    <row r="1078" spans="2:8" x14ac:dyDescent="0.25">
      <c r="B1078">
        <v>1076</v>
      </c>
      <c r="C1078" t="s">
        <v>2235</v>
      </c>
      <c r="D1078">
        <v>0</v>
      </c>
      <c r="E1078" t="s">
        <v>9</v>
      </c>
      <c r="F1078" s="121">
        <v>3587</v>
      </c>
      <c r="G1078" s="123">
        <v>13</v>
      </c>
      <c r="H1078" s="103" t="s">
        <v>2236</v>
      </c>
    </row>
    <row r="1079" spans="2:8" x14ac:dyDescent="0.25">
      <c r="B1079">
        <v>1077</v>
      </c>
      <c r="C1079" t="s">
        <v>2237</v>
      </c>
      <c r="D1079">
        <v>0</v>
      </c>
      <c r="E1079" t="s">
        <v>9</v>
      </c>
      <c r="F1079" s="121">
        <v>566</v>
      </c>
      <c r="G1079" s="123">
        <v>13</v>
      </c>
      <c r="H1079" s="103" t="s">
        <v>812</v>
      </c>
    </row>
    <row r="1080" spans="2:8" x14ac:dyDescent="0.25">
      <c r="B1080">
        <v>1078</v>
      </c>
      <c r="C1080" t="s">
        <v>2238</v>
      </c>
      <c r="D1080">
        <v>0</v>
      </c>
      <c r="E1080" t="s">
        <v>21</v>
      </c>
      <c r="F1080" s="121">
        <v>3801</v>
      </c>
      <c r="G1080" s="103" t="s">
        <v>37</v>
      </c>
      <c r="H1080" s="103" t="s">
        <v>2239</v>
      </c>
    </row>
    <row r="1081" spans="2:8" x14ac:dyDescent="0.25">
      <c r="B1081">
        <v>1079</v>
      </c>
      <c r="C1081" t="s">
        <v>2240</v>
      </c>
      <c r="D1081">
        <v>0</v>
      </c>
      <c r="E1081" t="s">
        <v>9</v>
      </c>
      <c r="F1081" s="121">
        <v>4825</v>
      </c>
      <c r="G1081" s="123">
        <v>13</v>
      </c>
      <c r="H1081" s="103" t="s">
        <v>2241</v>
      </c>
    </row>
    <row r="1082" spans="2:8" x14ac:dyDescent="0.25">
      <c r="B1082">
        <v>1080</v>
      </c>
      <c r="C1082" t="s">
        <v>2242</v>
      </c>
      <c r="D1082">
        <v>0</v>
      </c>
      <c r="E1082" t="s">
        <v>21</v>
      </c>
      <c r="F1082" s="121" t="s">
        <v>44</v>
      </c>
      <c r="G1082" s="103" t="s">
        <v>37</v>
      </c>
      <c r="H1082" s="103" t="s">
        <v>2243</v>
      </c>
    </row>
    <row r="1083" spans="2:8" x14ac:dyDescent="0.25">
      <c r="B1083">
        <v>1081</v>
      </c>
      <c r="C1083" t="s">
        <v>2244</v>
      </c>
      <c r="D1083">
        <v>0</v>
      </c>
      <c r="E1083" t="s">
        <v>9</v>
      </c>
      <c r="F1083" s="121">
        <v>4825</v>
      </c>
      <c r="G1083" s="123">
        <v>13</v>
      </c>
      <c r="H1083" s="103" t="s">
        <v>2245</v>
      </c>
    </row>
    <row r="1084" spans="2:8" x14ac:dyDescent="0.25">
      <c r="B1084">
        <v>1082</v>
      </c>
      <c r="C1084" t="s">
        <v>2246</v>
      </c>
      <c r="D1084">
        <v>0</v>
      </c>
      <c r="E1084" t="s">
        <v>9</v>
      </c>
      <c r="F1084" s="121">
        <v>709</v>
      </c>
      <c r="G1084" s="123">
        <v>13</v>
      </c>
      <c r="H1084" s="103" t="s">
        <v>2247</v>
      </c>
    </row>
    <row r="1085" spans="2:8" x14ac:dyDescent="0.25">
      <c r="B1085">
        <v>1083</v>
      </c>
      <c r="C1085" t="s">
        <v>2248</v>
      </c>
      <c r="D1085">
        <v>0</v>
      </c>
      <c r="E1085" t="s">
        <v>9</v>
      </c>
      <c r="F1085" s="121">
        <v>4825</v>
      </c>
      <c r="G1085" s="123">
        <v>13</v>
      </c>
      <c r="H1085" s="103" t="s">
        <v>2249</v>
      </c>
    </row>
    <row r="1086" spans="2:8" x14ac:dyDescent="0.25">
      <c r="B1086">
        <v>1084</v>
      </c>
      <c r="C1086" t="s">
        <v>2250</v>
      </c>
      <c r="D1086">
        <v>0</v>
      </c>
      <c r="E1086" t="s">
        <v>9</v>
      </c>
      <c r="F1086" s="121">
        <v>4825</v>
      </c>
      <c r="G1086" s="123">
        <v>13</v>
      </c>
      <c r="H1086" s="103" t="s">
        <v>2251</v>
      </c>
    </row>
    <row r="1087" spans="2:8" x14ac:dyDescent="0.25">
      <c r="B1087">
        <v>1085</v>
      </c>
      <c r="C1087" t="s">
        <v>2252</v>
      </c>
      <c r="D1087">
        <v>0</v>
      </c>
      <c r="E1087" t="s">
        <v>9</v>
      </c>
      <c r="F1087" s="121">
        <v>3653</v>
      </c>
      <c r="G1087" s="123">
        <v>13</v>
      </c>
      <c r="H1087" s="103" t="s">
        <v>1159</v>
      </c>
    </row>
    <row r="1088" spans="2:8" x14ac:dyDescent="0.25">
      <c r="B1088">
        <v>1086</v>
      </c>
      <c r="C1088" t="s">
        <v>2253</v>
      </c>
      <c r="D1088">
        <v>0</v>
      </c>
      <c r="E1088" t="s">
        <v>9</v>
      </c>
      <c r="F1088" s="121">
        <v>4825</v>
      </c>
      <c r="G1088" s="123">
        <v>13</v>
      </c>
      <c r="H1088" s="103" t="s">
        <v>2254</v>
      </c>
    </row>
    <row r="1089" spans="2:8" x14ac:dyDescent="0.25">
      <c r="B1089">
        <v>1087</v>
      </c>
      <c r="C1089" t="s">
        <v>2255</v>
      </c>
      <c r="D1089">
        <v>0</v>
      </c>
      <c r="E1089" t="s">
        <v>9</v>
      </c>
      <c r="F1089" s="121">
        <v>4825</v>
      </c>
      <c r="G1089" s="123">
        <v>13</v>
      </c>
      <c r="H1089" s="103" t="s">
        <v>2256</v>
      </c>
    </row>
    <row r="1090" spans="2:8" x14ac:dyDescent="0.25">
      <c r="B1090">
        <v>1088</v>
      </c>
      <c r="C1090" t="s">
        <v>2257</v>
      </c>
      <c r="D1090">
        <v>0</v>
      </c>
      <c r="E1090" t="s">
        <v>9</v>
      </c>
      <c r="F1090" s="121">
        <v>4825</v>
      </c>
      <c r="G1090" s="123">
        <v>13</v>
      </c>
      <c r="H1090" s="103" t="s">
        <v>2258</v>
      </c>
    </row>
    <row r="1091" spans="2:8" x14ac:dyDescent="0.25">
      <c r="B1091">
        <v>1089</v>
      </c>
      <c r="C1091" t="s">
        <v>2259</v>
      </c>
      <c r="D1091">
        <v>0</v>
      </c>
      <c r="E1091" t="s">
        <v>9</v>
      </c>
      <c r="F1091" s="121">
        <v>4825</v>
      </c>
      <c r="G1091" s="123">
        <v>13</v>
      </c>
      <c r="H1091" s="103" t="s">
        <v>2260</v>
      </c>
    </row>
    <row r="1092" spans="2:8" x14ac:dyDescent="0.25">
      <c r="B1092">
        <v>1090</v>
      </c>
      <c r="C1092" t="s">
        <v>2261</v>
      </c>
      <c r="D1092">
        <v>0</v>
      </c>
      <c r="E1092" t="s">
        <v>9</v>
      </c>
      <c r="F1092" s="121">
        <v>4825</v>
      </c>
      <c r="G1092" s="123">
        <v>13</v>
      </c>
      <c r="H1092" s="103" t="s">
        <v>2262</v>
      </c>
    </row>
    <row r="1093" spans="2:8" x14ac:dyDescent="0.25">
      <c r="B1093">
        <v>1091</v>
      </c>
      <c r="C1093" t="s">
        <v>2263</v>
      </c>
      <c r="D1093">
        <v>0</v>
      </c>
      <c r="E1093" t="s">
        <v>9</v>
      </c>
      <c r="F1093" s="121">
        <v>4825</v>
      </c>
      <c r="G1093" s="123">
        <v>13</v>
      </c>
      <c r="H1093" s="103" t="s">
        <v>2264</v>
      </c>
    </row>
    <row r="1094" spans="2:8" x14ac:dyDescent="0.25">
      <c r="B1094">
        <v>1092</v>
      </c>
      <c r="C1094" t="s">
        <v>2265</v>
      </c>
      <c r="D1094">
        <v>0</v>
      </c>
      <c r="E1094" t="s">
        <v>9</v>
      </c>
      <c r="F1094" s="121">
        <v>2734</v>
      </c>
      <c r="G1094" s="123">
        <v>23</v>
      </c>
      <c r="H1094" s="103" t="s">
        <v>2266</v>
      </c>
    </row>
    <row r="1095" spans="2:8" x14ac:dyDescent="0.25">
      <c r="B1095">
        <v>1093</v>
      </c>
      <c r="C1095" t="s">
        <v>2267</v>
      </c>
      <c r="D1095">
        <v>0</v>
      </c>
      <c r="E1095" t="s">
        <v>9</v>
      </c>
      <c r="F1095" s="121">
        <v>4825</v>
      </c>
      <c r="G1095" s="123">
        <v>13</v>
      </c>
      <c r="H1095" s="103" t="s">
        <v>2268</v>
      </c>
    </row>
    <row r="1096" spans="2:8" x14ac:dyDescent="0.25">
      <c r="B1096">
        <v>1094</v>
      </c>
      <c r="C1096" t="s">
        <v>2269</v>
      </c>
      <c r="D1096">
        <v>0</v>
      </c>
      <c r="E1096" t="s">
        <v>9</v>
      </c>
      <c r="F1096" s="121">
        <v>4825</v>
      </c>
      <c r="G1096" s="123">
        <v>13</v>
      </c>
      <c r="H1096" s="103" t="s">
        <v>2270</v>
      </c>
    </row>
    <row r="1097" spans="2:8" x14ac:dyDescent="0.25">
      <c r="B1097">
        <v>1095</v>
      </c>
      <c r="C1097" t="s">
        <v>2271</v>
      </c>
      <c r="D1097">
        <v>0</v>
      </c>
      <c r="E1097" t="s">
        <v>9</v>
      </c>
      <c r="F1097" s="121">
        <v>4818</v>
      </c>
      <c r="G1097" s="123">
        <v>13</v>
      </c>
      <c r="H1097" s="103" t="s">
        <v>2272</v>
      </c>
    </row>
    <row r="1098" spans="2:8" x14ac:dyDescent="0.25">
      <c r="B1098">
        <v>1096</v>
      </c>
      <c r="C1098" t="s">
        <v>2273</v>
      </c>
      <c r="D1098" t="s">
        <v>2274</v>
      </c>
      <c r="E1098" t="s">
        <v>21</v>
      </c>
      <c r="F1098" s="121" t="s">
        <v>264</v>
      </c>
      <c r="G1098" s="103" t="s">
        <v>22</v>
      </c>
      <c r="H1098" s="103" t="s">
        <v>2275</v>
      </c>
    </row>
    <row r="1099" spans="2:8" x14ac:dyDescent="0.25">
      <c r="B1099">
        <v>1097</v>
      </c>
      <c r="C1099" t="s">
        <v>2276</v>
      </c>
      <c r="D1099">
        <v>0</v>
      </c>
      <c r="E1099" t="s">
        <v>9</v>
      </c>
      <c r="F1099" s="121">
        <v>4825</v>
      </c>
      <c r="G1099" s="123">
        <v>13</v>
      </c>
      <c r="H1099" s="103" t="s">
        <v>2277</v>
      </c>
    </row>
    <row r="1100" spans="2:8" x14ac:dyDescent="0.25">
      <c r="B1100">
        <v>1098</v>
      </c>
      <c r="C1100" t="s">
        <v>2278</v>
      </c>
      <c r="D1100">
        <v>0</v>
      </c>
      <c r="E1100" t="s">
        <v>9</v>
      </c>
      <c r="F1100" s="121">
        <v>2734</v>
      </c>
      <c r="G1100" s="123">
        <v>13</v>
      </c>
      <c r="H1100" s="103" t="s">
        <v>2279</v>
      </c>
    </row>
    <row r="1101" spans="2:8" x14ac:dyDescent="0.25">
      <c r="B1101">
        <v>1099</v>
      </c>
      <c r="C1101" t="s">
        <v>2280</v>
      </c>
      <c r="D1101">
        <v>0</v>
      </c>
      <c r="E1101" t="s">
        <v>9</v>
      </c>
      <c r="F1101" s="121">
        <v>4825</v>
      </c>
      <c r="G1101" s="123">
        <v>13</v>
      </c>
      <c r="H1101" s="103" t="s">
        <v>2281</v>
      </c>
    </row>
    <row r="1102" spans="2:8" x14ac:dyDescent="0.25">
      <c r="B1102">
        <v>1100</v>
      </c>
      <c r="C1102" t="s">
        <v>2282</v>
      </c>
      <c r="D1102" t="s">
        <v>2283</v>
      </c>
      <c r="E1102" t="s">
        <v>9</v>
      </c>
      <c r="F1102" s="121">
        <v>4825</v>
      </c>
      <c r="G1102" s="123" t="s">
        <v>37</v>
      </c>
      <c r="H1102" s="103" t="s">
        <v>2284</v>
      </c>
    </row>
    <row r="1103" spans="2:8" x14ac:dyDescent="0.25">
      <c r="B1103">
        <v>1101</v>
      </c>
      <c r="C1103" t="s">
        <v>2285</v>
      </c>
      <c r="D1103" t="s">
        <v>2286</v>
      </c>
      <c r="E1103" t="s">
        <v>9</v>
      </c>
      <c r="F1103" s="121">
        <v>4825</v>
      </c>
      <c r="H1103" s="103" t="s">
        <v>2287</v>
      </c>
    </row>
    <row r="1104" spans="2:8" x14ac:dyDescent="0.25">
      <c r="B1104">
        <v>1102</v>
      </c>
      <c r="C1104" t="s">
        <v>2288</v>
      </c>
      <c r="D1104">
        <v>0</v>
      </c>
      <c r="E1104" t="s">
        <v>9</v>
      </c>
      <c r="F1104" s="121">
        <v>780</v>
      </c>
      <c r="G1104" s="123">
        <v>23</v>
      </c>
      <c r="H1104" s="103" t="s">
        <v>2289</v>
      </c>
    </row>
    <row r="1105" spans="2:8" x14ac:dyDescent="0.25">
      <c r="B1105">
        <v>1103</v>
      </c>
      <c r="C1105" t="s">
        <v>2290</v>
      </c>
      <c r="D1105">
        <v>0</v>
      </c>
      <c r="E1105" t="s">
        <v>9</v>
      </c>
      <c r="F1105" s="121">
        <v>2734</v>
      </c>
      <c r="G1105" s="123">
        <v>13</v>
      </c>
      <c r="H1105" s="103" t="s">
        <v>2291</v>
      </c>
    </row>
    <row r="1106" spans="2:8" x14ac:dyDescent="0.25">
      <c r="B1106">
        <v>1104</v>
      </c>
      <c r="C1106" t="s">
        <v>2292</v>
      </c>
      <c r="D1106">
        <v>0</v>
      </c>
      <c r="E1106" t="s">
        <v>9</v>
      </c>
      <c r="F1106" s="121">
        <v>4825</v>
      </c>
      <c r="G1106" s="123">
        <v>13</v>
      </c>
      <c r="H1106" s="103" t="s">
        <v>2293</v>
      </c>
    </row>
    <row r="1107" spans="2:8" x14ac:dyDescent="0.25">
      <c r="B1107">
        <v>1105</v>
      </c>
      <c r="C1107" t="s">
        <v>2294</v>
      </c>
      <c r="D1107" t="s">
        <v>2295</v>
      </c>
      <c r="E1107" t="s">
        <v>9</v>
      </c>
      <c r="F1107" s="121">
        <v>949</v>
      </c>
      <c r="G1107" s="123">
        <v>23</v>
      </c>
      <c r="H1107" s="103" t="s">
        <v>2296</v>
      </c>
    </row>
    <row r="1108" spans="2:8" x14ac:dyDescent="0.25">
      <c r="B1108">
        <v>1106</v>
      </c>
      <c r="C1108" t="s">
        <v>2297</v>
      </c>
      <c r="D1108">
        <v>0</v>
      </c>
      <c r="E1108" t="s">
        <v>9</v>
      </c>
      <c r="F1108" s="121">
        <v>4825</v>
      </c>
      <c r="G1108" s="123">
        <v>13</v>
      </c>
      <c r="H1108" s="103" t="s">
        <v>2298</v>
      </c>
    </row>
    <row r="1109" spans="2:8" x14ac:dyDescent="0.25">
      <c r="B1109">
        <v>1107</v>
      </c>
      <c r="C1109" t="s">
        <v>2299</v>
      </c>
      <c r="D1109">
        <v>0</v>
      </c>
      <c r="E1109" t="s">
        <v>9</v>
      </c>
      <c r="F1109" s="121">
        <v>4825</v>
      </c>
      <c r="G1109" s="123">
        <v>13</v>
      </c>
      <c r="H1109" s="103" t="s">
        <v>2300</v>
      </c>
    </row>
    <row r="1110" spans="2:8" x14ac:dyDescent="0.25">
      <c r="B1110">
        <v>1108</v>
      </c>
      <c r="C1110" t="s">
        <v>2301</v>
      </c>
      <c r="D1110">
        <v>0</v>
      </c>
      <c r="E1110" t="s">
        <v>9</v>
      </c>
      <c r="F1110" s="121">
        <v>949</v>
      </c>
      <c r="G1110" s="123">
        <v>13</v>
      </c>
      <c r="H1110" s="103" t="s">
        <v>2302</v>
      </c>
    </row>
    <row r="1111" spans="2:8" x14ac:dyDescent="0.25">
      <c r="B1111">
        <v>1109</v>
      </c>
      <c r="C1111" t="s">
        <v>2303</v>
      </c>
      <c r="D1111">
        <v>0</v>
      </c>
      <c r="E1111" t="s">
        <v>9</v>
      </c>
      <c r="F1111" s="121">
        <v>4825</v>
      </c>
      <c r="G1111" s="123">
        <v>13</v>
      </c>
      <c r="H1111" s="103" t="s">
        <v>2304</v>
      </c>
    </row>
    <row r="1112" spans="2:8" x14ac:dyDescent="0.25">
      <c r="B1112">
        <v>1110</v>
      </c>
      <c r="C1112" t="s">
        <v>2305</v>
      </c>
      <c r="D1112">
        <v>0</v>
      </c>
      <c r="E1112" t="s">
        <v>9</v>
      </c>
      <c r="F1112" s="121">
        <v>949</v>
      </c>
      <c r="G1112" s="123">
        <v>23</v>
      </c>
      <c r="H1112" s="103" t="s">
        <v>2306</v>
      </c>
    </row>
    <row r="1113" spans="2:8" x14ac:dyDescent="0.25">
      <c r="B1113">
        <v>1111</v>
      </c>
      <c r="C1113" t="s">
        <v>2307</v>
      </c>
      <c r="D1113">
        <v>0</v>
      </c>
      <c r="E1113" t="s">
        <v>9</v>
      </c>
      <c r="F1113" s="121">
        <v>2281</v>
      </c>
      <c r="G1113" s="123">
        <v>13</v>
      </c>
      <c r="H1113" s="103" t="s">
        <v>2308</v>
      </c>
    </row>
    <row r="1114" spans="2:8" x14ac:dyDescent="0.25">
      <c r="B1114">
        <v>1112</v>
      </c>
      <c r="C1114" t="s">
        <v>2309</v>
      </c>
      <c r="D1114">
        <v>0</v>
      </c>
      <c r="E1114" t="s">
        <v>9</v>
      </c>
      <c r="F1114" s="121">
        <v>780</v>
      </c>
      <c r="G1114" s="123">
        <v>23</v>
      </c>
      <c r="H1114" s="103" t="s">
        <v>2310</v>
      </c>
    </row>
    <row r="1115" spans="2:8" x14ac:dyDescent="0.25">
      <c r="B1115">
        <v>1113</v>
      </c>
      <c r="C1115" t="s">
        <v>2311</v>
      </c>
      <c r="D1115">
        <v>0</v>
      </c>
      <c r="E1115" t="s">
        <v>9</v>
      </c>
      <c r="F1115" s="121">
        <v>4825</v>
      </c>
      <c r="G1115" s="123">
        <v>13</v>
      </c>
      <c r="H1115" s="103" t="s">
        <v>2312</v>
      </c>
    </row>
    <row r="1116" spans="2:8" x14ac:dyDescent="0.25">
      <c r="B1116">
        <v>1114</v>
      </c>
      <c r="C1116" t="s">
        <v>2313</v>
      </c>
      <c r="D1116">
        <v>0</v>
      </c>
      <c r="E1116" t="s">
        <v>9</v>
      </c>
      <c r="F1116" s="121">
        <v>780</v>
      </c>
      <c r="G1116" s="123">
        <v>23</v>
      </c>
      <c r="H1116" s="103" t="s">
        <v>2314</v>
      </c>
    </row>
    <row r="1117" spans="2:8" x14ac:dyDescent="0.25">
      <c r="B1117">
        <v>1115</v>
      </c>
      <c r="C1117" t="s">
        <v>2315</v>
      </c>
      <c r="D1117">
        <v>0</v>
      </c>
      <c r="E1117" t="s">
        <v>9</v>
      </c>
      <c r="F1117" s="121">
        <v>3204</v>
      </c>
      <c r="G1117" s="123">
        <v>13</v>
      </c>
      <c r="H1117" s="103" t="s">
        <v>2316</v>
      </c>
    </row>
    <row r="1118" spans="2:8" x14ac:dyDescent="0.25">
      <c r="B1118">
        <v>1116</v>
      </c>
      <c r="C1118" t="s">
        <v>2317</v>
      </c>
      <c r="D1118">
        <v>0</v>
      </c>
      <c r="E1118" t="s">
        <v>21</v>
      </c>
      <c r="F1118" s="121">
        <v>5216</v>
      </c>
      <c r="G1118" s="103" t="s">
        <v>37</v>
      </c>
      <c r="H1118" s="103" t="s">
        <v>2318</v>
      </c>
    </row>
    <row r="1119" spans="2:8" x14ac:dyDescent="0.25">
      <c r="B1119">
        <v>1117</v>
      </c>
      <c r="C1119" t="s">
        <v>2319</v>
      </c>
      <c r="D1119">
        <v>0</v>
      </c>
      <c r="E1119" t="s">
        <v>9</v>
      </c>
      <c r="F1119" s="121">
        <v>4825</v>
      </c>
      <c r="G1119" s="123">
        <v>13</v>
      </c>
      <c r="H1119" s="103" t="s">
        <v>2320</v>
      </c>
    </row>
    <row r="1120" spans="2:8" x14ac:dyDescent="0.25">
      <c r="B1120">
        <v>1118</v>
      </c>
      <c r="C1120" t="s">
        <v>2321</v>
      </c>
      <c r="D1120">
        <v>0</v>
      </c>
      <c r="E1120" t="s">
        <v>9</v>
      </c>
      <c r="F1120" s="121">
        <v>780</v>
      </c>
      <c r="G1120" s="123">
        <v>23</v>
      </c>
      <c r="H1120" s="103" t="s">
        <v>2322</v>
      </c>
    </row>
    <row r="1121" spans="2:8" x14ac:dyDescent="0.25">
      <c r="B1121">
        <v>1119</v>
      </c>
      <c r="C1121" t="s">
        <v>2323</v>
      </c>
      <c r="D1121" t="s">
        <v>2324</v>
      </c>
      <c r="E1121" t="s">
        <v>9</v>
      </c>
      <c r="F1121" s="121">
        <v>4825</v>
      </c>
      <c r="G1121" s="123"/>
      <c r="H1121" s="103" t="s">
        <v>2325</v>
      </c>
    </row>
    <row r="1122" spans="2:8" x14ac:dyDescent="0.25">
      <c r="B1122">
        <v>1120</v>
      </c>
      <c r="C1122" t="s">
        <v>2326</v>
      </c>
      <c r="D1122">
        <v>0</v>
      </c>
      <c r="E1122" t="s">
        <v>9</v>
      </c>
      <c r="F1122" s="121">
        <v>4825</v>
      </c>
      <c r="G1122" s="123">
        <v>13</v>
      </c>
      <c r="H1122" s="103" t="s">
        <v>2327</v>
      </c>
    </row>
    <row r="1123" spans="2:8" x14ac:dyDescent="0.25">
      <c r="B1123">
        <v>1121</v>
      </c>
      <c r="C1123" t="s">
        <v>2328</v>
      </c>
      <c r="D1123">
        <v>0</v>
      </c>
      <c r="E1123" t="s">
        <v>9</v>
      </c>
      <c r="F1123" s="121">
        <v>4825</v>
      </c>
      <c r="G1123" s="123">
        <v>13</v>
      </c>
      <c r="H1123" s="103" t="s">
        <v>2329</v>
      </c>
    </row>
    <row r="1124" spans="2:8" x14ac:dyDescent="0.25">
      <c r="B1124">
        <v>1122</v>
      </c>
      <c r="C1124" t="s">
        <v>2330</v>
      </c>
      <c r="D1124">
        <v>0</v>
      </c>
      <c r="E1124" t="s">
        <v>21</v>
      </c>
      <c r="F1124" s="121">
        <v>3801</v>
      </c>
      <c r="G1124" s="103" t="s">
        <v>37</v>
      </c>
      <c r="H1124" s="103" t="s">
        <v>2331</v>
      </c>
    </row>
    <row r="1125" spans="2:8" x14ac:dyDescent="0.25">
      <c r="B1125">
        <v>1123</v>
      </c>
      <c r="C1125" t="s">
        <v>2332</v>
      </c>
      <c r="D1125">
        <v>0</v>
      </c>
      <c r="E1125" t="s">
        <v>9</v>
      </c>
      <c r="F1125" s="121">
        <v>3799</v>
      </c>
      <c r="G1125" s="123">
        <v>13</v>
      </c>
      <c r="H1125" s="103" t="s">
        <v>2333</v>
      </c>
    </row>
    <row r="1126" spans="2:8" x14ac:dyDescent="0.25">
      <c r="B1126">
        <v>1124</v>
      </c>
      <c r="C1126" t="s">
        <v>2334</v>
      </c>
      <c r="D1126">
        <v>0</v>
      </c>
      <c r="E1126" t="s">
        <v>9</v>
      </c>
      <c r="F1126" s="121">
        <v>780</v>
      </c>
      <c r="G1126" s="123">
        <v>13</v>
      </c>
      <c r="H1126" s="103" t="s">
        <v>2335</v>
      </c>
    </row>
    <row r="1127" spans="2:8" x14ac:dyDescent="0.25">
      <c r="B1127">
        <v>1125</v>
      </c>
      <c r="C1127" t="s">
        <v>2336</v>
      </c>
      <c r="D1127">
        <v>0</v>
      </c>
      <c r="E1127" t="s">
        <v>9</v>
      </c>
      <c r="F1127" s="121">
        <v>949</v>
      </c>
      <c r="G1127" s="123">
        <v>23</v>
      </c>
      <c r="H1127" s="103" t="s">
        <v>2337</v>
      </c>
    </row>
    <row r="1128" spans="2:8" x14ac:dyDescent="0.25">
      <c r="B1128">
        <v>1126</v>
      </c>
      <c r="C1128" t="s">
        <v>2338</v>
      </c>
      <c r="D1128">
        <v>0</v>
      </c>
      <c r="E1128" t="s">
        <v>9</v>
      </c>
      <c r="F1128" s="121">
        <v>634</v>
      </c>
      <c r="G1128" s="123">
        <v>13</v>
      </c>
      <c r="H1128" s="103" t="s">
        <v>2339</v>
      </c>
    </row>
    <row r="1129" spans="2:8" x14ac:dyDescent="0.25">
      <c r="B1129">
        <v>1127</v>
      </c>
      <c r="C1129" t="s">
        <v>2340</v>
      </c>
      <c r="D1129">
        <v>0</v>
      </c>
      <c r="E1129" t="s">
        <v>9</v>
      </c>
      <c r="F1129" s="121">
        <v>780</v>
      </c>
      <c r="G1129" s="123">
        <v>13</v>
      </c>
      <c r="H1129" s="103" t="s">
        <v>2341</v>
      </c>
    </row>
    <row r="1130" spans="2:8" x14ac:dyDescent="0.25">
      <c r="B1130">
        <v>1128</v>
      </c>
      <c r="C1130" t="s">
        <v>2342</v>
      </c>
      <c r="D1130">
        <v>0</v>
      </c>
      <c r="E1130" t="s">
        <v>9</v>
      </c>
      <c r="F1130" s="121">
        <v>4825</v>
      </c>
      <c r="G1130" s="123">
        <v>13</v>
      </c>
      <c r="H1130" s="103" t="s">
        <v>2343</v>
      </c>
    </row>
    <row r="1131" spans="2:8" x14ac:dyDescent="0.25">
      <c r="B1131">
        <v>1129</v>
      </c>
      <c r="C1131" t="s">
        <v>2344</v>
      </c>
      <c r="D1131" t="s">
        <v>2345</v>
      </c>
      <c r="E1131" t="s">
        <v>9</v>
      </c>
      <c r="F1131" s="121">
        <v>4825</v>
      </c>
      <c r="G1131" s="123">
        <v>1288</v>
      </c>
      <c r="H1131" s="103" t="s">
        <v>2346</v>
      </c>
    </row>
    <row r="1132" spans="2:8" x14ac:dyDescent="0.25">
      <c r="B1132">
        <v>1130</v>
      </c>
      <c r="C1132" t="s">
        <v>2347</v>
      </c>
      <c r="D1132" t="s">
        <v>2348</v>
      </c>
      <c r="E1132" t="s">
        <v>9</v>
      </c>
      <c r="F1132" s="121">
        <v>4825</v>
      </c>
      <c r="G1132" s="123"/>
      <c r="H1132" s="103" t="s">
        <v>2349</v>
      </c>
    </row>
    <row r="1133" spans="2:8" x14ac:dyDescent="0.25">
      <c r="B1133">
        <v>1131</v>
      </c>
      <c r="C1133" t="s">
        <v>2350</v>
      </c>
      <c r="D1133">
        <v>0</v>
      </c>
      <c r="E1133" t="s">
        <v>21</v>
      </c>
      <c r="F1133" s="121">
        <v>3801</v>
      </c>
      <c r="G1133" s="103" t="s">
        <v>37</v>
      </c>
      <c r="H1133" s="103" t="s">
        <v>2351</v>
      </c>
    </row>
    <row r="1134" spans="2:8" x14ac:dyDescent="0.25">
      <c r="B1134">
        <v>1132</v>
      </c>
      <c r="C1134" t="s">
        <v>2352</v>
      </c>
      <c r="D1134" t="s">
        <v>2353</v>
      </c>
      <c r="E1134" t="s">
        <v>9</v>
      </c>
      <c r="F1134" s="121">
        <v>4601</v>
      </c>
      <c r="G1134" s="123"/>
      <c r="H1134" s="103" t="s">
        <v>2354</v>
      </c>
    </row>
    <row r="1135" spans="2:8" x14ac:dyDescent="0.25">
      <c r="B1135">
        <v>1133</v>
      </c>
      <c r="C1135" t="s">
        <v>2355</v>
      </c>
      <c r="D1135" t="s">
        <v>2356</v>
      </c>
      <c r="E1135" t="s">
        <v>9</v>
      </c>
      <c r="F1135" s="121">
        <v>4825</v>
      </c>
      <c r="H1135" s="103" t="s">
        <v>2357</v>
      </c>
    </row>
    <row r="1136" spans="2:8" x14ac:dyDescent="0.25">
      <c r="B1136">
        <v>1134</v>
      </c>
      <c r="C1136" t="s">
        <v>2358</v>
      </c>
      <c r="D1136" t="s">
        <v>2359</v>
      </c>
      <c r="E1136" t="s">
        <v>21</v>
      </c>
      <c r="F1136" s="121" t="s">
        <v>44</v>
      </c>
      <c r="G1136" s="123" t="s">
        <v>37</v>
      </c>
      <c r="H1136" s="103" t="s">
        <v>2360</v>
      </c>
    </row>
    <row r="1137" spans="2:8" x14ac:dyDescent="0.25">
      <c r="B1137">
        <v>1135</v>
      </c>
      <c r="C1137" t="s">
        <v>2361</v>
      </c>
      <c r="D1137">
        <v>0</v>
      </c>
      <c r="E1137" t="s">
        <v>9</v>
      </c>
      <c r="F1137" s="121">
        <v>4825</v>
      </c>
      <c r="G1137" s="123">
        <v>13</v>
      </c>
      <c r="H1137" s="103" t="s">
        <v>2362</v>
      </c>
    </row>
    <row r="1138" spans="2:8" x14ac:dyDescent="0.25">
      <c r="B1138">
        <v>1136</v>
      </c>
      <c r="C1138" t="s">
        <v>2363</v>
      </c>
      <c r="D1138" t="s">
        <v>2364</v>
      </c>
      <c r="E1138" t="s">
        <v>9</v>
      </c>
      <c r="F1138" s="121">
        <v>3204</v>
      </c>
      <c r="G1138" s="123"/>
      <c r="H1138" s="103" t="s">
        <v>2365</v>
      </c>
    </row>
    <row r="1139" spans="2:8" x14ac:dyDescent="0.25">
      <c r="B1139">
        <v>1137</v>
      </c>
      <c r="C1139" t="s">
        <v>2366</v>
      </c>
      <c r="D1139">
        <v>0</v>
      </c>
      <c r="E1139" t="s">
        <v>9</v>
      </c>
      <c r="F1139" s="121">
        <v>780</v>
      </c>
      <c r="G1139" s="123">
        <v>23</v>
      </c>
      <c r="H1139" s="103" t="s">
        <v>2367</v>
      </c>
    </row>
    <row r="1140" spans="2:8" x14ac:dyDescent="0.25">
      <c r="B1140">
        <v>1138</v>
      </c>
      <c r="C1140" t="s">
        <v>2368</v>
      </c>
      <c r="D1140">
        <v>0</v>
      </c>
      <c r="E1140" t="s">
        <v>9</v>
      </c>
      <c r="F1140" s="121">
        <v>4825</v>
      </c>
      <c r="G1140" s="123">
        <v>13</v>
      </c>
      <c r="H1140" s="103" t="s">
        <v>2369</v>
      </c>
    </row>
    <row r="1141" spans="2:8" x14ac:dyDescent="0.25">
      <c r="B1141">
        <v>1139</v>
      </c>
      <c r="C1141" t="s">
        <v>2370</v>
      </c>
      <c r="D1141">
        <v>0</v>
      </c>
      <c r="E1141" t="s">
        <v>21</v>
      </c>
      <c r="F1141" s="121">
        <v>3801</v>
      </c>
      <c r="G1141" s="103" t="s">
        <v>37</v>
      </c>
      <c r="H1141" s="103" t="s">
        <v>2371</v>
      </c>
    </row>
    <row r="1142" spans="2:8" x14ac:dyDescent="0.25">
      <c r="B1142">
        <v>1140</v>
      </c>
      <c r="C1142" t="s">
        <v>2372</v>
      </c>
      <c r="D1142">
        <v>0</v>
      </c>
      <c r="E1142" t="s">
        <v>9</v>
      </c>
      <c r="F1142" s="121">
        <v>4825</v>
      </c>
      <c r="G1142" s="123">
        <v>13</v>
      </c>
      <c r="H1142" s="103" t="s">
        <v>2373</v>
      </c>
    </row>
    <row r="1143" spans="2:8" x14ac:dyDescent="0.25">
      <c r="B1143">
        <v>1141</v>
      </c>
      <c r="C1143" t="s">
        <v>2374</v>
      </c>
      <c r="D1143">
        <v>0</v>
      </c>
      <c r="E1143" t="s">
        <v>9</v>
      </c>
      <c r="F1143" s="121">
        <v>4825</v>
      </c>
      <c r="G1143" s="123">
        <v>13</v>
      </c>
      <c r="H1143" s="103" t="s">
        <v>2375</v>
      </c>
    </row>
    <row r="1144" spans="2:8" x14ac:dyDescent="0.25">
      <c r="B1144">
        <v>1142</v>
      </c>
      <c r="C1144" t="s">
        <v>2376</v>
      </c>
      <c r="D1144">
        <v>0</v>
      </c>
      <c r="E1144" t="s">
        <v>9</v>
      </c>
      <c r="F1144" s="121">
        <v>4825</v>
      </c>
      <c r="G1144" s="123">
        <v>13</v>
      </c>
      <c r="H1144" s="103" t="s">
        <v>2377</v>
      </c>
    </row>
    <row r="1145" spans="2:8" x14ac:dyDescent="0.25">
      <c r="B1145">
        <v>1143</v>
      </c>
      <c r="C1145" t="s">
        <v>2378</v>
      </c>
      <c r="D1145">
        <v>0</v>
      </c>
      <c r="E1145" t="s">
        <v>9</v>
      </c>
      <c r="F1145" s="121">
        <v>4825</v>
      </c>
      <c r="G1145" s="123">
        <v>13</v>
      </c>
      <c r="H1145" s="103" t="s">
        <v>2379</v>
      </c>
    </row>
    <row r="1146" spans="2:8" x14ac:dyDescent="0.25">
      <c r="B1146">
        <v>1144</v>
      </c>
      <c r="C1146" t="s">
        <v>2380</v>
      </c>
      <c r="D1146">
        <v>0</v>
      </c>
      <c r="E1146" t="s">
        <v>9</v>
      </c>
      <c r="F1146" s="121">
        <v>780</v>
      </c>
      <c r="G1146" s="123">
        <v>23</v>
      </c>
      <c r="H1146" s="103" t="s">
        <v>2381</v>
      </c>
    </row>
    <row r="1147" spans="2:8" x14ac:dyDescent="0.25">
      <c r="B1147">
        <v>1145</v>
      </c>
      <c r="C1147" t="s">
        <v>2382</v>
      </c>
      <c r="D1147">
        <v>0</v>
      </c>
      <c r="E1147" t="s">
        <v>9</v>
      </c>
      <c r="F1147" s="121">
        <v>4825</v>
      </c>
      <c r="G1147" s="123">
        <v>13</v>
      </c>
      <c r="H1147" s="103" t="s">
        <v>2383</v>
      </c>
    </row>
    <row r="1148" spans="2:8" x14ac:dyDescent="0.25">
      <c r="B1148">
        <v>1146</v>
      </c>
      <c r="C1148" t="s">
        <v>2384</v>
      </c>
      <c r="D1148">
        <v>0</v>
      </c>
      <c r="E1148" t="s">
        <v>9</v>
      </c>
      <c r="F1148" s="121">
        <v>812</v>
      </c>
      <c r="G1148" s="123">
        <v>23</v>
      </c>
      <c r="H1148" s="103" t="s">
        <v>2385</v>
      </c>
    </row>
    <row r="1149" spans="2:8" x14ac:dyDescent="0.25">
      <c r="B1149">
        <v>1147</v>
      </c>
      <c r="C1149" t="s">
        <v>2386</v>
      </c>
      <c r="D1149">
        <v>0</v>
      </c>
      <c r="E1149" t="s">
        <v>9</v>
      </c>
      <c r="F1149" s="121">
        <v>4825</v>
      </c>
      <c r="G1149" s="123">
        <v>13</v>
      </c>
      <c r="H1149" s="103" t="s">
        <v>1133</v>
      </c>
    </row>
    <row r="1150" spans="2:8" x14ac:dyDescent="0.25">
      <c r="B1150">
        <v>1148</v>
      </c>
      <c r="C1150" t="s">
        <v>2387</v>
      </c>
      <c r="D1150">
        <v>0</v>
      </c>
      <c r="E1150" t="s">
        <v>9</v>
      </c>
      <c r="F1150" s="121">
        <v>780</v>
      </c>
      <c r="G1150" s="123">
        <v>23</v>
      </c>
      <c r="H1150" s="103" t="s">
        <v>2388</v>
      </c>
    </row>
    <row r="1151" spans="2:8" x14ac:dyDescent="0.25">
      <c r="B1151">
        <v>1149</v>
      </c>
      <c r="C1151" t="s">
        <v>2389</v>
      </c>
      <c r="D1151">
        <v>0</v>
      </c>
      <c r="E1151" t="s">
        <v>9</v>
      </c>
      <c r="F1151" s="121">
        <v>4825</v>
      </c>
      <c r="G1151" s="123">
        <v>23</v>
      </c>
      <c r="H1151" s="103" t="s">
        <v>2390</v>
      </c>
    </row>
    <row r="1152" spans="2:8" x14ac:dyDescent="0.25">
      <c r="B1152">
        <v>1150</v>
      </c>
      <c r="C1152" t="s">
        <v>2391</v>
      </c>
      <c r="D1152">
        <v>0</v>
      </c>
      <c r="E1152" t="s">
        <v>9</v>
      </c>
      <c r="F1152" s="121">
        <v>4825</v>
      </c>
      <c r="G1152" s="123">
        <v>13</v>
      </c>
      <c r="H1152" s="103" t="s">
        <v>2392</v>
      </c>
    </row>
    <row r="1153" spans="2:8" x14ac:dyDescent="0.25">
      <c r="B1153">
        <v>1151</v>
      </c>
      <c r="C1153" t="s">
        <v>31</v>
      </c>
      <c r="D1153">
        <v>0</v>
      </c>
      <c r="E1153" t="s">
        <v>9</v>
      </c>
      <c r="F1153" s="121">
        <v>780</v>
      </c>
      <c r="G1153" s="123">
        <v>13</v>
      </c>
      <c r="H1153" s="103" t="s">
        <v>32</v>
      </c>
    </row>
    <row r="1154" spans="2:8" x14ac:dyDescent="0.25">
      <c r="B1154">
        <v>1152</v>
      </c>
      <c r="C1154" t="s">
        <v>2393</v>
      </c>
      <c r="D1154">
        <v>0</v>
      </c>
      <c r="E1154" t="s">
        <v>9</v>
      </c>
      <c r="F1154" s="121">
        <v>4825</v>
      </c>
      <c r="G1154" s="123">
        <v>13</v>
      </c>
      <c r="H1154" s="103" t="s">
        <v>2394</v>
      </c>
    </row>
    <row r="1155" spans="2:8" x14ac:dyDescent="0.25">
      <c r="B1155">
        <v>1153</v>
      </c>
      <c r="C1155" t="s">
        <v>2395</v>
      </c>
      <c r="D1155" t="s">
        <v>2396</v>
      </c>
      <c r="E1155" t="s">
        <v>9</v>
      </c>
      <c r="F1155" s="121">
        <v>4825</v>
      </c>
      <c r="G1155" s="123"/>
      <c r="H1155" s="103" t="s">
        <v>4994</v>
      </c>
    </row>
    <row r="1156" spans="2:8" x14ac:dyDescent="0.25">
      <c r="B1156">
        <v>1154</v>
      </c>
      <c r="C1156" t="s">
        <v>2397</v>
      </c>
      <c r="D1156">
        <v>0</v>
      </c>
      <c r="E1156" t="s">
        <v>21</v>
      </c>
      <c r="F1156" s="121" t="s">
        <v>44</v>
      </c>
      <c r="G1156" s="103" t="s">
        <v>22</v>
      </c>
      <c r="H1156" s="103" t="s">
        <v>2398</v>
      </c>
    </row>
    <row r="1157" spans="2:8" x14ac:dyDescent="0.25">
      <c r="B1157">
        <v>1155</v>
      </c>
      <c r="C1157" t="s">
        <v>2399</v>
      </c>
      <c r="D1157" s="124" t="s">
        <v>2400</v>
      </c>
      <c r="E1157" t="s">
        <v>9</v>
      </c>
      <c r="F1157" s="121">
        <v>4825</v>
      </c>
      <c r="G1157" s="123"/>
      <c r="H1157" s="103" t="s">
        <v>2401</v>
      </c>
    </row>
    <row r="1158" spans="2:8" x14ac:dyDescent="0.25">
      <c r="B1158">
        <v>1156</v>
      </c>
      <c r="C1158" t="s">
        <v>2402</v>
      </c>
      <c r="D1158">
        <v>0</v>
      </c>
      <c r="E1158" t="s">
        <v>9</v>
      </c>
      <c r="F1158" s="121">
        <v>4818</v>
      </c>
      <c r="G1158" s="123">
        <v>13</v>
      </c>
      <c r="H1158" s="103" t="s">
        <v>2403</v>
      </c>
    </row>
    <row r="1159" spans="2:8" x14ac:dyDescent="0.25">
      <c r="B1159">
        <v>1157</v>
      </c>
      <c r="C1159" t="s">
        <v>2404</v>
      </c>
      <c r="D1159">
        <v>0</v>
      </c>
      <c r="E1159" t="s">
        <v>9</v>
      </c>
      <c r="F1159" s="121">
        <v>4825</v>
      </c>
      <c r="G1159" s="123">
        <v>13</v>
      </c>
      <c r="H1159" s="103" t="s">
        <v>2405</v>
      </c>
    </row>
    <row r="1160" spans="2:8" x14ac:dyDescent="0.25">
      <c r="B1160">
        <v>1158</v>
      </c>
      <c r="C1160" t="s">
        <v>2406</v>
      </c>
      <c r="D1160">
        <v>0</v>
      </c>
      <c r="E1160" t="s">
        <v>9</v>
      </c>
      <c r="F1160" s="121">
        <v>4825</v>
      </c>
      <c r="G1160" s="123">
        <v>13</v>
      </c>
      <c r="H1160" s="103" t="s">
        <v>2407</v>
      </c>
    </row>
    <row r="1161" spans="2:8" x14ac:dyDescent="0.25">
      <c r="B1161">
        <v>1159</v>
      </c>
      <c r="C1161" t="s">
        <v>2408</v>
      </c>
      <c r="D1161" t="s">
        <v>2409</v>
      </c>
      <c r="E1161" t="s">
        <v>9</v>
      </c>
      <c r="F1161" s="121">
        <v>4825</v>
      </c>
      <c r="H1161" s="103" t="s">
        <v>2410</v>
      </c>
    </row>
    <row r="1162" spans="2:8" x14ac:dyDescent="0.25">
      <c r="B1162">
        <v>1160</v>
      </c>
      <c r="C1162" t="s">
        <v>2411</v>
      </c>
      <c r="D1162" t="s">
        <v>2412</v>
      </c>
      <c r="E1162" t="s">
        <v>21</v>
      </c>
      <c r="F1162" s="121" t="s">
        <v>44</v>
      </c>
      <c r="G1162" s="123" t="s">
        <v>37</v>
      </c>
      <c r="H1162" s="103" t="s">
        <v>2413</v>
      </c>
    </row>
    <row r="1163" spans="2:8" x14ac:dyDescent="0.25">
      <c r="B1163">
        <v>1161</v>
      </c>
      <c r="C1163" t="s">
        <v>2414</v>
      </c>
      <c r="D1163">
        <v>0</v>
      </c>
      <c r="E1163" t="s">
        <v>21</v>
      </c>
      <c r="F1163" s="121" t="s">
        <v>44</v>
      </c>
      <c r="G1163" s="103" t="s">
        <v>22</v>
      </c>
      <c r="H1163" s="103" t="s">
        <v>2415</v>
      </c>
    </row>
    <row r="1164" spans="2:8" x14ac:dyDescent="0.25">
      <c r="B1164">
        <v>1162</v>
      </c>
      <c r="C1164" t="s">
        <v>2416</v>
      </c>
      <c r="D1164">
        <v>0</v>
      </c>
      <c r="E1164" t="s">
        <v>21</v>
      </c>
      <c r="F1164" s="121" t="s">
        <v>44</v>
      </c>
      <c r="G1164" s="103" t="s">
        <v>22</v>
      </c>
      <c r="H1164" s="103" t="s">
        <v>2417</v>
      </c>
    </row>
    <row r="1165" spans="2:8" x14ac:dyDescent="0.25">
      <c r="B1165">
        <v>1163</v>
      </c>
      <c r="C1165" t="s">
        <v>2418</v>
      </c>
      <c r="D1165">
        <v>0</v>
      </c>
      <c r="E1165" t="s">
        <v>21</v>
      </c>
      <c r="F1165" s="121" t="s">
        <v>44</v>
      </c>
      <c r="G1165" s="103" t="s">
        <v>22</v>
      </c>
      <c r="H1165" s="103" t="s">
        <v>2419</v>
      </c>
    </row>
    <row r="1166" spans="2:8" x14ac:dyDescent="0.25">
      <c r="B1166">
        <v>1164</v>
      </c>
      <c r="C1166" t="s">
        <v>2420</v>
      </c>
      <c r="D1166">
        <v>0</v>
      </c>
      <c r="E1166" t="s">
        <v>9</v>
      </c>
      <c r="F1166" s="121">
        <v>2928</v>
      </c>
      <c r="G1166" s="123">
        <v>13</v>
      </c>
      <c r="H1166" s="103" t="s">
        <v>2421</v>
      </c>
    </row>
    <row r="1167" spans="2:8" x14ac:dyDescent="0.25">
      <c r="B1167">
        <v>1165</v>
      </c>
      <c r="C1167" t="s">
        <v>2422</v>
      </c>
      <c r="D1167">
        <v>0</v>
      </c>
      <c r="E1167" t="s">
        <v>9</v>
      </c>
      <c r="F1167" s="121">
        <v>2734</v>
      </c>
      <c r="G1167" s="123">
        <v>13</v>
      </c>
      <c r="H1167" s="103" t="s">
        <v>2279</v>
      </c>
    </row>
    <row r="1168" spans="2:8" x14ac:dyDescent="0.25">
      <c r="B1168">
        <v>1166</v>
      </c>
      <c r="C1168" t="s">
        <v>2423</v>
      </c>
      <c r="D1168">
        <v>0</v>
      </c>
      <c r="E1168" t="s">
        <v>9</v>
      </c>
      <c r="F1168" s="121">
        <v>4825</v>
      </c>
      <c r="G1168" s="123">
        <v>13</v>
      </c>
      <c r="H1168" s="103" t="s">
        <v>2424</v>
      </c>
    </row>
    <row r="1169" spans="2:8" x14ac:dyDescent="0.25">
      <c r="B1169">
        <v>1167</v>
      </c>
      <c r="C1169" t="s">
        <v>2299</v>
      </c>
      <c r="D1169">
        <v>0</v>
      </c>
      <c r="E1169" t="s">
        <v>9</v>
      </c>
      <c r="F1169" s="121">
        <v>4825</v>
      </c>
      <c r="G1169" s="123">
        <v>13</v>
      </c>
      <c r="H1169" s="103" t="s">
        <v>2300</v>
      </c>
    </row>
    <row r="1170" spans="2:8" x14ac:dyDescent="0.25">
      <c r="B1170">
        <v>1168</v>
      </c>
      <c r="C1170" t="s">
        <v>2425</v>
      </c>
      <c r="D1170">
        <v>0</v>
      </c>
      <c r="E1170" t="s">
        <v>9</v>
      </c>
      <c r="F1170" s="121">
        <v>4825</v>
      </c>
      <c r="G1170" s="123">
        <v>13</v>
      </c>
      <c r="H1170" s="103" t="s">
        <v>2426</v>
      </c>
    </row>
    <row r="1171" spans="2:8" x14ac:dyDescent="0.25">
      <c r="B1171">
        <v>1169</v>
      </c>
      <c r="C1171" t="s">
        <v>2427</v>
      </c>
      <c r="D1171" t="s">
        <v>2428</v>
      </c>
      <c r="E1171" t="s">
        <v>9</v>
      </c>
      <c r="F1171" s="121">
        <v>4818</v>
      </c>
      <c r="G1171" s="123">
        <v>13</v>
      </c>
      <c r="H1171" s="103" t="s">
        <v>2429</v>
      </c>
    </row>
    <row r="1172" spans="2:8" x14ac:dyDescent="0.25">
      <c r="B1172">
        <v>1170</v>
      </c>
      <c r="C1172" t="s">
        <v>2430</v>
      </c>
      <c r="D1172">
        <v>0</v>
      </c>
      <c r="E1172" t="s">
        <v>9</v>
      </c>
      <c r="F1172" s="121">
        <v>4825</v>
      </c>
      <c r="G1172" s="123">
        <v>13</v>
      </c>
      <c r="H1172" s="103" t="s">
        <v>2431</v>
      </c>
    </row>
    <row r="1173" spans="2:8" x14ac:dyDescent="0.25">
      <c r="B1173">
        <v>1171</v>
      </c>
      <c r="C1173" t="s">
        <v>2220</v>
      </c>
      <c r="D1173">
        <v>0</v>
      </c>
      <c r="E1173" t="s">
        <v>9</v>
      </c>
      <c r="F1173" s="121">
        <v>4818</v>
      </c>
      <c r="G1173" s="123">
        <v>13</v>
      </c>
      <c r="H1173" s="103" t="s">
        <v>2221</v>
      </c>
    </row>
    <row r="1174" spans="2:8" x14ac:dyDescent="0.25">
      <c r="B1174">
        <v>1172</v>
      </c>
      <c r="C1174" t="s">
        <v>2432</v>
      </c>
      <c r="D1174">
        <v>0</v>
      </c>
      <c r="E1174" t="s">
        <v>35</v>
      </c>
      <c r="F1174" s="121" t="s">
        <v>2130</v>
      </c>
      <c r="G1174" s="103" t="s">
        <v>37</v>
      </c>
      <c r="H1174" s="103" t="s">
        <v>2433</v>
      </c>
    </row>
    <row r="1175" spans="2:8" x14ac:dyDescent="0.25">
      <c r="B1175">
        <v>1173</v>
      </c>
      <c r="C1175" t="s">
        <v>2434</v>
      </c>
      <c r="D1175">
        <v>0</v>
      </c>
      <c r="E1175" t="s">
        <v>9</v>
      </c>
      <c r="F1175" s="121">
        <v>4818</v>
      </c>
      <c r="G1175" s="123">
        <v>13</v>
      </c>
      <c r="H1175" s="103" t="s">
        <v>2435</v>
      </c>
    </row>
    <row r="1176" spans="2:8" x14ac:dyDescent="0.25">
      <c r="B1176">
        <v>1174</v>
      </c>
      <c r="C1176" t="s">
        <v>2436</v>
      </c>
      <c r="D1176">
        <v>0</v>
      </c>
      <c r="E1176" t="s">
        <v>9</v>
      </c>
      <c r="F1176" s="121">
        <v>4818</v>
      </c>
      <c r="G1176" s="123">
        <v>13</v>
      </c>
      <c r="H1176" s="103" t="s">
        <v>2437</v>
      </c>
    </row>
    <row r="1177" spans="2:8" x14ac:dyDescent="0.25">
      <c r="B1177">
        <v>1175</v>
      </c>
      <c r="C1177" t="s">
        <v>2438</v>
      </c>
      <c r="D1177">
        <v>0</v>
      </c>
      <c r="E1177" t="s">
        <v>9</v>
      </c>
      <c r="F1177" s="121">
        <v>4818</v>
      </c>
      <c r="G1177" s="123">
        <v>13</v>
      </c>
      <c r="H1177" s="103" t="s">
        <v>2439</v>
      </c>
    </row>
    <row r="1178" spans="2:8" x14ac:dyDescent="0.25">
      <c r="B1178">
        <v>1176</v>
      </c>
      <c r="C1178" t="s">
        <v>2440</v>
      </c>
      <c r="D1178" t="s">
        <v>2441</v>
      </c>
      <c r="E1178" t="s">
        <v>35</v>
      </c>
      <c r="F1178" s="121" t="s">
        <v>379</v>
      </c>
      <c r="G1178" s="123" t="s">
        <v>37</v>
      </c>
      <c r="H1178" s="103" t="s">
        <v>2442</v>
      </c>
    </row>
    <row r="1179" spans="2:8" x14ac:dyDescent="0.25">
      <c r="B1179">
        <v>1177</v>
      </c>
      <c r="C1179" t="s">
        <v>2443</v>
      </c>
      <c r="D1179" t="s">
        <v>2444</v>
      </c>
      <c r="E1179" t="s">
        <v>9</v>
      </c>
      <c r="F1179" s="121">
        <v>4818</v>
      </c>
      <c r="G1179" s="123"/>
      <c r="H1179" s="103" t="s">
        <v>2445</v>
      </c>
    </row>
    <row r="1180" spans="2:8" x14ac:dyDescent="0.25">
      <c r="B1180">
        <v>1178</v>
      </c>
      <c r="C1180" t="s">
        <v>2446</v>
      </c>
      <c r="D1180">
        <v>0</v>
      </c>
      <c r="E1180" t="s">
        <v>35</v>
      </c>
      <c r="F1180" s="121" t="s">
        <v>36</v>
      </c>
      <c r="G1180" s="103" t="s">
        <v>37</v>
      </c>
      <c r="H1180" s="103" t="s">
        <v>2447</v>
      </c>
    </row>
    <row r="1181" spans="2:8" x14ac:dyDescent="0.25">
      <c r="B1181">
        <v>1179</v>
      </c>
      <c r="C1181" t="s">
        <v>2448</v>
      </c>
      <c r="D1181" t="s">
        <v>2449</v>
      </c>
      <c r="E1181" t="s">
        <v>9</v>
      </c>
      <c r="F1181" s="121">
        <v>4818</v>
      </c>
      <c r="G1181" s="123">
        <v>13</v>
      </c>
      <c r="H1181" s="103" t="s">
        <v>2450</v>
      </c>
    </row>
    <row r="1182" spans="2:8" x14ac:dyDescent="0.25">
      <c r="B1182">
        <v>1180</v>
      </c>
      <c r="C1182" t="s">
        <v>2451</v>
      </c>
      <c r="D1182">
        <v>0</v>
      </c>
      <c r="E1182" t="s">
        <v>9</v>
      </c>
      <c r="F1182" s="121">
        <v>949</v>
      </c>
      <c r="G1182" s="123">
        <v>23</v>
      </c>
      <c r="H1182" s="103" t="s">
        <v>2452</v>
      </c>
    </row>
    <row r="1183" spans="2:8" x14ac:dyDescent="0.25">
      <c r="B1183">
        <v>1181</v>
      </c>
      <c r="C1183" t="s">
        <v>2453</v>
      </c>
      <c r="D1183">
        <v>0</v>
      </c>
      <c r="E1183" t="s">
        <v>35</v>
      </c>
      <c r="F1183" s="121" t="s">
        <v>36</v>
      </c>
      <c r="G1183" s="103" t="s">
        <v>37</v>
      </c>
      <c r="H1183" s="103" t="s">
        <v>2454</v>
      </c>
    </row>
    <row r="1184" spans="2:8" x14ac:dyDescent="0.25">
      <c r="B1184">
        <v>1182</v>
      </c>
      <c r="C1184" t="s">
        <v>2455</v>
      </c>
      <c r="D1184" t="s">
        <v>2456</v>
      </c>
      <c r="E1184" t="s">
        <v>9</v>
      </c>
      <c r="F1184" s="121">
        <v>4818</v>
      </c>
      <c r="G1184" s="123"/>
      <c r="H1184" s="103" t="s">
        <v>5064</v>
      </c>
    </row>
    <row r="1185" spans="2:8" x14ac:dyDescent="0.25">
      <c r="B1185">
        <v>1183</v>
      </c>
      <c r="C1185" t="s">
        <v>2457</v>
      </c>
      <c r="D1185">
        <v>0</v>
      </c>
      <c r="E1185" t="s">
        <v>35</v>
      </c>
      <c r="F1185" s="121" t="s">
        <v>36</v>
      </c>
      <c r="G1185" s="103" t="s">
        <v>37</v>
      </c>
      <c r="H1185" s="103" t="s">
        <v>2458</v>
      </c>
    </row>
    <row r="1186" spans="2:8" x14ac:dyDescent="0.25">
      <c r="B1186">
        <v>1184</v>
      </c>
      <c r="C1186" t="s">
        <v>2459</v>
      </c>
      <c r="D1186">
        <v>0</v>
      </c>
      <c r="E1186" t="s">
        <v>35</v>
      </c>
      <c r="F1186" s="121" t="s">
        <v>36</v>
      </c>
      <c r="G1186" s="103" t="s">
        <v>22</v>
      </c>
      <c r="H1186" s="103" t="s">
        <v>1050</v>
      </c>
    </row>
    <row r="1187" spans="2:8" x14ac:dyDescent="0.25">
      <c r="B1187">
        <v>1185</v>
      </c>
      <c r="C1187" t="s">
        <v>2460</v>
      </c>
      <c r="D1187">
        <v>0</v>
      </c>
      <c r="E1187" t="s">
        <v>21</v>
      </c>
      <c r="F1187" s="121" t="s">
        <v>264</v>
      </c>
      <c r="G1187" s="103" t="s">
        <v>22</v>
      </c>
      <c r="H1187" s="103" t="s">
        <v>2461</v>
      </c>
    </row>
    <row r="1188" spans="2:8" x14ac:dyDescent="0.25">
      <c r="B1188">
        <v>1186</v>
      </c>
      <c r="C1188" t="s">
        <v>2462</v>
      </c>
      <c r="D1188">
        <v>0</v>
      </c>
      <c r="E1188" t="s">
        <v>21</v>
      </c>
      <c r="F1188" s="121" t="s">
        <v>44</v>
      </c>
      <c r="G1188" s="103" t="s">
        <v>22</v>
      </c>
      <c r="H1188" s="103" t="s">
        <v>2463</v>
      </c>
    </row>
    <row r="1189" spans="2:8" x14ac:dyDescent="0.25">
      <c r="B1189">
        <v>1187</v>
      </c>
      <c r="C1189" t="s">
        <v>2464</v>
      </c>
      <c r="D1189">
        <v>0</v>
      </c>
      <c r="E1189" t="s">
        <v>9</v>
      </c>
      <c r="F1189" s="121">
        <v>4825</v>
      </c>
      <c r="G1189" s="123">
        <v>13</v>
      </c>
      <c r="H1189" s="103" t="s">
        <v>2465</v>
      </c>
    </row>
    <row r="1190" spans="2:8" x14ac:dyDescent="0.25">
      <c r="B1190">
        <v>1188</v>
      </c>
      <c r="C1190" t="s">
        <v>2466</v>
      </c>
      <c r="D1190">
        <v>0</v>
      </c>
      <c r="E1190" t="s">
        <v>21</v>
      </c>
      <c r="F1190" s="121" t="s">
        <v>44</v>
      </c>
      <c r="G1190" s="103" t="s">
        <v>22</v>
      </c>
      <c r="H1190" s="103" t="s">
        <v>2467</v>
      </c>
    </row>
    <row r="1191" spans="2:8" x14ac:dyDescent="0.25">
      <c r="B1191">
        <v>1189</v>
      </c>
      <c r="C1191" t="s">
        <v>2468</v>
      </c>
      <c r="D1191">
        <v>0</v>
      </c>
      <c r="E1191" t="s">
        <v>35</v>
      </c>
      <c r="F1191" s="121" t="s">
        <v>36</v>
      </c>
      <c r="G1191" s="103" t="s">
        <v>22</v>
      </c>
      <c r="H1191" s="103" t="s">
        <v>2469</v>
      </c>
    </row>
    <row r="1192" spans="2:8" x14ac:dyDescent="0.25">
      <c r="B1192">
        <v>1190</v>
      </c>
      <c r="C1192" t="s">
        <v>2470</v>
      </c>
      <c r="D1192">
        <v>0</v>
      </c>
      <c r="E1192" t="s">
        <v>9</v>
      </c>
      <c r="F1192" s="121">
        <v>4818</v>
      </c>
      <c r="G1192" s="123">
        <v>13</v>
      </c>
      <c r="H1192" s="103" t="s">
        <v>2471</v>
      </c>
    </row>
    <row r="1193" spans="2:8" x14ac:dyDescent="0.25">
      <c r="B1193">
        <v>1191</v>
      </c>
      <c r="C1193" t="s">
        <v>2472</v>
      </c>
      <c r="D1193">
        <v>0</v>
      </c>
      <c r="E1193" t="s">
        <v>9</v>
      </c>
      <c r="F1193" s="121">
        <v>1053</v>
      </c>
      <c r="G1193" s="123">
        <v>13</v>
      </c>
      <c r="H1193" s="103" t="s">
        <v>2473</v>
      </c>
    </row>
    <row r="1194" spans="2:8" x14ac:dyDescent="0.25">
      <c r="B1194">
        <v>1192</v>
      </c>
      <c r="C1194" t="s">
        <v>2474</v>
      </c>
      <c r="D1194">
        <v>0</v>
      </c>
      <c r="E1194" t="s">
        <v>9</v>
      </c>
      <c r="F1194" s="121">
        <v>4825</v>
      </c>
      <c r="G1194" s="123">
        <v>13</v>
      </c>
      <c r="H1194" s="103" t="s">
        <v>2475</v>
      </c>
    </row>
    <row r="1195" spans="2:8" x14ac:dyDescent="0.25">
      <c r="B1195">
        <v>1193</v>
      </c>
      <c r="C1195" t="s">
        <v>2476</v>
      </c>
      <c r="D1195">
        <v>0</v>
      </c>
      <c r="E1195" t="s">
        <v>9</v>
      </c>
      <c r="F1195" s="121">
        <v>2399</v>
      </c>
      <c r="G1195" s="123">
        <v>13</v>
      </c>
      <c r="H1195" s="103" t="s">
        <v>2477</v>
      </c>
    </row>
    <row r="1196" spans="2:8" x14ac:dyDescent="0.25">
      <c r="B1196">
        <v>1194</v>
      </c>
      <c r="C1196" t="s">
        <v>2478</v>
      </c>
      <c r="D1196">
        <v>0</v>
      </c>
      <c r="E1196" t="s">
        <v>9</v>
      </c>
      <c r="F1196" s="121">
        <v>780</v>
      </c>
      <c r="G1196" s="123">
        <v>13</v>
      </c>
      <c r="H1196" s="103" t="s">
        <v>2479</v>
      </c>
    </row>
    <row r="1197" spans="2:8" x14ac:dyDescent="0.25">
      <c r="B1197">
        <v>1195</v>
      </c>
      <c r="C1197" t="s">
        <v>2480</v>
      </c>
      <c r="D1197">
        <v>0</v>
      </c>
      <c r="E1197" t="s">
        <v>9</v>
      </c>
      <c r="F1197" s="121">
        <v>4601</v>
      </c>
      <c r="G1197" s="123">
        <v>13</v>
      </c>
      <c r="H1197" s="103" t="s">
        <v>2481</v>
      </c>
    </row>
    <row r="1198" spans="2:8" x14ac:dyDescent="0.25">
      <c r="B1198">
        <v>1196</v>
      </c>
      <c r="C1198" t="s">
        <v>2482</v>
      </c>
      <c r="D1198">
        <v>0</v>
      </c>
      <c r="E1198" t="s">
        <v>21</v>
      </c>
      <c r="F1198" s="121">
        <v>3655</v>
      </c>
      <c r="G1198" s="103" t="s">
        <v>37</v>
      </c>
      <c r="H1198" s="103" t="s">
        <v>2483</v>
      </c>
    </row>
    <row r="1199" spans="2:8" x14ac:dyDescent="0.25">
      <c r="B1199">
        <v>1197</v>
      </c>
      <c r="C1199" t="s">
        <v>2484</v>
      </c>
      <c r="D1199">
        <v>0</v>
      </c>
      <c r="E1199" t="s">
        <v>9</v>
      </c>
      <c r="F1199" s="121">
        <v>4222</v>
      </c>
      <c r="G1199" s="123">
        <v>13</v>
      </c>
      <c r="H1199" s="103" t="s">
        <v>2485</v>
      </c>
    </row>
    <row r="1200" spans="2:8" x14ac:dyDescent="0.25">
      <c r="B1200">
        <v>1198</v>
      </c>
      <c r="C1200" t="s">
        <v>2486</v>
      </c>
      <c r="D1200">
        <v>0</v>
      </c>
      <c r="E1200" t="s">
        <v>21</v>
      </c>
      <c r="F1200" s="121" t="s">
        <v>72</v>
      </c>
      <c r="G1200" s="103" t="s">
        <v>37</v>
      </c>
      <c r="H1200" s="103" t="s">
        <v>2487</v>
      </c>
    </row>
    <row r="1201" spans="2:8" x14ac:dyDescent="0.25">
      <c r="B1201">
        <v>1199</v>
      </c>
      <c r="C1201" t="s">
        <v>2488</v>
      </c>
      <c r="D1201">
        <v>0</v>
      </c>
      <c r="E1201" t="s">
        <v>21</v>
      </c>
      <c r="F1201" s="121" t="s">
        <v>72</v>
      </c>
      <c r="G1201" s="103" t="s">
        <v>37</v>
      </c>
      <c r="H1201" s="103" t="s">
        <v>2489</v>
      </c>
    </row>
    <row r="1202" spans="2:8" x14ac:dyDescent="0.25">
      <c r="B1202">
        <v>1200</v>
      </c>
      <c r="C1202" t="s">
        <v>2490</v>
      </c>
      <c r="D1202">
        <v>0</v>
      </c>
      <c r="E1202" t="s">
        <v>9</v>
      </c>
      <c r="F1202" s="121">
        <v>4601</v>
      </c>
      <c r="G1202" s="123">
        <v>13</v>
      </c>
      <c r="H1202" s="103" t="s">
        <v>2491</v>
      </c>
    </row>
    <row r="1203" spans="2:8" x14ac:dyDescent="0.25">
      <c r="B1203">
        <v>1201</v>
      </c>
      <c r="C1203" t="s">
        <v>2492</v>
      </c>
      <c r="D1203">
        <v>0</v>
      </c>
      <c r="E1203" t="s">
        <v>9</v>
      </c>
      <c r="F1203" s="121">
        <v>949</v>
      </c>
      <c r="G1203" s="123">
        <v>13</v>
      </c>
      <c r="H1203" s="103" t="s">
        <v>1143</v>
      </c>
    </row>
    <row r="1204" spans="2:8" x14ac:dyDescent="0.25">
      <c r="B1204">
        <v>1202</v>
      </c>
      <c r="C1204" t="s">
        <v>2493</v>
      </c>
      <c r="D1204">
        <v>0</v>
      </c>
      <c r="E1204" t="s">
        <v>9</v>
      </c>
      <c r="F1204" s="121">
        <v>4601</v>
      </c>
      <c r="G1204" s="123">
        <v>13</v>
      </c>
      <c r="H1204" s="103" t="s">
        <v>2494</v>
      </c>
    </row>
    <row r="1205" spans="2:8" x14ac:dyDescent="0.25">
      <c r="B1205">
        <v>1203</v>
      </c>
      <c r="C1205" t="s">
        <v>2495</v>
      </c>
      <c r="D1205">
        <v>0</v>
      </c>
      <c r="E1205" t="s">
        <v>21</v>
      </c>
      <c r="F1205" s="121">
        <v>3738</v>
      </c>
      <c r="G1205" s="103" t="s">
        <v>22</v>
      </c>
      <c r="H1205" s="103" t="s">
        <v>2496</v>
      </c>
    </row>
    <row r="1206" spans="2:8" x14ac:dyDescent="0.25">
      <c r="B1206">
        <v>1204</v>
      </c>
      <c r="C1206" t="s">
        <v>2497</v>
      </c>
      <c r="D1206">
        <v>0</v>
      </c>
      <c r="E1206" t="s">
        <v>9</v>
      </c>
      <c r="F1206" s="121">
        <v>4825</v>
      </c>
      <c r="G1206" s="123">
        <v>13</v>
      </c>
      <c r="H1206" s="103" t="s">
        <v>2498</v>
      </c>
    </row>
    <row r="1207" spans="2:8" x14ac:dyDescent="0.25">
      <c r="B1207">
        <v>1205</v>
      </c>
      <c r="C1207" t="s">
        <v>2499</v>
      </c>
      <c r="D1207">
        <v>0</v>
      </c>
      <c r="E1207" t="s">
        <v>21</v>
      </c>
      <c r="F1207" s="121">
        <v>3655</v>
      </c>
      <c r="G1207" s="103" t="s">
        <v>37</v>
      </c>
      <c r="H1207" s="103" t="s">
        <v>2500</v>
      </c>
    </row>
    <row r="1208" spans="2:8" x14ac:dyDescent="0.25">
      <c r="B1208">
        <v>1206</v>
      </c>
      <c r="C1208" t="s">
        <v>2501</v>
      </c>
      <c r="D1208">
        <v>0</v>
      </c>
      <c r="E1208" t="s">
        <v>21</v>
      </c>
      <c r="F1208" s="121">
        <v>3655</v>
      </c>
      <c r="G1208" s="103" t="s">
        <v>37</v>
      </c>
      <c r="H1208" s="103" t="s">
        <v>2502</v>
      </c>
    </row>
    <row r="1209" spans="2:8" x14ac:dyDescent="0.25">
      <c r="B1209">
        <v>1207</v>
      </c>
      <c r="C1209" t="s">
        <v>2503</v>
      </c>
      <c r="D1209">
        <v>0</v>
      </c>
      <c r="E1209" t="s">
        <v>9</v>
      </c>
      <c r="F1209" s="121">
        <v>780</v>
      </c>
      <c r="G1209" s="123">
        <v>23</v>
      </c>
      <c r="H1209" s="103" t="s">
        <v>2504</v>
      </c>
    </row>
    <row r="1210" spans="2:8" x14ac:dyDescent="0.25">
      <c r="B1210">
        <v>1208</v>
      </c>
      <c r="C1210" t="s">
        <v>2505</v>
      </c>
      <c r="D1210">
        <v>0</v>
      </c>
      <c r="E1210" t="s">
        <v>21</v>
      </c>
      <c r="F1210" s="121">
        <v>3655</v>
      </c>
      <c r="G1210" s="103" t="s">
        <v>37</v>
      </c>
      <c r="H1210" s="103" t="s">
        <v>2506</v>
      </c>
    </row>
    <row r="1211" spans="2:8" x14ac:dyDescent="0.25">
      <c r="B1211">
        <v>1209</v>
      </c>
      <c r="C1211" t="s">
        <v>2507</v>
      </c>
      <c r="D1211">
        <v>0</v>
      </c>
      <c r="E1211" t="s">
        <v>21</v>
      </c>
      <c r="F1211" s="121">
        <v>3655</v>
      </c>
      <c r="G1211" s="103" t="s">
        <v>37</v>
      </c>
      <c r="H1211" s="103" t="s">
        <v>2508</v>
      </c>
    </row>
    <row r="1212" spans="2:8" x14ac:dyDescent="0.25">
      <c r="B1212">
        <v>1210</v>
      </c>
      <c r="C1212" t="s">
        <v>2326</v>
      </c>
      <c r="D1212" t="s">
        <v>5150</v>
      </c>
      <c r="E1212" t="s">
        <v>9</v>
      </c>
      <c r="F1212" s="121">
        <v>4825</v>
      </c>
      <c r="G1212" s="123"/>
      <c r="H1212" s="103" t="s">
        <v>5130</v>
      </c>
    </row>
    <row r="1213" spans="2:8" x14ac:dyDescent="0.25">
      <c r="B1213">
        <v>1211</v>
      </c>
      <c r="C1213" t="s">
        <v>2509</v>
      </c>
      <c r="D1213">
        <v>0</v>
      </c>
      <c r="E1213" t="s">
        <v>9</v>
      </c>
      <c r="F1213" s="121">
        <v>4825</v>
      </c>
      <c r="G1213" s="123">
        <v>13</v>
      </c>
      <c r="H1213" s="103" t="s">
        <v>2510</v>
      </c>
    </row>
    <row r="1214" spans="2:8" x14ac:dyDescent="0.25">
      <c r="B1214">
        <v>1212</v>
      </c>
      <c r="C1214" t="s">
        <v>2511</v>
      </c>
      <c r="D1214">
        <v>0</v>
      </c>
      <c r="E1214" t="s">
        <v>21</v>
      </c>
      <c r="F1214" s="121" t="s">
        <v>264</v>
      </c>
      <c r="G1214" s="103" t="s">
        <v>22</v>
      </c>
      <c r="H1214" s="103" t="s">
        <v>2512</v>
      </c>
    </row>
    <row r="1215" spans="2:8" x14ac:dyDescent="0.25">
      <c r="B1215">
        <v>1213</v>
      </c>
      <c r="C1215" t="s">
        <v>2513</v>
      </c>
      <c r="D1215">
        <v>0</v>
      </c>
      <c r="E1215" t="s">
        <v>9</v>
      </c>
      <c r="F1215" s="121">
        <v>4818</v>
      </c>
      <c r="G1215" s="123">
        <v>13</v>
      </c>
      <c r="H1215" s="103" t="s">
        <v>2514</v>
      </c>
    </row>
    <row r="1216" spans="2:8" x14ac:dyDescent="0.25">
      <c r="B1216">
        <v>1214</v>
      </c>
      <c r="C1216" t="s">
        <v>2515</v>
      </c>
      <c r="D1216">
        <v>0</v>
      </c>
      <c r="E1216" t="s">
        <v>9</v>
      </c>
      <c r="F1216" s="121">
        <v>949</v>
      </c>
      <c r="G1216" s="123">
        <v>13</v>
      </c>
      <c r="H1216" s="103" t="s">
        <v>2516</v>
      </c>
    </row>
    <row r="1217" spans="2:8" x14ac:dyDescent="0.25">
      <c r="B1217">
        <v>1215</v>
      </c>
      <c r="C1217" t="s">
        <v>2517</v>
      </c>
      <c r="D1217">
        <v>0</v>
      </c>
      <c r="E1217" t="s">
        <v>9</v>
      </c>
      <c r="F1217" s="121">
        <v>949</v>
      </c>
      <c r="G1217" s="123">
        <v>23</v>
      </c>
      <c r="H1217" s="103" t="s">
        <v>1302</v>
      </c>
    </row>
    <row r="1218" spans="2:8" x14ac:dyDescent="0.25">
      <c r="B1218">
        <v>1216</v>
      </c>
      <c r="C1218" t="s">
        <v>2518</v>
      </c>
      <c r="D1218" s="125" t="s">
        <v>2519</v>
      </c>
      <c r="E1218" t="s">
        <v>9</v>
      </c>
      <c r="F1218" s="121">
        <v>4375</v>
      </c>
      <c r="G1218" s="123">
        <v>23</v>
      </c>
      <c r="H1218" s="103" t="s">
        <v>2520</v>
      </c>
    </row>
    <row r="1219" spans="2:8" x14ac:dyDescent="0.25">
      <c r="B1219">
        <v>1217</v>
      </c>
      <c r="C1219" t="s">
        <v>2521</v>
      </c>
      <c r="D1219">
        <v>0</v>
      </c>
      <c r="E1219" t="s">
        <v>9</v>
      </c>
      <c r="F1219" s="121">
        <v>659</v>
      </c>
      <c r="G1219" s="123">
        <v>13</v>
      </c>
      <c r="H1219" s="103" t="s">
        <v>2522</v>
      </c>
    </row>
    <row r="1220" spans="2:8" x14ac:dyDescent="0.25">
      <c r="B1220">
        <v>1218</v>
      </c>
      <c r="C1220" t="s">
        <v>2523</v>
      </c>
      <c r="D1220">
        <v>0</v>
      </c>
      <c r="E1220" t="s">
        <v>9</v>
      </c>
      <c r="F1220" s="121">
        <v>4601</v>
      </c>
      <c r="G1220" s="123">
        <v>13</v>
      </c>
      <c r="H1220" s="103" t="s">
        <v>2524</v>
      </c>
    </row>
    <row r="1221" spans="2:8" x14ac:dyDescent="0.25">
      <c r="B1221">
        <v>1219</v>
      </c>
      <c r="C1221" t="s">
        <v>2525</v>
      </c>
      <c r="D1221">
        <v>0</v>
      </c>
      <c r="E1221" t="s">
        <v>21</v>
      </c>
      <c r="F1221" s="121" t="s">
        <v>44</v>
      </c>
      <c r="G1221" s="103" t="s">
        <v>37</v>
      </c>
      <c r="H1221" s="103" t="s">
        <v>2526</v>
      </c>
    </row>
    <row r="1222" spans="2:8" x14ac:dyDescent="0.25">
      <c r="B1222">
        <v>1220</v>
      </c>
      <c r="C1222" t="s">
        <v>2527</v>
      </c>
      <c r="D1222">
        <v>0</v>
      </c>
      <c r="E1222" t="s">
        <v>9</v>
      </c>
      <c r="F1222" s="121">
        <v>4601</v>
      </c>
      <c r="G1222" s="123">
        <v>13</v>
      </c>
      <c r="H1222" s="103" t="s">
        <v>2528</v>
      </c>
    </row>
    <row r="1223" spans="2:8" x14ac:dyDescent="0.25">
      <c r="B1223">
        <v>1221</v>
      </c>
      <c r="C1223" t="s">
        <v>2529</v>
      </c>
      <c r="D1223">
        <v>0</v>
      </c>
      <c r="E1223" t="s">
        <v>21</v>
      </c>
      <c r="F1223" s="121" t="s">
        <v>264</v>
      </c>
      <c r="G1223" s="103" t="s">
        <v>22</v>
      </c>
      <c r="H1223" s="103" t="s">
        <v>2530</v>
      </c>
    </row>
    <row r="1224" spans="2:8" x14ac:dyDescent="0.25">
      <c r="B1224">
        <v>1222</v>
      </c>
      <c r="C1224" t="s">
        <v>2531</v>
      </c>
      <c r="D1224">
        <v>0</v>
      </c>
      <c r="E1224" t="s">
        <v>21</v>
      </c>
      <c r="F1224" s="121" t="s">
        <v>264</v>
      </c>
      <c r="G1224" s="103" t="s">
        <v>22</v>
      </c>
      <c r="H1224" s="103" t="s">
        <v>2532</v>
      </c>
    </row>
    <row r="1225" spans="2:8" x14ac:dyDescent="0.25">
      <c r="B1225">
        <v>1223</v>
      </c>
      <c r="C1225" t="s">
        <v>2533</v>
      </c>
      <c r="D1225">
        <v>0</v>
      </c>
      <c r="E1225" t="s">
        <v>35</v>
      </c>
      <c r="F1225" s="121" t="s">
        <v>36</v>
      </c>
      <c r="G1225" s="103" t="s">
        <v>22</v>
      </c>
      <c r="H1225" s="103" t="s">
        <v>2534</v>
      </c>
    </row>
    <row r="1226" spans="2:8" x14ac:dyDescent="0.25">
      <c r="B1226">
        <v>1224</v>
      </c>
      <c r="C1226" t="s">
        <v>2535</v>
      </c>
      <c r="D1226" t="s">
        <v>5195</v>
      </c>
      <c r="E1226" t="s">
        <v>21</v>
      </c>
      <c r="F1226" s="121" t="s">
        <v>264</v>
      </c>
      <c r="G1226" s="103" t="s">
        <v>22</v>
      </c>
      <c r="H1226" s="103" t="s">
        <v>2536</v>
      </c>
    </row>
    <row r="1227" spans="2:8" x14ac:dyDescent="0.25">
      <c r="B1227">
        <v>1225</v>
      </c>
      <c r="C1227" t="s">
        <v>2537</v>
      </c>
      <c r="D1227">
        <v>0</v>
      </c>
      <c r="E1227" t="s">
        <v>9</v>
      </c>
      <c r="F1227" s="121">
        <v>973</v>
      </c>
      <c r="G1227" s="123">
        <v>13</v>
      </c>
      <c r="H1227" s="103" t="s">
        <v>2538</v>
      </c>
    </row>
    <row r="1228" spans="2:8" x14ac:dyDescent="0.25">
      <c r="B1228">
        <v>1226</v>
      </c>
      <c r="C1228" t="s">
        <v>2539</v>
      </c>
      <c r="D1228">
        <v>0</v>
      </c>
      <c r="E1228" t="s">
        <v>9</v>
      </c>
      <c r="F1228" s="121">
        <v>3802</v>
      </c>
      <c r="G1228" s="123">
        <v>13</v>
      </c>
      <c r="H1228" s="103" t="s">
        <v>2540</v>
      </c>
    </row>
    <row r="1229" spans="2:8" x14ac:dyDescent="0.25">
      <c r="B1229">
        <v>1227</v>
      </c>
      <c r="C1229" t="s">
        <v>2541</v>
      </c>
      <c r="D1229">
        <v>0</v>
      </c>
      <c r="E1229" t="s">
        <v>9</v>
      </c>
      <c r="F1229" s="121">
        <v>949</v>
      </c>
      <c r="G1229" s="123">
        <v>13</v>
      </c>
      <c r="H1229" s="103" t="s">
        <v>2542</v>
      </c>
    </row>
    <row r="1230" spans="2:8" x14ac:dyDescent="0.25">
      <c r="B1230">
        <v>1228</v>
      </c>
      <c r="C1230" t="s">
        <v>767</v>
      </c>
      <c r="D1230">
        <v>0</v>
      </c>
      <c r="E1230" t="s">
        <v>9</v>
      </c>
      <c r="F1230" s="121">
        <v>4825</v>
      </c>
      <c r="G1230" s="123">
        <v>13</v>
      </c>
      <c r="H1230" s="103" t="s">
        <v>768</v>
      </c>
    </row>
    <row r="1231" spans="2:8" x14ac:dyDescent="0.25">
      <c r="B1231">
        <v>1229</v>
      </c>
      <c r="C1231" t="s">
        <v>2543</v>
      </c>
      <c r="D1231">
        <v>0</v>
      </c>
      <c r="E1231" t="s">
        <v>21</v>
      </c>
      <c r="F1231" s="121" t="s">
        <v>44</v>
      </c>
      <c r="G1231" s="103" t="s">
        <v>22</v>
      </c>
      <c r="H1231" s="103" t="s">
        <v>2544</v>
      </c>
    </row>
    <row r="1232" spans="2:8" x14ac:dyDescent="0.25">
      <c r="B1232">
        <v>1230</v>
      </c>
      <c r="C1232" t="s">
        <v>2545</v>
      </c>
      <c r="D1232" t="s">
        <v>2546</v>
      </c>
      <c r="E1232" t="s">
        <v>21</v>
      </c>
      <c r="F1232" s="121" t="s">
        <v>44</v>
      </c>
      <c r="G1232" s="103" t="s">
        <v>22</v>
      </c>
      <c r="H1232" s="103" t="s">
        <v>2547</v>
      </c>
    </row>
    <row r="1233" spans="2:8" x14ac:dyDescent="0.25">
      <c r="B1233">
        <v>1231</v>
      </c>
      <c r="C1233" t="s">
        <v>2548</v>
      </c>
      <c r="D1233" t="s">
        <v>2549</v>
      </c>
      <c r="E1233" t="s">
        <v>35</v>
      </c>
      <c r="F1233" s="121" t="s">
        <v>2550</v>
      </c>
      <c r="G1233" s="103" t="s">
        <v>37</v>
      </c>
      <c r="H1233" s="103" t="s">
        <v>2551</v>
      </c>
    </row>
    <row r="1234" spans="2:8" x14ac:dyDescent="0.25">
      <c r="B1234">
        <v>1232</v>
      </c>
      <c r="C1234" t="s">
        <v>2552</v>
      </c>
      <c r="D1234">
        <v>0</v>
      </c>
      <c r="E1234" t="s">
        <v>9</v>
      </c>
      <c r="F1234" s="121">
        <v>780</v>
      </c>
      <c r="G1234" s="123">
        <v>13</v>
      </c>
      <c r="H1234" s="103" t="s">
        <v>2553</v>
      </c>
    </row>
    <row r="1235" spans="2:8" x14ac:dyDescent="0.25">
      <c r="B1235">
        <v>1233</v>
      </c>
      <c r="C1235" t="s">
        <v>2554</v>
      </c>
      <c r="D1235">
        <v>0</v>
      </c>
      <c r="E1235" t="s">
        <v>21</v>
      </c>
      <c r="F1235" s="121" t="s">
        <v>72</v>
      </c>
      <c r="G1235" s="103" t="s">
        <v>22</v>
      </c>
      <c r="H1235" s="103" t="s">
        <v>2555</v>
      </c>
    </row>
    <row r="1236" spans="2:8" x14ac:dyDescent="0.25">
      <c r="B1236">
        <v>1234</v>
      </c>
      <c r="C1236" t="s">
        <v>2556</v>
      </c>
      <c r="D1236">
        <v>0</v>
      </c>
      <c r="E1236" t="s">
        <v>21</v>
      </c>
      <c r="F1236" s="121" t="s">
        <v>264</v>
      </c>
      <c r="G1236" s="103" t="s">
        <v>22</v>
      </c>
      <c r="H1236" s="103" t="s">
        <v>2557</v>
      </c>
    </row>
    <row r="1237" spans="2:8" x14ac:dyDescent="0.25">
      <c r="B1237">
        <v>1235</v>
      </c>
      <c r="C1237" t="s">
        <v>2558</v>
      </c>
      <c r="D1237" t="s">
        <v>2559</v>
      </c>
      <c r="E1237" t="s">
        <v>21</v>
      </c>
      <c r="F1237" s="121">
        <v>3871</v>
      </c>
      <c r="G1237" s="123"/>
      <c r="H1237" s="103" t="s">
        <v>5225</v>
      </c>
    </row>
    <row r="1238" spans="2:8" x14ac:dyDescent="0.25">
      <c r="B1238">
        <v>1236</v>
      </c>
      <c r="C1238" t="s">
        <v>2560</v>
      </c>
      <c r="D1238">
        <v>0</v>
      </c>
      <c r="E1238" t="s">
        <v>9</v>
      </c>
      <c r="F1238" s="121">
        <v>949</v>
      </c>
      <c r="G1238" s="123">
        <v>23</v>
      </c>
      <c r="H1238" s="103" t="s">
        <v>2561</v>
      </c>
    </row>
    <row r="1239" spans="2:8" x14ac:dyDescent="0.25">
      <c r="B1239">
        <v>1237</v>
      </c>
      <c r="C1239" t="s">
        <v>2562</v>
      </c>
      <c r="D1239">
        <v>0</v>
      </c>
      <c r="E1239" t="s">
        <v>9</v>
      </c>
      <c r="F1239" s="121">
        <v>949</v>
      </c>
      <c r="G1239" s="123">
        <v>23</v>
      </c>
      <c r="H1239" s="103" t="s">
        <v>2563</v>
      </c>
    </row>
    <row r="1240" spans="2:8" x14ac:dyDescent="0.25">
      <c r="B1240">
        <v>1238</v>
      </c>
      <c r="C1240" t="s">
        <v>2564</v>
      </c>
      <c r="D1240">
        <v>0</v>
      </c>
      <c r="E1240" t="s">
        <v>9</v>
      </c>
      <c r="F1240" s="121">
        <v>2734</v>
      </c>
      <c r="G1240" s="123">
        <v>13</v>
      </c>
      <c r="H1240" s="103" t="s">
        <v>2215</v>
      </c>
    </row>
    <row r="1241" spans="2:8" x14ac:dyDescent="0.25">
      <c r="B1241">
        <v>1239</v>
      </c>
      <c r="C1241" t="s">
        <v>2565</v>
      </c>
      <c r="D1241">
        <v>0</v>
      </c>
      <c r="E1241" t="s">
        <v>9</v>
      </c>
      <c r="F1241" s="121">
        <v>951</v>
      </c>
      <c r="G1241" s="123">
        <v>13</v>
      </c>
      <c r="H1241" s="103" t="s">
        <v>2566</v>
      </c>
    </row>
    <row r="1242" spans="2:8" x14ac:dyDescent="0.25">
      <c r="B1242">
        <v>1240</v>
      </c>
      <c r="C1242" t="s">
        <v>2567</v>
      </c>
      <c r="D1242" t="s">
        <v>2568</v>
      </c>
      <c r="E1242" t="s">
        <v>9</v>
      </c>
      <c r="F1242" s="121">
        <v>780</v>
      </c>
      <c r="G1242" s="103">
        <v>13</v>
      </c>
      <c r="H1242" s="103" t="s">
        <v>2569</v>
      </c>
    </row>
    <row r="1243" spans="2:8" x14ac:dyDescent="0.25">
      <c r="B1243">
        <v>1241</v>
      </c>
      <c r="C1243" t="s">
        <v>2570</v>
      </c>
      <c r="D1243" t="s">
        <v>2571</v>
      </c>
      <c r="E1243" t="s">
        <v>21</v>
      </c>
      <c r="F1243" s="121" t="s">
        <v>44</v>
      </c>
      <c r="G1243" s="103" t="s">
        <v>37</v>
      </c>
      <c r="H1243" s="103" t="s">
        <v>2572</v>
      </c>
    </row>
    <row r="1244" spans="2:8" x14ac:dyDescent="0.25">
      <c r="B1244">
        <v>1242</v>
      </c>
      <c r="C1244" t="s">
        <v>11</v>
      </c>
      <c r="D1244">
        <v>0</v>
      </c>
      <c r="E1244" t="s">
        <v>9</v>
      </c>
      <c r="F1244" s="121">
        <v>4825</v>
      </c>
      <c r="G1244" s="123">
        <v>13</v>
      </c>
      <c r="H1244" s="103" t="s">
        <v>12</v>
      </c>
    </row>
    <row r="1245" spans="2:8" x14ac:dyDescent="0.25">
      <c r="B1245">
        <v>1243</v>
      </c>
      <c r="C1245" t="s">
        <v>2573</v>
      </c>
      <c r="D1245">
        <v>0</v>
      </c>
      <c r="E1245" t="s">
        <v>9</v>
      </c>
      <c r="F1245" s="121">
        <v>4825</v>
      </c>
      <c r="G1245" s="123">
        <v>13</v>
      </c>
      <c r="H1245" s="103" t="s">
        <v>2574</v>
      </c>
    </row>
    <row r="1246" spans="2:8" x14ac:dyDescent="0.25">
      <c r="B1246">
        <v>1244</v>
      </c>
      <c r="C1246" t="s">
        <v>2575</v>
      </c>
      <c r="D1246">
        <v>0</v>
      </c>
      <c r="E1246" t="s">
        <v>21</v>
      </c>
      <c r="F1246" s="121" t="s">
        <v>44</v>
      </c>
      <c r="G1246" s="103" t="s">
        <v>37</v>
      </c>
      <c r="H1246" s="103" t="s">
        <v>2576</v>
      </c>
    </row>
    <row r="1247" spans="2:8" x14ac:dyDescent="0.25">
      <c r="B1247">
        <v>1245</v>
      </c>
      <c r="C1247" t="s">
        <v>2577</v>
      </c>
      <c r="D1247" t="s">
        <v>2578</v>
      </c>
      <c r="E1247" t="s">
        <v>9</v>
      </c>
      <c r="F1247" s="121">
        <v>4825</v>
      </c>
      <c r="G1247" s="123"/>
      <c r="H1247" s="103" t="s">
        <v>2579</v>
      </c>
    </row>
    <row r="1248" spans="2:8" x14ac:dyDescent="0.25">
      <c r="B1248">
        <v>1246</v>
      </c>
      <c r="C1248" t="s">
        <v>2580</v>
      </c>
      <c r="D1248">
        <v>0</v>
      </c>
      <c r="E1248" t="s">
        <v>9</v>
      </c>
      <c r="F1248" s="121">
        <v>4825</v>
      </c>
      <c r="G1248" s="123">
        <v>13</v>
      </c>
      <c r="H1248" s="103" t="s">
        <v>2581</v>
      </c>
    </row>
    <row r="1249" spans="2:8" x14ac:dyDescent="0.25">
      <c r="B1249">
        <v>1247</v>
      </c>
      <c r="C1249" t="s">
        <v>2582</v>
      </c>
      <c r="D1249">
        <v>0</v>
      </c>
      <c r="E1249" t="s">
        <v>9</v>
      </c>
      <c r="F1249" s="121">
        <v>949</v>
      </c>
      <c r="G1249" s="123">
        <v>13</v>
      </c>
      <c r="H1249" s="103" t="s">
        <v>2583</v>
      </c>
    </row>
    <row r="1250" spans="2:8" x14ac:dyDescent="0.25">
      <c r="B1250">
        <v>1248</v>
      </c>
      <c r="C1250" t="s">
        <v>2584</v>
      </c>
      <c r="D1250">
        <v>0</v>
      </c>
      <c r="E1250" t="s">
        <v>9</v>
      </c>
      <c r="F1250" s="121">
        <v>949</v>
      </c>
      <c r="G1250" s="123">
        <v>13</v>
      </c>
      <c r="H1250" s="103" t="s">
        <v>2585</v>
      </c>
    </row>
    <row r="1251" spans="2:8" x14ac:dyDescent="0.25">
      <c r="B1251">
        <v>1249</v>
      </c>
      <c r="C1251" t="s">
        <v>2586</v>
      </c>
      <c r="D1251">
        <v>0</v>
      </c>
      <c r="E1251" t="s">
        <v>9</v>
      </c>
      <c r="F1251" s="121">
        <v>4825</v>
      </c>
      <c r="G1251" s="123">
        <v>13</v>
      </c>
      <c r="H1251" s="103" t="s">
        <v>2587</v>
      </c>
    </row>
    <row r="1252" spans="2:8" x14ac:dyDescent="0.25">
      <c r="B1252">
        <v>1250</v>
      </c>
      <c r="C1252" t="s">
        <v>2588</v>
      </c>
      <c r="D1252">
        <v>0</v>
      </c>
      <c r="E1252" t="s">
        <v>9</v>
      </c>
      <c r="F1252" s="121">
        <v>4818</v>
      </c>
      <c r="G1252" s="123">
        <v>13</v>
      </c>
      <c r="H1252" s="103" t="s">
        <v>2589</v>
      </c>
    </row>
    <row r="1253" spans="2:8" x14ac:dyDescent="0.25">
      <c r="B1253">
        <v>1251</v>
      </c>
      <c r="C1253" t="s">
        <v>2590</v>
      </c>
      <c r="D1253" t="s">
        <v>2591</v>
      </c>
      <c r="E1253" t="s">
        <v>9</v>
      </c>
      <c r="F1253" s="121">
        <v>780</v>
      </c>
      <c r="G1253" s="123" t="s">
        <v>37</v>
      </c>
      <c r="H1253" s="103" t="s">
        <v>2592</v>
      </c>
    </row>
    <row r="1254" spans="2:8" x14ac:dyDescent="0.25">
      <c r="B1254">
        <v>1252</v>
      </c>
      <c r="C1254" t="s">
        <v>2593</v>
      </c>
      <c r="D1254">
        <v>0</v>
      </c>
      <c r="E1254" t="s">
        <v>21</v>
      </c>
      <c r="F1254" s="121" t="s">
        <v>264</v>
      </c>
      <c r="G1254" s="103" t="s">
        <v>22</v>
      </c>
      <c r="H1254" s="103" t="s">
        <v>2594</v>
      </c>
    </row>
    <row r="1255" spans="2:8" x14ac:dyDescent="0.25">
      <c r="B1255">
        <v>1253</v>
      </c>
      <c r="C1255" t="s">
        <v>2595</v>
      </c>
      <c r="D1255">
        <v>0</v>
      </c>
      <c r="E1255" t="s">
        <v>9</v>
      </c>
      <c r="F1255" s="121">
        <v>4825</v>
      </c>
      <c r="G1255" s="123">
        <v>13</v>
      </c>
      <c r="H1255" s="103" t="s">
        <v>2596</v>
      </c>
    </row>
    <row r="1256" spans="2:8" x14ac:dyDescent="0.25">
      <c r="B1256">
        <v>1254</v>
      </c>
      <c r="C1256" t="s">
        <v>2597</v>
      </c>
      <c r="D1256">
        <v>0</v>
      </c>
      <c r="E1256" t="s">
        <v>9</v>
      </c>
      <c r="F1256" s="121">
        <v>4825</v>
      </c>
      <c r="G1256" s="123">
        <v>13</v>
      </c>
      <c r="H1256" s="103" t="s">
        <v>2598</v>
      </c>
    </row>
    <row r="1257" spans="2:8" x14ac:dyDescent="0.25">
      <c r="B1257">
        <v>1255</v>
      </c>
      <c r="C1257" t="s">
        <v>2599</v>
      </c>
      <c r="D1257">
        <v>0</v>
      </c>
      <c r="E1257" t="s">
        <v>21</v>
      </c>
      <c r="F1257" s="121" t="s">
        <v>44</v>
      </c>
      <c r="G1257" s="103" t="s">
        <v>37</v>
      </c>
      <c r="H1257" s="103" t="s">
        <v>2600</v>
      </c>
    </row>
    <row r="1258" spans="2:8" x14ac:dyDescent="0.25">
      <c r="B1258">
        <v>1256</v>
      </c>
      <c r="C1258" t="s">
        <v>2601</v>
      </c>
      <c r="D1258">
        <v>0</v>
      </c>
      <c r="E1258" t="s">
        <v>9</v>
      </c>
      <c r="F1258" s="121">
        <v>4818</v>
      </c>
      <c r="G1258" s="123">
        <v>13</v>
      </c>
      <c r="H1258" s="103" t="s">
        <v>2602</v>
      </c>
    </row>
    <row r="1259" spans="2:8" x14ac:dyDescent="0.25">
      <c r="B1259">
        <v>1257</v>
      </c>
      <c r="C1259" t="s">
        <v>2603</v>
      </c>
      <c r="D1259">
        <v>0</v>
      </c>
      <c r="E1259" t="s">
        <v>21</v>
      </c>
      <c r="F1259" s="121" t="s">
        <v>431</v>
      </c>
      <c r="G1259" s="103" t="s">
        <v>37</v>
      </c>
      <c r="H1259" s="103" t="s">
        <v>2604</v>
      </c>
    </row>
    <row r="1260" spans="2:8" x14ac:dyDescent="0.25">
      <c r="B1260">
        <v>1258</v>
      </c>
      <c r="C1260" t="s">
        <v>2605</v>
      </c>
      <c r="D1260">
        <v>0</v>
      </c>
      <c r="E1260" t="s">
        <v>21</v>
      </c>
      <c r="F1260" s="121" t="s">
        <v>44</v>
      </c>
      <c r="G1260" s="103" t="s">
        <v>37</v>
      </c>
      <c r="H1260" s="103" t="s">
        <v>2606</v>
      </c>
    </row>
    <row r="1261" spans="2:8" x14ac:dyDescent="0.25">
      <c r="B1261">
        <v>1259</v>
      </c>
      <c r="C1261" t="s">
        <v>263</v>
      </c>
      <c r="D1261" t="s">
        <v>2607</v>
      </c>
      <c r="E1261" t="s">
        <v>21</v>
      </c>
      <c r="F1261" s="121" t="s">
        <v>264</v>
      </c>
      <c r="G1261" s="103" t="s">
        <v>37</v>
      </c>
      <c r="H1261" s="103" t="s">
        <v>265</v>
      </c>
    </row>
    <row r="1262" spans="2:8" x14ac:dyDescent="0.25">
      <c r="B1262">
        <v>1260</v>
      </c>
      <c r="C1262" t="s">
        <v>2608</v>
      </c>
      <c r="D1262">
        <v>0</v>
      </c>
      <c r="E1262" t="s">
        <v>9</v>
      </c>
      <c r="F1262" s="121">
        <v>4825</v>
      </c>
      <c r="G1262" s="123">
        <v>13</v>
      </c>
      <c r="H1262" s="103" t="s">
        <v>2609</v>
      </c>
    </row>
    <row r="1263" spans="2:8" x14ac:dyDescent="0.25">
      <c r="B1263">
        <v>1261</v>
      </c>
      <c r="C1263" t="s">
        <v>2610</v>
      </c>
      <c r="D1263">
        <v>0</v>
      </c>
      <c r="E1263" t="s">
        <v>9</v>
      </c>
      <c r="F1263" s="121">
        <v>780</v>
      </c>
      <c r="G1263" s="123">
        <v>23</v>
      </c>
      <c r="H1263" s="103" t="s">
        <v>2611</v>
      </c>
    </row>
    <row r="1264" spans="2:8" x14ac:dyDescent="0.25">
      <c r="B1264">
        <v>1262</v>
      </c>
      <c r="C1264" t="s">
        <v>2612</v>
      </c>
      <c r="D1264" t="s">
        <v>2613</v>
      </c>
      <c r="E1264" t="s">
        <v>9</v>
      </c>
      <c r="F1264" s="121">
        <v>780</v>
      </c>
      <c r="G1264" s="123"/>
      <c r="H1264" s="103" t="s">
        <v>2614</v>
      </c>
    </row>
    <row r="1265" spans="2:8" x14ac:dyDescent="0.25">
      <c r="B1265">
        <v>1263</v>
      </c>
      <c r="C1265" t="s">
        <v>2615</v>
      </c>
      <c r="D1265">
        <v>0</v>
      </c>
      <c r="E1265" t="s">
        <v>21</v>
      </c>
      <c r="F1265" s="121" t="s">
        <v>2616</v>
      </c>
      <c r="G1265" s="103" t="s">
        <v>37</v>
      </c>
      <c r="H1265" s="103" t="s">
        <v>2617</v>
      </c>
    </row>
    <row r="1266" spans="2:8" x14ac:dyDescent="0.25">
      <c r="B1266">
        <v>1264</v>
      </c>
      <c r="C1266" t="s">
        <v>2618</v>
      </c>
      <c r="D1266">
        <v>0</v>
      </c>
      <c r="E1266" t="s">
        <v>21</v>
      </c>
      <c r="F1266" s="121" t="s">
        <v>264</v>
      </c>
      <c r="G1266" s="103" t="s">
        <v>37</v>
      </c>
      <c r="H1266" s="103" t="s">
        <v>2619</v>
      </c>
    </row>
    <row r="1267" spans="2:8" x14ac:dyDescent="0.25">
      <c r="B1267">
        <v>1265</v>
      </c>
      <c r="C1267" t="s">
        <v>2620</v>
      </c>
      <c r="D1267">
        <v>0</v>
      </c>
      <c r="E1267" t="s">
        <v>9</v>
      </c>
      <c r="F1267" s="121">
        <v>3458</v>
      </c>
      <c r="G1267" s="123">
        <v>13</v>
      </c>
      <c r="H1267" s="103" t="s">
        <v>2621</v>
      </c>
    </row>
    <row r="1268" spans="2:8" x14ac:dyDescent="0.25">
      <c r="B1268">
        <v>1266</v>
      </c>
      <c r="C1268" t="s">
        <v>2622</v>
      </c>
      <c r="D1268">
        <v>0</v>
      </c>
      <c r="E1268" t="s">
        <v>35</v>
      </c>
      <c r="F1268" s="121" t="s">
        <v>36</v>
      </c>
      <c r="G1268" s="103" t="s">
        <v>37</v>
      </c>
      <c r="H1268" s="103" t="s">
        <v>2623</v>
      </c>
    </row>
    <row r="1269" spans="2:8" x14ac:dyDescent="0.25">
      <c r="B1269">
        <v>1267</v>
      </c>
      <c r="C1269" t="s">
        <v>2624</v>
      </c>
      <c r="D1269">
        <v>0</v>
      </c>
      <c r="E1269" t="s">
        <v>9</v>
      </c>
      <c r="F1269" s="121">
        <v>4825</v>
      </c>
      <c r="G1269" s="123">
        <v>13</v>
      </c>
      <c r="H1269" s="103" t="s">
        <v>2625</v>
      </c>
    </row>
    <row r="1270" spans="2:8" x14ac:dyDescent="0.25">
      <c r="B1270">
        <v>1268</v>
      </c>
      <c r="C1270" t="s">
        <v>2626</v>
      </c>
      <c r="D1270">
        <v>0</v>
      </c>
      <c r="E1270" t="s">
        <v>9</v>
      </c>
      <c r="F1270" s="121">
        <v>4825</v>
      </c>
      <c r="G1270" s="123">
        <v>13</v>
      </c>
      <c r="H1270" s="103" t="s">
        <v>2627</v>
      </c>
    </row>
    <row r="1271" spans="2:8" x14ac:dyDescent="0.25">
      <c r="B1271">
        <v>1269</v>
      </c>
      <c r="C1271" t="s">
        <v>2628</v>
      </c>
      <c r="D1271" t="s">
        <v>2629</v>
      </c>
      <c r="E1271" t="s">
        <v>21</v>
      </c>
      <c r="F1271" s="121">
        <v>3858</v>
      </c>
      <c r="G1271" s="123" t="s">
        <v>37</v>
      </c>
      <c r="H1271" s="103" t="s">
        <v>2630</v>
      </c>
    </row>
    <row r="1272" spans="2:8" x14ac:dyDescent="0.25">
      <c r="B1272">
        <v>1270</v>
      </c>
      <c r="C1272" t="s">
        <v>2631</v>
      </c>
      <c r="D1272">
        <v>0</v>
      </c>
      <c r="E1272" t="s">
        <v>9</v>
      </c>
      <c r="F1272" s="121">
        <v>4825</v>
      </c>
      <c r="G1272" s="123">
        <v>13</v>
      </c>
      <c r="H1272" s="103" t="s">
        <v>1155</v>
      </c>
    </row>
    <row r="1273" spans="2:8" x14ac:dyDescent="0.25">
      <c r="B1273">
        <v>1271</v>
      </c>
      <c r="C1273" t="s">
        <v>2632</v>
      </c>
      <c r="D1273">
        <v>0</v>
      </c>
      <c r="E1273" t="s">
        <v>9</v>
      </c>
      <c r="F1273" s="121">
        <v>780</v>
      </c>
      <c r="G1273" s="123">
        <v>13</v>
      </c>
      <c r="H1273" s="103" t="s">
        <v>2633</v>
      </c>
    </row>
    <row r="1274" spans="2:8" x14ac:dyDescent="0.25">
      <c r="B1274">
        <v>1272</v>
      </c>
      <c r="C1274" t="s">
        <v>2634</v>
      </c>
      <c r="D1274">
        <v>0</v>
      </c>
      <c r="E1274" t="s">
        <v>9</v>
      </c>
      <c r="F1274" s="121">
        <v>4601</v>
      </c>
      <c r="G1274" s="123">
        <v>13</v>
      </c>
      <c r="H1274" s="103" t="s">
        <v>2635</v>
      </c>
    </row>
    <row r="1275" spans="2:8" x14ac:dyDescent="0.25">
      <c r="B1275">
        <v>1273</v>
      </c>
      <c r="C1275" t="s">
        <v>2636</v>
      </c>
      <c r="D1275">
        <v>0</v>
      </c>
      <c r="E1275" t="s">
        <v>9</v>
      </c>
      <c r="F1275" s="121">
        <v>4825</v>
      </c>
      <c r="G1275" s="123">
        <v>13</v>
      </c>
      <c r="H1275" s="103" t="s">
        <v>2637</v>
      </c>
    </row>
    <row r="1276" spans="2:8" x14ac:dyDescent="0.25">
      <c r="B1276">
        <v>1274</v>
      </c>
      <c r="C1276" t="s">
        <v>2638</v>
      </c>
      <c r="D1276">
        <v>0</v>
      </c>
      <c r="E1276" t="s">
        <v>9</v>
      </c>
      <c r="F1276" s="121">
        <v>4222</v>
      </c>
      <c r="G1276" s="123">
        <v>13</v>
      </c>
      <c r="H1276" s="103" t="s">
        <v>2639</v>
      </c>
    </row>
    <row r="1277" spans="2:8" x14ac:dyDescent="0.25">
      <c r="B1277">
        <v>1275</v>
      </c>
      <c r="C1277" t="s">
        <v>2640</v>
      </c>
      <c r="D1277">
        <v>0</v>
      </c>
      <c r="E1277" t="s">
        <v>21</v>
      </c>
      <c r="F1277" s="121" t="s">
        <v>264</v>
      </c>
      <c r="G1277" s="103" t="s">
        <v>37</v>
      </c>
      <c r="H1277" s="103" t="s">
        <v>2641</v>
      </c>
    </row>
    <row r="1278" spans="2:8" x14ac:dyDescent="0.25">
      <c r="B1278">
        <v>1276</v>
      </c>
      <c r="C1278" t="s">
        <v>2642</v>
      </c>
      <c r="D1278">
        <v>0</v>
      </c>
      <c r="E1278" t="s">
        <v>21</v>
      </c>
      <c r="F1278" s="121" t="s">
        <v>44</v>
      </c>
      <c r="G1278" s="103" t="s">
        <v>37</v>
      </c>
      <c r="H1278" s="103" t="s">
        <v>2643</v>
      </c>
    </row>
    <row r="1279" spans="2:8" x14ac:dyDescent="0.25">
      <c r="B1279">
        <v>1277</v>
      </c>
      <c r="C1279" t="s">
        <v>2644</v>
      </c>
      <c r="D1279" t="s">
        <v>2645</v>
      </c>
      <c r="E1279" t="s">
        <v>9</v>
      </c>
      <c r="F1279" s="121">
        <v>4825</v>
      </c>
      <c r="G1279" s="123"/>
      <c r="H1279" s="103" t="s">
        <v>5132</v>
      </c>
    </row>
    <row r="1280" spans="2:8" x14ac:dyDescent="0.25">
      <c r="B1280">
        <v>1278</v>
      </c>
      <c r="C1280" t="s">
        <v>2646</v>
      </c>
      <c r="D1280">
        <v>0</v>
      </c>
      <c r="E1280" t="s">
        <v>9</v>
      </c>
      <c r="F1280" s="121">
        <v>4825</v>
      </c>
      <c r="G1280" s="123">
        <v>13</v>
      </c>
      <c r="H1280" s="103" t="s">
        <v>2647</v>
      </c>
    </row>
    <row r="1281" spans="2:8" x14ac:dyDescent="0.25">
      <c r="B1281">
        <v>1279</v>
      </c>
      <c r="C1281" t="s">
        <v>2648</v>
      </c>
      <c r="D1281">
        <v>0</v>
      </c>
      <c r="E1281" t="s">
        <v>9</v>
      </c>
      <c r="F1281" s="121">
        <v>2734</v>
      </c>
      <c r="G1281" s="123">
        <v>23</v>
      </c>
      <c r="H1281" s="103" t="s">
        <v>2649</v>
      </c>
    </row>
    <row r="1282" spans="2:8" x14ac:dyDescent="0.25">
      <c r="B1282">
        <v>1280</v>
      </c>
      <c r="C1282" t="s">
        <v>2650</v>
      </c>
      <c r="D1282">
        <v>0</v>
      </c>
      <c r="E1282" t="s">
        <v>21</v>
      </c>
      <c r="F1282" s="121" t="s">
        <v>264</v>
      </c>
      <c r="G1282" s="103" t="s">
        <v>37</v>
      </c>
      <c r="H1282" s="103" t="s">
        <v>2651</v>
      </c>
    </row>
    <row r="1283" spans="2:8" x14ac:dyDescent="0.25">
      <c r="B1283">
        <v>1281</v>
      </c>
      <c r="C1283" t="s">
        <v>2652</v>
      </c>
      <c r="D1283">
        <v>0</v>
      </c>
      <c r="E1283" t="s">
        <v>9</v>
      </c>
      <c r="F1283" s="121">
        <v>949</v>
      </c>
      <c r="G1283" s="123">
        <v>13</v>
      </c>
      <c r="H1283" s="103" t="s">
        <v>2653</v>
      </c>
    </row>
    <row r="1284" spans="2:8" x14ac:dyDescent="0.25">
      <c r="B1284">
        <v>1282</v>
      </c>
      <c r="C1284" t="s">
        <v>2654</v>
      </c>
      <c r="D1284">
        <v>0</v>
      </c>
      <c r="E1284" t="s">
        <v>9</v>
      </c>
      <c r="F1284" s="121">
        <v>1254</v>
      </c>
      <c r="G1284" s="123">
        <v>13</v>
      </c>
      <c r="H1284" s="103" t="s">
        <v>2655</v>
      </c>
    </row>
    <row r="1285" spans="2:8" x14ac:dyDescent="0.25">
      <c r="B1285">
        <v>1283</v>
      </c>
      <c r="C1285" t="s">
        <v>2656</v>
      </c>
      <c r="D1285">
        <v>0</v>
      </c>
      <c r="E1285" t="s">
        <v>9</v>
      </c>
      <c r="F1285" s="121">
        <v>949</v>
      </c>
      <c r="G1285" s="123">
        <v>23</v>
      </c>
      <c r="H1285" s="103" t="s">
        <v>2657</v>
      </c>
    </row>
    <row r="1286" spans="2:8" x14ac:dyDescent="0.25">
      <c r="B1286">
        <v>1284</v>
      </c>
      <c r="C1286" t="s">
        <v>2658</v>
      </c>
      <c r="D1286">
        <v>0</v>
      </c>
      <c r="E1286" t="s">
        <v>21</v>
      </c>
      <c r="F1286" s="121" t="s">
        <v>44</v>
      </c>
      <c r="G1286" s="103" t="s">
        <v>37</v>
      </c>
      <c r="H1286" s="103" t="s">
        <v>2659</v>
      </c>
    </row>
    <row r="1287" spans="2:8" x14ac:dyDescent="0.25">
      <c r="B1287">
        <v>1285</v>
      </c>
      <c r="C1287" t="s">
        <v>2660</v>
      </c>
      <c r="D1287">
        <v>0</v>
      </c>
      <c r="E1287" t="s">
        <v>21</v>
      </c>
      <c r="F1287" s="121" t="s">
        <v>44</v>
      </c>
      <c r="G1287" s="103" t="s">
        <v>37</v>
      </c>
      <c r="H1287" s="103" t="s">
        <v>2661</v>
      </c>
    </row>
    <row r="1288" spans="2:8" x14ac:dyDescent="0.25">
      <c r="B1288">
        <v>1286</v>
      </c>
      <c r="C1288" t="s">
        <v>1041</v>
      </c>
      <c r="D1288">
        <v>0</v>
      </c>
      <c r="E1288" t="s">
        <v>21</v>
      </c>
      <c r="F1288" s="121" t="s">
        <v>44</v>
      </c>
      <c r="G1288" s="103" t="s">
        <v>37</v>
      </c>
      <c r="H1288" s="103" t="s">
        <v>2662</v>
      </c>
    </row>
    <row r="1289" spans="2:8" x14ac:dyDescent="0.25">
      <c r="B1289">
        <v>1287</v>
      </c>
      <c r="C1289" t="s">
        <v>2663</v>
      </c>
      <c r="D1289">
        <v>0</v>
      </c>
      <c r="E1289" t="s">
        <v>9</v>
      </c>
      <c r="F1289" s="121">
        <v>4825</v>
      </c>
      <c r="G1289" s="123">
        <v>13</v>
      </c>
      <c r="H1289" s="103" t="s">
        <v>2664</v>
      </c>
    </row>
    <row r="1290" spans="2:8" x14ac:dyDescent="0.25">
      <c r="B1290">
        <v>1288</v>
      </c>
      <c r="C1290" t="s">
        <v>2665</v>
      </c>
      <c r="D1290">
        <v>0</v>
      </c>
      <c r="E1290" t="s">
        <v>21</v>
      </c>
      <c r="F1290" s="121" t="s">
        <v>44</v>
      </c>
      <c r="G1290" s="103" t="s">
        <v>37</v>
      </c>
      <c r="H1290" s="103" t="s">
        <v>2666</v>
      </c>
    </row>
    <row r="1291" spans="2:8" x14ac:dyDescent="0.25">
      <c r="B1291">
        <v>1289</v>
      </c>
      <c r="C1291" t="s">
        <v>2667</v>
      </c>
      <c r="D1291">
        <v>0</v>
      </c>
      <c r="E1291" t="s">
        <v>21</v>
      </c>
      <c r="F1291" s="121" t="s">
        <v>44</v>
      </c>
      <c r="G1291" s="103" t="s">
        <v>37</v>
      </c>
      <c r="H1291" s="103" t="s">
        <v>2668</v>
      </c>
    </row>
    <row r="1292" spans="2:8" x14ac:dyDescent="0.25">
      <c r="B1292">
        <v>1290</v>
      </c>
      <c r="C1292" t="s">
        <v>2669</v>
      </c>
      <c r="D1292">
        <v>0</v>
      </c>
      <c r="E1292" t="s">
        <v>21</v>
      </c>
      <c r="F1292" s="121" t="s">
        <v>44</v>
      </c>
      <c r="G1292" s="103" t="s">
        <v>37</v>
      </c>
      <c r="H1292" s="103" t="s">
        <v>2670</v>
      </c>
    </row>
    <row r="1293" spans="2:8" x14ac:dyDescent="0.25">
      <c r="B1293">
        <v>1291</v>
      </c>
      <c r="C1293" t="s">
        <v>2671</v>
      </c>
      <c r="D1293">
        <v>0</v>
      </c>
      <c r="E1293" t="s">
        <v>9</v>
      </c>
      <c r="F1293" s="121">
        <v>128</v>
      </c>
      <c r="G1293" s="123">
        <v>13</v>
      </c>
      <c r="H1293" s="103" t="s">
        <v>2672</v>
      </c>
    </row>
    <row r="1294" spans="2:8" x14ac:dyDescent="0.25">
      <c r="B1294">
        <v>1292</v>
      </c>
      <c r="C1294" t="s">
        <v>2673</v>
      </c>
      <c r="D1294">
        <v>0</v>
      </c>
      <c r="E1294" t="s">
        <v>9</v>
      </c>
      <c r="F1294" s="121">
        <v>4825</v>
      </c>
      <c r="G1294" s="123">
        <v>13</v>
      </c>
      <c r="H1294" s="103" t="s">
        <v>2674</v>
      </c>
    </row>
    <row r="1295" spans="2:8" x14ac:dyDescent="0.25">
      <c r="B1295">
        <v>1293</v>
      </c>
      <c r="C1295" t="s">
        <v>2675</v>
      </c>
      <c r="D1295">
        <v>0</v>
      </c>
      <c r="E1295" t="s">
        <v>21</v>
      </c>
      <c r="F1295" s="121" t="s">
        <v>44</v>
      </c>
      <c r="G1295" s="103" t="s">
        <v>22</v>
      </c>
      <c r="H1295" s="103" t="s">
        <v>2676</v>
      </c>
    </row>
    <row r="1296" spans="2:8" x14ac:dyDescent="0.25">
      <c r="B1296">
        <v>1294</v>
      </c>
      <c r="C1296" t="s">
        <v>2677</v>
      </c>
      <c r="D1296">
        <v>0</v>
      </c>
      <c r="E1296" t="s">
        <v>21</v>
      </c>
      <c r="F1296" s="121" t="s">
        <v>44</v>
      </c>
      <c r="G1296" s="103" t="s">
        <v>22</v>
      </c>
      <c r="H1296" s="103" t="s">
        <v>2678</v>
      </c>
    </row>
    <row r="1297" spans="2:8" x14ac:dyDescent="0.25">
      <c r="B1297">
        <v>1295</v>
      </c>
      <c r="C1297" t="s">
        <v>2679</v>
      </c>
      <c r="D1297">
        <v>0</v>
      </c>
      <c r="E1297" t="s">
        <v>21</v>
      </c>
      <c r="F1297" s="121">
        <v>2842</v>
      </c>
      <c r="G1297" s="103" t="s">
        <v>37</v>
      </c>
      <c r="H1297" s="103" t="s">
        <v>2680</v>
      </c>
    </row>
    <row r="1298" spans="2:8" x14ac:dyDescent="0.25">
      <c r="B1298">
        <v>1296</v>
      </c>
      <c r="C1298" t="s">
        <v>2681</v>
      </c>
      <c r="D1298">
        <v>0</v>
      </c>
      <c r="E1298" t="s">
        <v>9</v>
      </c>
      <c r="F1298" s="121">
        <v>949</v>
      </c>
      <c r="G1298" s="123">
        <v>23</v>
      </c>
      <c r="H1298" s="103" t="s">
        <v>2682</v>
      </c>
    </row>
    <row r="1299" spans="2:8" x14ac:dyDescent="0.25">
      <c r="B1299">
        <v>1297</v>
      </c>
      <c r="C1299" t="s">
        <v>1619</v>
      </c>
      <c r="D1299">
        <v>0</v>
      </c>
      <c r="E1299" t="s">
        <v>9</v>
      </c>
      <c r="F1299" s="121">
        <v>4818</v>
      </c>
      <c r="G1299" s="123">
        <v>13</v>
      </c>
      <c r="H1299" s="103" t="s">
        <v>1620</v>
      </c>
    </row>
    <row r="1300" spans="2:8" x14ac:dyDescent="0.25">
      <c r="B1300">
        <v>1298</v>
      </c>
      <c r="C1300" t="s">
        <v>2683</v>
      </c>
      <c r="D1300">
        <v>0</v>
      </c>
      <c r="E1300" t="s">
        <v>9</v>
      </c>
      <c r="F1300" s="121">
        <v>4818</v>
      </c>
      <c r="G1300" s="123">
        <v>13</v>
      </c>
      <c r="H1300" s="103" t="s">
        <v>2684</v>
      </c>
    </row>
    <row r="1301" spans="2:8" x14ac:dyDescent="0.25">
      <c r="B1301">
        <v>1299</v>
      </c>
      <c r="C1301" t="s">
        <v>2685</v>
      </c>
      <c r="D1301">
        <v>0</v>
      </c>
      <c r="E1301" t="s">
        <v>9</v>
      </c>
      <c r="F1301" s="121">
        <v>4893</v>
      </c>
      <c r="G1301" s="123">
        <v>13</v>
      </c>
      <c r="H1301" s="103" t="s">
        <v>2686</v>
      </c>
    </row>
    <row r="1302" spans="2:8" x14ac:dyDescent="0.25">
      <c r="B1302">
        <v>1300</v>
      </c>
      <c r="C1302" t="s">
        <v>2687</v>
      </c>
      <c r="D1302">
        <v>0</v>
      </c>
      <c r="E1302" t="s">
        <v>9</v>
      </c>
      <c r="F1302" s="121">
        <v>4825</v>
      </c>
      <c r="G1302" s="123">
        <v>13</v>
      </c>
      <c r="H1302" s="103" t="s">
        <v>2688</v>
      </c>
    </row>
    <row r="1303" spans="2:8" x14ac:dyDescent="0.25">
      <c r="B1303">
        <v>1301</v>
      </c>
      <c r="C1303" t="s">
        <v>2689</v>
      </c>
      <c r="D1303">
        <v>0</v>
      </c>
      <c r="E1303" t="s">
        <v>9</v>
      </c>
      <c r="F1303" s="121">
        <v>4825</v>
      </c>
      <c r="G1303" s="123">
        <v>23</v>
      </c>
      <c r="H1303" s="103" t="s">
        <v>2690</v>
      </c>
    </row>
    <row r="1304" spans="2:8" x14ac:dyDescent="0.25">
      <c r="B1304">
        <v>1302</v>
      </c>
      <c r="C1304" t="s">
        <v>2691</v>
      </c>
      <c r="D1304">
        <v>0</v>
      </c>
      <c r="E1304" t="s">
        <v>9</v>
      </c>
      <c r="F1304" s="121">
        <v>4825</v>
      </c>
      <c r="G1304" s="123">
        <v>13</v>
      </c>
      <c r="H1304" s="103" t="s">
        <v>2692</v>
      </c>
    </row>
    <row r="1305" spans="2:8" x14ac:dyDescent="0.25">
      <c r="B1305">
        <v>1303</v>
      </c>
      <c r="C1305" t="s">
        <v>2693</v>
      </c>
      <c r="D1305">
        <v>0</v>
      </c>
      <c r="E1305" t="s">
        <v>21</v>
      </c>
      <c r="F1305" s="121" t="s">
        <v>44</v>
      </c>
      <c r="G1305" s="103" t="s">
        <v>22</v>
      </c>
      <c r="H1305" s="103" t="s">
        <v>2694</v>
      </c>
    </row>
    <row r="1306" spans="2:8" x14ac:dyDescent="0.25">
      <c r="B1306">
        <v>1304</v>
      </c>
      <c r="C1306" t="s">
        <v>2695</v>
      </c>
      <c r="D1306">
        <v>0</v>
      </c>
      <c r="E1306" t="s">
        <v>9</v>
      </c>
      <c r="F1306" s="121">
        <v>4825</v>
      </c>
      <c r="G1306" s="123">
        <v>13</v>
      </c>
      <c r="H1306" s="103" t="s">
        <v>2696</v>
      </c>
    </row>
    <row r="1307" spans="2:8" x14ac:dyDescent="0.25">
      <c r="B1307">
        <v>1305</v>
      </c>
      <c r="C1307" t="s">
        <v>2697</v>
      </c>
      <c r="D1307">
        <v>0</v>
      </c>
      <c r="E1307" t="s">
        <v>35</v>
      </c>
      <c r="F1307" s="121" t="s">
        <v>452</v>
      </c>
      <c r="G1307" s="103" t="s">
        <v>37</v>
      </c>
      <c r="H1307" s="103" t="s">
        <v>2698</v>
      </c>
    </row>
    <row r="1308" spans="2:8" x14ac:dyDescent="0.25">
      <c r="B1308">
        <v>1306</v>
      </c>
      <c r="C1308" t="s">
        <v>2699</v>
      </c>
      <c r="D1308">
        <v>0</v>
      </c>
      <c r="E1308" t="s">
        <v>21</v>
      </c>
      <c r="F1308" s="121" t="s">
        <v>264</v>
      </c>
      <c r="G1308" s="103" t="s">
        <v>37</v>
      </c>
      <c r="H1308" s="103" t="s">
        <v>2700</v>
      </c>
    </row>
    <row r="1309" spans="2:8" x14ac:dyDescent="0.25">
      <c r="B1309">
        <v>1307</v>
      </c>
      <c r="C1309" t="s">
        <v>2701</v>
      </c>
      <c r="D1309">
        <v>0</v>
      </c>
      <c r="E1309" t="s">
        <v>9</v>
      </c>
      <c r="F1309" s="121">
        <v>949</v>
      </c>
      <c r="G1309" s="123">
        <v>13</v>
      </c>
      <c r="H1309" s="103" t="s">
        <v>2702</v>
      </c>
    </row>
    <row r="1310" spans="2:8" x14ac:dyDescent="0.25">
      <c r="B1310">
        <v>1308</v>
      </c>
      <c r="C1310" t="s">
        <v>2703</v>
      </c>
      <c r="D1310">
        <v>0</v>
      </c>
      <c r="E1310" t="s">
        <v>9</v>
      </c>
      <c r="F1310" s="121">
        <v>949</v>
      </c>
      <c r="G1310" s="123">
        <v>23</v>
      </c>
      <c r="H1310" s="103" t="s">
        <v>2704</v>
      </c>
    </row>
    <row r="1311" spans="2:8" x14ac:dyDescent="0.25">
      <c r="B1311">
        <v>1309</v>
      </c>
      <c r="C1311" t="s">
        <v>2705</v>
      </c>
      <c r="D1311">
        <v>0</v>
      </c>
      <c r="E1311" t="s">
        <v>21</v>
      </c>
      <c r="F1311" s="121" t="s">
        <v>44</v>
      </c>
      <c r="G1311" s="103" t="s">
        <v>22</v>
      </c>
      <c r="H1311" s="103" t="s">
        <v>2706</v>
      </c>
    </row>
    <row r="1312" spans="2:8" x14ac:dyDescent="0.25">
      <c r="B1312">
        <v>1310</v>
      </c>
      <c r="C1312" t="s">
        <v>2707</v>
      </c>
      <c r="D1312" t="s">
        <v>2708</v>
      </c>
      <c r="E1312" t="s">
        <v>21</v>
      </c>
      <c r="F1312" s="121" t="s">
        <v>44</v>
      </c>
      <c r="H1312" s="103" t="s">
        <v>2709</v>
      </c>
    </row>
    <row r="1313" spans="2:8" x14ac:dyDescent="0.25">
      <c r="B1313">
        <v>1311</v>
      </c>
      <c r="C1313" t="s">
        <v>2710</v>
      </c>
      <c r="D1313">
        <v>0</v>
      </c>
      <c r="E1313" t="s">
        <v>21</v>
      </c>
      <c r="F1313" s="121" t="s">
        <v>44</v>
      </c>
      <c r="G1313" s="103" t="s">
        <v>22</v>
      </c>
      <c r="H1313" s="103" t="s">
        <v>2711</v>
      </c>
    </row>
    <row r="1314" spans="2:8" x14ac:dyDescent="0.25">
      <c r="B1314">
        <v>1312</v>
      </c>
      <c r="C1314" t="s">
        <v>2712</v>
      </c>
      <c r="D1314">
        <v>0</v>
      </c>
      <c r="E1314" t="s">
        <v>21</v>
      </c>
      <c r="F1314" s="121" t="s">
        <v>44</v>
      </c>
      <c r="G1314" s="103" t="s">
        <v>22</v>
      </c>
      <c r="H1314" s="103" t="s">
        <v>2713</v>
      </c>
    </row>
    <row r="1315" spans="2:8" x14ac:dyDescent="0.25">
      <c r="B1315">
        <v>1313</v>
      </c>
      <c r="C1315" t="s">
        <v>2714</v>
      </c>
      <c r="D1315">
        <v>0</v>
      </c>
      <c r="E1315" t="s">
        <v>9</v>
      </c>
      <c r="F1315" s="121">
        <v>4535</v>
      </c>
      <c r="G1315" s="123">
        <v>13</v>
      </c>
      <c r="H1315" s="103" t="s">
        <v>2715</v>
      </c>
    </row>
    <row r="1316" spans="2:8" x14ac:dyDescent="0.25">
      <c r="B1316">
        <v>1314</v>
      </c>
      <c r="C1316" t="s">
        <v>2716</v>
      </c>
      <c r="D1316">
        <v>0</v>
      </c>
      <c r="E1316" t="s">
        <v>9</v>
      </c>
      <c r="F1316" s="121">
        <v>780</v>
      </c>
      <c r="G1316" s="123">
        <v>13</v>
      </c>
      <c r="H1316" s="103" t="s">
        <v>2717</v>
      </c>
    </row>
    <row r="1317" spans="2:8" x14ac:dyDescent="0.25">
      <c r="B1317">
        <v>1315</v>
      </c>
      <c r="C1317" t="s">
        <v>2718</v>
      </c>
      <c r="D1317" t="s">
        <v>2719</v>
      </c>
      <c r="E1317" t="s">
        <v>35</v>
      </c>
      <c r="F1317" s="121" t="s">
        <v>36</v>
      </c>
      <c r="G1317" s="103" t="s">
        <v>37</v>
      </c>
      <c r="H1317" s="103" t="s">
        <v>2720</v>
      </c>
    </row>
    <row r="1318" spans="2:8" x14ac:dyDescent="0.25">
      <c r="B1318">
        <v>1316</v>
      </c>
      <c r="C1318" t="s">
        <v>2721</v>
      </c>
      <c r="D1318">
        <v>0</v>
      </c>
      <c r="E1318" t="s">
        <v>9</v>
      </c>
      <c r="F1318" s="121">
        <v>949</v>
      </c>
      <c r="G1318" s="123">
        <v>13</v>
      </c>
      <c r="H1318" s="103" t="s">
        <v>2722</v>
      </c>
    </row>
    <row r="1319" spans="2:8" x14ac:dyDescent="0.25">
      <c r="B1319">
        <v>1317</v>
      </c>
      <c r="C1319" t="s">
        <v>2082</v>
      </c>
      <c r="D1319">
        <v>0</v>
      </c>
      <c r="E1319" t="s">
        <v>21</v>
      </c>
      <c r="F1319" s="121" t="s">
        <v>2723</v>
      </c>
      <c r="G1319" s="103" t="s">
        <v>22</v>
      </c>
      <c r="H1319" s="103" t="s">
        <v>2083</v>
      </c>
    </row>
    <row r="1320" spans="2:8" x14ac:dyDescent="0.25">
      <c r="B1320">
        <v>1318</v>
      </c>
      <c r="C1320" t="s">
        <v>2724</v>
      </c>
      <c r="D1320">
        <v>0</v>
      </c>
      <c r="E1320" t="s">
        <v>9</v>
      </c>
      <c r="F1320" s="121">
        <v>4825</v>
      </c>
      <c r="G1320" s="123">
        <v>13</v>
      </c>
      <c r="H1320" s="103" t="s">
        <v>2725</v>
      </c>
    </row>
    <row r="1321" spans="2:8" x14ac:dyDescent="0.25">
      <c r="B1321">
        <v>1319</v>
      </c>
      <c r="C1321" t="s">
        <v>2726</v>
      </c>
      <c r="D1321" t="s">
        <v>2727</v>
      </c>
      <c r="E1321" t="s">
        <v>9</v>
      </c>
      <c r="F1321" s="121">
        <v>3880</v>
      </c>
      <c r="G1321" s="123"/>
      <c r="H1321" s="103" t="s">
        <v>2728</v>
      </c>
    </row>
    <row r="1322" spans="2:8" x14ac:dyDescent="0.25">
      <c r="B1322">
        <v>1320</v>
      </c>
      <c r="C1322" t="s">
        <v>2729</v>
      </c>
      <c r="D1322" t="s">
        <v>2730</v>
      </c>
      <c r="E1322" t="s">
        <v>9</v>
      </c>
      <c r="F1322" s="121">
        <v>4825</v>
      </c>
      <c r="G1322" s="123"/>
      <c r="H1322" s="103" t="s">
        <v>5302</v>
      </c>
    </row>
    <row r="1323" spans="2:8" x14ac:dyDescent="0.25">
      <c r="B1323">
        <v>1321</v>
      </c>
      <c r="C1323" t="s">
        <v>2732</v>
      </c>
      <c r="D1323">
        <v>0</v>
      </c>
      <c r="E1323" t="s">
        <v>21</v>
      </c>
      <c r="F1323" s="121" t="s">
        <v>72</v>
      </c>
      <c r="G1323" s="103" t="s">
        <v>37</v>
      </c>
      <c r="H1323" s="103" t="s">
        <v>2733</v>
      </c>
    </row>
    <row r="1324" spans="2:8" x14ac:dyDescent="0.25">
      <c r="B1324">
        <v>1322</v>
      </c>
      <c r="C1324" t="s">
        <v>2734</v>
      </c>
      <c r="D1324">
        <v>0</v>
      </c>
      <c r="E1324" t="s">
        <v>21</v>
      </c>
      <c r="F1324" s="121" t="s">
        <v>2735</v>
      </c>
      <c r="G1324" s="103" t="s">
        <v>37</v>
      </c>
      <c r="H1324" s="103" t="s">
        <v>2736</v>
      </c>
    </row>
    <row r="1325" spans="2:8" x14ac:dyDescent="0.25">
      <c r="B1325">
        <v>1323</v>
      </c>
      <c r="C1325" t="s">
        <v>2531</v>
      </c>
      <c r="D1325">
        <v>0</v>
      </c>
      <c r="E1325" t="s">
        <v>9</v>
      </c>
      <c r="F1325" s="121">
        <v>949</v>
      </c>
      <c r="G1325" s="123">
        <v>23</v>
      </c>
      <c r="H1325" s="103" t="s">
        <v>2737</v>
      </c>
    </row>
    <row r="1326" spans="2:8" x14ac:dyDescent="0.25">
      <c r="B1326">
        <v>1324</v>
      </c>
      <c r="C1326" t="s">
        <v>2738</v>
      </c>
      <c r="D1326">
        <v>0</v>
      </c>
      <c r="E1326" t="s">
        <v>21</v>
      </c>
      <c r="F1326" s="121" t="s">
        <v>264</v>
      </c>
      <c r="G1326" s="103" t="s">
        <v>22</v>
      </c>
      <c r="H1326" s="103" t="s">
        <v>2739</v>
      </c>
    </row>
    <row r="1327" spans="2:8" x14ac:dyDescent="0.25">
      <c r="B1327">
        <v>1325</v>
      </c>
      <c r="C1327" t="s">
        <v>2740</v>
      </c>
      <c r="D1327">
        <v>0</v>
      </c>
      <c r="E1327" t="s">
        <v>9</v>
      </c>
      <c r="F1327" s="121">
        <v>780</v>
      </c>
      <c r="G1327" s="123">
        <v>13</v>
      </c>
      <c r="H1327" s="103" t="s">
        <v>2741</v>
      </c>
    </row>
    <row r="1328" spans="2:8" x14ac:dyDescent="0.25">
      <c r="B1328">
        <v>1326</v>
      </c>
      <c r="C1328" t="s">
        <v>2742</v>
      </c>
      <c r="D1328">
        <v>0</v>
      </c>
      <c r="E1328" t="s">
        <v>9</v>
      </c>
      <c r="F1328" s="121">
        <v>4818</v>
      </c>
      <c r="G1328" s="123">
        <v>13</v>
      </c>
      <c r="H1328" s="103" t="s">
        <v>2743</v>
      </c>
    </row>
    <row r="1329" spans="2:8" x14ac:dyDescent="0.25">
      <c r="B1329">
        <v>1327</v>
      </c>
      <c r="C1329" t="s">
        <v>2744</v>
      </c>
      <c r="D1329">
        <v>0</v>
      </c>
      <c r="E1329" t="s">
        <v>9</v>
      </c>
      <c r="F1329" s="121">
        <v>949</v>
      </c>
      <c r="G1329" s="123">
        <v>23</v>
      </c>
      <c r="H1329" s="103" t="s">
        <v>2745</v>
      </c>
    </row>
    <row r="1330" spans="2:8" x14ac:dyDescent="0.25">
      <c r="B1330">
        <v>1328</v>
      </c>
      <c r="C1330" t="s">
        <v>2746</v>
      </c>
      <c r="D1330">
        <v>0</v>
      </c>
      <c r="E1330" t="s">
        <v>9</v>
      </c>
      <c r="F1330" s="121">
        <v>4818</v>
      </c>
      <c r="G1330" s="123">
        <v>13</v>
      </c>
      <c r="H1330" s="103" t="s">
        <v>2747</v>
      </c>
    </row>
    <row r="1331" spans="2:8" x14ac:dyDescent="0.25">
      <c r="B1331">
        <v>1329</v>
      </c>
      <c r="C1331" t="s">
        <v>2748</v>
      </c>
      <c r="D1331">
        <v>0</v>
      </c>
      <c r="E1331" t="s">
        <v>9</v>
      </c>
      <c r="F1331" s="121">
        <v>4825</v>
      </c>
      <c r="G1331" s="123">
        <v>13</v>
      </c>
      <c r="H1331" s="103" t="s">
        <v>2749</v>
      </c>
    </row>
    <row r="1332" spans="2:8" x14ac:dyDescent="0.25">
      <c r="B1332">
        <v>1330</v>
      </c>
      <c r="C1332" t="s">
        <v>2750</v>
      </c>
      <c r="D1332">
        <v>0</v>
      </c>
      <c r="E1332" t="s">
        <v>9</v>
      </c>
      <c r="F1332" s="121">
        <v>147</v>
      </c>
      <c r="G1332" s="123">
        <v>13</v>
      </c>
      <c r="H1332" s="103" t="s">
        <v>2751</v>
      </c>
    </row>
    <row r="1333" spans="2:8" x14ac:dyDescent="0.25">
      <c r="B1333">
        <v>1331</v>
      </c>
      <c r="C1333" t="s">
        <v>2752</v>
      </c>
      <c r="D1333">
        <v>0</v>
      </c>
      <c r="E1333" t="s">
        <v>21</v>
      </c>
      <c r="F1333" s="121" t="s">
        <v>44</v>
      </c>
      <c r="G1333" s="103" t="s">
        <v>22</v>
      </c>
      <c r="H1333" s="103" t="s">
        <v>2753</v>
      </c>
    </row>
    <row r="1334" spans="2:8" x14ac:dyDescent="0.25">
      <c r="B1334">
        <v>1332</v>
      </c>
      <c r="C1334" t="s">
        <v>2754</v>
      </c>
      <c r="D1334">
        <v>0</v>
      </c>
      <c r="E1334" t="s">
        <v>9</v>
      </c>
      <c r="F1334" s="121">
        <v>4825</v>
      </c>
      <c r="G1334" s="123">
        <v>13</v>
      </c>
      <c r="H1334" s="103" t="s">
        <v>2755</v>
      </c>
    </row>
    <row r="1335" spans="2:8" x14ac:dyDescent="0.25">
      <c r="B1335">
        <v>1333</v>
      </c>
      <c r="C1335" t="s">
        <v>2756</v>
      </c>
      <c r="D1335" t="s">
        <v>2757</v>
      </c>
      <c r="E1335" t="s">
        <v>21</v>
      </c>
      <c r="F1335" s="121" t="s">
        <v>44</v>
      </c>
      <c r="G1335" s="123" t="s">
        <v>37</v>
      </c>
      <c r="H1335" s="103" t="s">
        <v>2758</v>
      </c>
    </row>
    <row r="1336" spans="2:8" x14ac:dyDescent="0.25">
      <c r="B1336">
        <v>1334</v>
      </c>
      <c r="C1336" t="s">
        <v>2759</v>
      </c>
      <c r="D1336">
        <v>0</v>
      </c>
      <c r="E1336" t="s">
        <v>21</v>
      </c>
      <c r="F1336" s="121" t="s">
        <v>264</v>
      </c>
      <c r="G1336" s="103" t="s">
        <v>22</v>
      </c>
      <c r="H1336" s="103" t="s">
        <v>2760</v>
      </c>
    </row>
    <row r="1337" spans="2:8" x14ac:dyDescent="0.25">
      <c r="B1337">
        <v>1335</v>
      </c>
      <c r="C1337" t="s">
        <v>2761</v>
      </c>
      <c r="D1337">
        <v>0</v>
      </c>
      <c r="E1337" t="s">
        <v>9</v>
      </c>
      <c r="F1337" s="121">
        <v>949</v>
      </c>
      <c r="G1337" s="123">
        <v>13</v>
      </c>
      <c r="H1337" s="103" t="s">
        <v>2762</v>
      </c>
    </row>
    <row r="1338" spans="2:8" x14ac:dyDescent="0.25">
      <c r="B1338">
        <v>1336</v>
      </c>
      <c r="C1338" t="s">
        <v>2763</v>
      </c>
      <c r="D1338">
        <v>0</v>
      </c>
      <c r="E1338" t="s">
        <v>9</v>
      </c>
      <c r="F1338" s="121">
        <v>4818</v>
      </c>
      <c r="G1338" s="123">
        <v>13</v>
      </c>
      <c r="H1338" s="103" t="s">
        <v>2764</v>
      </c>
    </row>
    <row r="1339" spans="2:8" x14ac:dyDescent="0.25">
      <c r="B1339">
        <v>1337</v>
      </c>
      <c r="C1339" t="s">
        <v>2765</v>
      </c>
      <c r="D1339">
        <v>0</v>
      </c>
      <c r="E1339" t="s">
        <v>21</v>
      </c>
      <c r="F1339" s="121" t="s">
        <v>264</v>
      </c>
      <c r="G1339" s="103" t="s">
        <v>37</v>
      </c>
      <c r="H1339" s="103" t="s">
        <v>2766</v>
      </c>
    </row>
    <row r="1340" spans="2:8" x14ac:dyDescent="0.25">
      <c r="B1340">
        <v>1338</v>
      </c>
      <c r="C1340" t="s">
        <v>2767</v>
      </c>
      <c r="D1340" t="s">
        <v>2768</v>
      </c>
      <c r="E1340" t="s">
        <v>9</v>
      </c>
      <c r="F1340" s="121">
        <v>780</v>
      </c>
      <c r="G1340" s="123"/>
      <c r="H1340" s="103" t="s">
        <v>2769</v>
      </c>
    </row>
    <row r="1341" spans="2:8" x14ac:dyDescent="0.25">
      <c r="B1341">
        <v>1339</v>
      </c>
      <c r="C1341" t="s">
        <v>2770</v>
      </c>
      <c r="D1341">
        <v>0</v>
      </c>
      <c r="E1341" t="s">
        <v>9</v>
      </c>
      <c r="F1341" s="121">
        <v>4825</v>
      </c>
      <c r="G1341" s="123">
        <v>13</v>
      </c>
      <c r="H1341" s="103" t="s">
        <v>2771</v>
      </c>
    </row>
    <row r="1342" spans="2:8" x14ac:dyDescent="0.25">
      <c r="B1342">
        <v>1340</v>
      </c>
      <c r="C1342" t="s">
        <v>2772</v>
      </c>
      <c r="D1342">
        <v>0</v>
      </c>
      <c r="E1342" t="s">
        <v>21</v>
      </c>
      <c r="F1342" s="121" t="s">
        <v>264</v>
      </c>
      <c r="G1342" s="103" t="s">
        <v>37</v>
      </c>
      <c r="H1342" s="103" t="s">
        <v>2773</v>
      </c>
    </row>
    <row r="1343" spans="2:8" x14ac:dyDescent="0.25">
      <c r="B1343">
        <v>1341</v>
      </c>
      <c r="C1343" t="s">
        <v>2774</v>
      </c>
      <c r="D1343">
        <v>0</v>
      </c>
      <c r="E1343" t="s">
        <v>21</v>
      </c>
      <c r="F1343" s="121" t="s">
        <v>44</v>
      </c>
      <c r="G1343" s="103" t="s">
        <v>22</v>
      </c>
      <c r="H1343" s="103" t="s">
        <v>2775</v>
      </c>
    </row>
    <row r="1344" spans="2:8" x14ac:dyDescent="0.25">
      <c r="B1344">
        <v>1342</v>
      </c>
      <c r="C1344" t="s">
        <v>2776</v>
      </c>
      <c r="D1344">
        <v>0</v>
      </c>
      <c r="E1344" t="s">
        <v>9</v>
      </c>
      <c r="F1344" s="121">
        <v>4825</v>
      </c>
      <c r="G1344" s="123">
        <v>13</v>
      </c>
      <c r="H1344" s="103" t="s">
        <v>2777</v>
      </c>
    </row>
    <row r="1345" spans="2:8" x14ac:dyDescent="0.25">
      <c r="B1345">
        <v>1343</v>
      </c>
      <c r="C1345" t="s">
        <v>2778</v>
      </c>
      <c r="D1345">
        <v>0</v>
      </c>
      <c r="E1345" t="s">
        <v>9</v>
      </c>
      <c r="F1345" s="121">
        <v>4825</v>
      </c>
      <c r="G1345" s="123">
        <v>13</v>
      </c>
      <c r="H1345" s="103" t="s">
        <v>2779</v>
      </c>
    </row>
    <row r="1346" spans="2:8" x14ac:dyDescent="0.25">
      <c r="B1346">
        <v>1344</v>
      </c>
      <c r="C1346" t="s">
        <v>2780</v>
      </c>
      <c r="D1346">
        <v>0</v>
      </c>
      <c r="E1346" t="s">
        <v>9</v>
      </c>
      <c r="F1346" s="121">
        <v>4825</v>
      </c>
      <c r="G1346" s="123">
        <v>13</v>
      </c>
      <c r="H1346" s="103" t="s">
        <v>2781</v>
      </c>
    </row>
    <row r="1347" spans="2:8" x14ac:dyDescent="0.25">
      <c r="B1347">
        <v>1345</v>
      </c>
      <c r="C1347" t="s">
        <v>2782</v>
      </c>
      <c r="D1347">
        <v>0</v>
      </c>
      <c r="E1347" t="s">
        <v>9</v>
      </c>
      <c r="F1347" s="121">
        <v>3204</v>
      </c>
      <c r="G1347" s="123">
        <v>13</v>
      </c>
      <c r="H1347" s="103" t="s">
        <v>2783</v>
      </c>
    </row>
    <row r="1348" spans="2:8" x14ac:dyDescent="0.25">
      <c r="B1348">
        <v>1346</v>
      </c>
      <c r="C1348" t="s">
        <v>2784</v>
      </c>
      <c r="D1348">
        <v>0</v>
      </c>
      <c r="E1348" t="s">
        <v>35</v>
      </c>
      <c r="F1348" s="121" t="s">
        <v>36</v>
      </c>
      <c r="G1348" s="103" t="s">
        <v>37</v>
      </c>
      <c r="H1348" s="103" t="s">
        <v>2785</v>
      </c>
    </row>
    <row r="1349" spans="2:8" x14ac:dyDescent="0.25">
      <c r="B1349">
        <v>1347</v>
      </c>
      <c r="C1349" t="s">
        <v>2786</v>
      </c>
      <c r="D1349">
        <v>0</v>
      </c>
      <c r="E1349" t="s">
        <v>9</v>
      </c>
      <c r="F1349" s="121">
        <v>4825</v>
      </c>
      <c r="G1349" s="123">
        <v>13</v>
      </c>
      <c r="H1349" s="103" t="s">
        <v>2787</v>
      </c>
    </row>
    <row r="1350" spans="2:8" x14ac:dyDescent="0.25">
      <c r="B1350">
        <v>1348</v>
      </c>
      <c r="C1350" t="s">
        <v>2788</v>
      </c>
      <c r="D1350">
        <v>0</v>
      </c>
      <c r="E1350" t="s">
        <v>9</v>
      </c>
      <c r="F1350" s="121">
        <v>4825</v>
      </c>
      <c r="G1350" s="123">
        <v>13</v>
      </c>
      <c r="H1350" s="103" t="s">
        <v>2789</v>
      </c>
    </row>
    <row r="1351" spans="2:8" x14ac:dyDescent="0.25">
      <c r="B1351">
        <v>1349</v>
      </c>
      <c r="C1351" t="s">
        <v>2790</v>
      </c>
      <c r="D1351">
        <v>0</v>
      </c>
      <c r="E1351" t="s">
        <v>9</v>
      </c>
      <c r="F1351" s="121">
        <v>566</v>
      </c>
      <c r="G1351" s="123">
        <v>13</v>
      </c>
      <c r="H1351" s="103" t="s">
        <v>2791</v>
      </c>
    </row>
    <row r="1352" spans="2:8" x14ac:dyDescent="0.25">
      <c r="B1352">
        <v>1350</v>
      </c>
      <c r="C1352" t="s">
        <v>2792</v>
      </c>
      <c r="D1352">
        <v>0</v>
      </c>
      <c r="E1352" t="s">
        <v>9</v>
      </c>
      <c r="F1352" s="121">
        <v>4825</v>
      </c>
      <c r="G1352" s="123">
        <v>13</v>
      </c>
      <c r="H1352" s="103" t="s">
        <v>2793</v>
      </c>
    </row>
    <row r="1353" spans="2:8" x14ac:dyDescent="0.25">
      <c r="B1353">
        <v>1351</v>
      </c>
      <c r="C1353" t="s">
        <v>2794</v>
      </c>
      <c r="D1353">
        <v>0</v>
      </c>
      <c r="E1353" t="s">
        <v>21</v>
      </c>
      <c r="F1353" s="121" t="s">
        <v>44</v>
      </c>
      <c r="G1353" s="103" t="s">
        <v>22</v>
      </c>
      <c r="H1353" s="103" t="s">
        <v>2795</v>
      </c>
    </row>
    <row r="1354" spans="2:8" x14ac:dyDescent="0.25">
      <c r="B1354">
        <v>1352</v>
      </c>
      <c r="C1354" t="s">
        <v>2796</v>
      </c>
      <c r="D1354">
        <v>0</v>
      </c>
      <c r="E1354" t="s">
        <v>9</v>
      </c>
      <c r="F1354" s="121">
        <v>4825</v>
      </c>
      <c r="G1354" s="123">
        <v>13</v>
      </c>
      <c r="H1354" s="103" t="s">
        <v>2797</v>
      </c>
    </row>
    <row r="1355" spans="2:8" x14ac:dyDescent="0.25">
      <c r="B1355">
        <v>1353</v>
      </c>
      <c r="C1355" t="s">
        <v>2798</v>
      </c>
      <c r="D1355">
        <v>0</v>
      </c>
      <c r="E1355" t="s">
        <v>21</v>
      </c>
      <c r="F1355" s="121" t="s">
        <v>44</v>
      </c>
      <c r="G1355" s="103" t="s">
        <v>22</v>
      </c>
      <c r="H1355" s="103" t="s">
        <v>2799</v>
      </c>
    </row>
    <row r="1356" spans="2:8" x14ac:dyDescent="0.25">
      <c r="B1356">
        <v>1354</v>
      </c>
      <c r="C1356" t="s">
        <v>2800</v>
      </c>
      <c r="D1356" t="s">
        <v>2801</v>
      </c>
      <c r="E1356" t="s">
        <v>9</v>
      </c>
      <c r="F1356" s="121">
        <v>780</v>
      </c>
      <c r="G1356" s="123"/>
      <c r="H1356" s="103" t="s">
        <v>2802</v>
      </c>
    </row>
    <row r="1357" spans="2:8" x14ac:dyDescent="0.25">
      <c r="B1357">
        <v>1355</v>
      </c>
      <c r="C1357" t="s">
        <v>2803</v>
      </c>
      <c r="D1357">
        <v>0</v>
      </c>
      <c r="E1357" t="s">
        <v>9</v>
      </c>
      <c r="F1357" s="121">
        <v>780</v>
      </c>
      <c r="G1357" s="123">
        <v>13</v>
      </c>
      <c r="H1357" s="103" t="s">
        <v>2804</v>
      </c>
    </row>
    <row r="1358" spans="2:8" x14ac:dyDescent="0.25">
      <c r="B1358">
        <v>1356</v>
      </c>
      <c r="C1358" t="s">
        <v>2805</v>
      </c>
      <c r="D1358">
        <v>0</v>
      </c>
      <c r="E1358" t="s">
        <v>9</v>
      </c>
      <c r="F1358" s="121">
        <v>780</v>
      </c>
      <c r="G1358" s="123">
        <v>13</v>
      </c>
      <c r="H1358" s="103" t="s">
        <v>2806</v>
      </c>
    </row>
    <row r="1359" spans="2:8" x14ac:dyDescent="0.25">
      <c r="B1359">
        <v>1357</v>
      </c>
      <c r="C1359" t="s">
        <v>2807</v>
      </c>
      <c r="D1359">
        <v>0</v>
      </c>
      <c r="E1359" t="s">
        <v>9</v>
      </c>
      <c r="F1359" s="121">
        <v>2734</v>
      </c>
      <c r="G1359" s="123">
        <v>13</v>
      </c>
      <c r="H1359" s="103" t="s">
        <v>2808</v>
      </c>
    </row>
    <row r="1360" spans="2:8" x14ac:dyDescent="0.25">
      <c r="B1360">
        <v>1358</v>
      </c>
      <c r="C1360" t="s">
        <v>2809</v>
      </c>
      <c r="D1360">
        <v>0</v>
      </c>
      <c r="E1360" t="s">
        <v>9</v>
      </c>
      <c r="F1360" s="121">
        <v>4825</v>
      </c>
      <c r="G1360" s="123">
        <v>13</v>
      </c>
      <c r="H1360" s="103" t="s">
        <v>2810</v>
      </c>
    </row>
    <row r="1361" spans="2:8" x14ac:dyDescent="0.25">
      <c r="B1361">
        <v>1359</v>
      </c>
      <c r="C1361" t="s">
        <v>2811</v>
      </c>
      <c r="D1361">
        <v>0</v>
      </c>
      <c r="E1361" t="s">
        <v>35</v>
      </c>
      <c r="F1361" s="121" t="s">
        <v>452</v>
      </c>
      <c r="G1361" s="103" t="s">
        <v>37</v>
      </c>
      <c r="H1361" s="103" t="s">
        <v>2812</v>
      </c>
    </row>
    <row r="1362" spans="2:8" x14ac:dyDescent="0.25">
      <c r="B1362">
        <v>1360</v>
      </c>
      <c r="C1362" t="s">
        <v>2813</v>
      </c>
      <c r="D1362">
        <v>0</v>
      </c>
      <c r="E1362" t="s">
        <v>9</v>
      </c>
      <c r="F1362" s="121">
        <v>674</v>
      </c>
      <c r="G1362" s="123">
        <v>13</v>
      </c>
      <c r="H1362" s="103" t="s">
        <v>2814</v>
      </c>
    </row>
    <row r="1363" spans="2:8" x14ac:dyDescent="0.25">
      <c r="B1363">
        <v>1361</v>
      </c>
      <c r="C1363" t="s">
        <v>2815</v>
      </c>
      <c r="D1363">
        <v>0</v>
      </c>
      <c r="E1363" t="s">
        <v>9</v>
      </c>
      <c r="F1363" s="121">
        <v>4818</v>
      </c>
      <c r="G1363" s="123">
        <v>13</v>
      </c>
      <c r="H1363" s="103" t="s">
        <v>2816</v>
      </c>
    </row>
    <row r="1364" spans="2:8" x14ac:dyDescent="0.25">
      <c r="B1364">
        <v>1362</v>
      </c>
      <c r="C1364" t="s">
        <v>2817</v>
      </c>
      <c r="D1364">
        <v>0</v>
      </c>
      <c r="E1364" t="s">
        <v>21</v>
      </c>
      <c r="F1364" s="121">
        <v>3650</v>
      </c>
      <c r="G1364" s="103" t="s">
        <v>22</v>
      </c>
      <c r="H1364" s="103" t="s">
        <v>2818</v>
      </c>
    </row>
    <row r="1365" spans="2:8" x14ac:dyDescent="0.25">
      <c r="B1365">
        <v>1363</v>
      </c>
      <c r="C1365" t="s">
        <v>2819</v>
      </c>
      <c r="D1365" t="s">
        <v>2820</v>
      </c>
      <c r="E1365" t="s">
        <v>9</v>
      </c>
      <c r="F1365" s="121">
        <v>4825</v>
      </c>
      <c r="G1365" s="123"/>
      <c r="H1365" s="103" t="s">
        <v>2821</v>
      </c>
    </row>
    <row r="1366" spans="2:8" x14ac:dyDescent="0.25">
      <c r="B1366">
        <v>1364</v>
      </c>
      <c r="C1366" t="s">
        <v>2822</v>
      </c>
      <c r="D1366">
        <v>0</v>
      </c>
      <c r="E1366" t="s">
        <v>9</v>
      </c>
      <c r="F1366" s="121">
        <v>4825</v>
      </c>
      <c r="G1366" s="123">
        <v>13</v>
      </c>
      <c r="H1366" s="103" t="s">
        <v>2823</v>
      </c>
    </row>
    <row r="1367" spans="2:8" x14ac:dyDescent="0.25">
      <c r="B1367">
        <v>1365</v>
      </c>
      <c r="C1367" t="s">
        <v>2824</v>
      </c>
      <c r="D1367">
        <v>0</v>
      </c>
      <c r="E1367" t="s">
        <v>9</v>
      </c>
      <c r="F1367" s="121">
        <v>4601</v>
      </c>
      <c r="G1367" s="103">
        <v>1288</v>
      </c>
      <c r="H1367" s="103" t="s">
        <v>2825</v>
      </c>
    </row>
    <row r="1368" spans="2:8" x14ac:dyDescent="0.25">
      <c r="B1368">
        <v>1366</v>
      </c>
      <c r="C1368" t="s">
        <v>2826</v>
      </c>
      <c r="D1368">
        <v>0</v>
      </c>
      <c r="E1368" t="s">
        <v>9</v>
      </c>
      <c r="F1368" s="121">
        <v>3089</v>
      </c>
      <c r="G1368" s="123">
        <v>13</v>
      </c>
      <c r="H1368" s="103" t="s">
        <v>2827</v>
      </c>
    </row>
    <row r="1369" spans="2:8" x14ac:dyDescent="0.25">
      <c r="B1369">
        <v>1367</v>
      </c>
      <c r="C1369" t="s">
        <v>2828</v>
      </c>
      <c r="D1369">
        <v>0</v>
      </c>
      <c r="E1369" t="s">
        <v>9</v>
      </c>
      <c r="F1369" s="121">
        <v>4825</v>
      </c>
      <c r="G1369" s="123">
        <v>13</v>
      </c>
      <c r="H1369" s="103" t="s">
        <v>2829</v>
      </c>
    </row>
    <row r="1370" spans="2:8" x14ac:dyDescent="0.25">
      <c r="B1370">
        <v>1368</v>
      </c>
      <c r="C1370" t="s">
        <v>2830</v>
      </c>
      <c r="D1370">
        <v>0</v>
      </c>
      <c r="E1370" t="s">
        <v>9</v>
      </c>
      <c r="F1370" s="121">
        <v>4825</v>
      </c>
      <c r="G1370" s="123">
        <v>13</v>
      </c>
      <c r="H1370" s="103" t="s">
        <v>2831</v>
      </c>
    </row>
    <row r="1371" spans="2:8" x14ac:dyDescent="0.25">
      <c r="B1371">
        <v>1369</v>
      </c>
      <c r="C1371" t="s">
        <v>2832</v>
      </c>
      <c r="D1371">
        <v>0</v>
      </c>
      <c r="E1371" t="s">
        <v>9</v>
      </c>
      <c r="F1371" s="121">
        <v>780</v>
      </c>
      <c r="G1371" s="123">
        <v>13</v>
      </c>
      <c r="H1371" s="103" t="s">
        <v>2833</v>
      </c>
    </row>
    <row r="1372" spans="2:8" x14ac:dyDescent="0.25">
      <c r="B1372">
        <v>1370</v>
      </c>
      <c r="C1372" t="s">
        <v>2834</v>
      </c>
      <c r="D1372" t="s">
        <v>2835</v>
      </c>
      <c r="E1372" t="s">
        <v>9</v>
      </c>
      <c r="F1372" s="121">
        <v>4601</v>
      </c>
      <c r="G1372" s="123"/>
      <c r="H1372" s="103" t="s">
        <v>2836</v>
      </c>
    </row>
    <row r="1373" spans="2:8" x14ac:dyDescent="0.25">
      <c r="B1373">
        <v>1371</v>
      </c>
      <c r="C1373" t="s">
        <v>2837</v>
      </c>
      <c r="D1373">
        <v>0</v>
      </c>
      <c r="E1373" t="s">
        <v>9</v>
      </c>
      <c r="F1373" s="121">
        <v>4825</v>
      </c>
      <c r="G1373" s="123">
        <v>13</v>
      </c>
      <c r="H1373" s="103" t="s">
        <v>2838</v>
      </c>
    </row>
    <row r="1374" spans="2:8" x14ac:dyDescent="0.25">
      <c r="B1374">
        <v>1372</v>
      </c>
      <c r="C1374" t="s">
        <v>2839</v>
      </c>
      <c r="D1374">
        <v>0</v>
      </c>
      <c r="E1374" t="s">
        <v>9</v>
      </c>
      <c r="F1374" s="121">
        <v>4825</v>
      </c>
      <c r="G1374" s="123">
        <v>13</v>
      </c>
      <c r="H1374" s="103" t="s">
        <v>2840</v>
      </c>
    </row>
    <row r="1375" spans="2:8" x14ac:dyDescent="0.25">
      <c r="B1375">
        <v>1373</v>
      </c>
      <c r="C1375" t="s">
        <v>2841</v>
      </c>
      <c r="D1375">
        <v>0</v>
      </c>
      <c r="E1375" t="s">
        <v>21</v>
      </c>
      <c r="F1375" s="121" t="s">
        <v>44</v>
      </c>
      <c r="G1375" s="103" t="s">
        <v>22</v>
      </c>
      <c r="H1375" s="103" t="s">
        <v>2842</v>
      </c>
    </row>
    <row r="1376" spans="2:8" x14ac:dyDescent="0.25">
      <c r="B1376">
        <v>1374</v>
      </c>
      <c r="C1376" t="s">
        <v>13</v>
      </c>
      <c r="D1376" t="s">
        <v>2843</v>
      </c>
      <c r="E1376" t="s">
        <v>9</v>
      </c>
      <c r="F1376" s="121">
        <v>4818</v>
      </c>
      <c r="G1376" s="123">
        <v>13</v>
      </c>
      <c r="H1376" s="103" t="s">
        <v>2844</v>
      </c>
    </row>
    <row r="1377" spans="2:8" x14ac:dyDescent="0.25">
      <c r="B1377">
        <v>1375</v>
      </c>
      <c r="C1377" t="s">
        <v>2845</v>
      </c>
      <c r="D1377">
        <v>0</v>
      </c>
      <c r="E1377" t="s">
        <v>9</v>
      </c>
      <c r="F1377" s="121">
        <v>949</v>
      </c>
      <c r="G1377" s="123">
        <v>23</v>
      </c>
      <c r="H1377" s="103" t="s">
        <v>2846</v>
      </c>
    </row>
    <row r="1378" spans="2:8" x14ac:dyDescent="0.25">
      <c r="B1378">
        <v>1376</v>
      </c>
      <c r="C1378" t="s">
        <v>2847</v>
      </c>
      <c r="D1378">
        <v>0</v>
      </c>
      <c r="E1378" t="s">
        <v>9</v>
      </c>
      <c r="F1378" s="121">
        <v>4818</v>
      </c>
      <c r="G1378" s="123">
        <v>13</v>
      </c>
      <c r="H1378" s="103" t="s">
        <v>2848</v>
      </c>
    </row>
    <row r="1379" spans="2:8" x14ac:dyDescent="0.25">
      <c r="B1379">
        <v>1377</v>
      </c>
      <c r="C1379" t="s">
        <v>2849</v>
      </c>
      <c r="D1379" t="s">
        <v>2850</v>
      </c>
      <c r="E1379" t="s">
        <v>21</v>
      </c>
      <c r="F1379" s="121">
        <v>3737</v>
      </c>
      <c r="H1379" s="103" t="s">
        <v>2851</v>
      </c>
    </row>
    <row r="1380" spans="2:8" x14ac:dyDescent="0.25">
      <c r="B1380">
        <v>1378</v>
      </c>
      <c r="C1380" t="s">
        <v>2852</v>
      </c>
      <c r="D1380">
        <v>0</v>
      </c>
      <c r="E1380" t="s">
        <v>9</v>
      </c>
      <c r="F1380" s="121">
        <v>3777</v>
      </c>
      <c r="G1380" s="123">
        <v>13</v>
      </c>
      <c r="H1380" s="103" t="s">
        <v>2853</v>
      </c>
    </row>
    <row r="1381" spans="2:8" x14ac:dyDescent="0.25">
      <c r="B1381">
        <v>1379</v>
      </c>
      <c r="C1381" t="s">
        <v>2854</v>
      </c>
      <c r="D1381">
        <v>0</v>
      </c>
      <c r="E1381" t="s">
        <v>9</v>
      </c>
      <c r="F1381" s="121">
        <v>780</v>
      </c>
      <c r="G1381" s="123">
        <v>23</v>
      </c>
      <c r="H1381" s="103" t="s">
        <v>2855</v>
      </c>
    </row>
    <row r="1382" spans="2:8" x14ac:dyDescent="0.25">
      <c r="B1382">
        <v>1380</v>
      </c>
      <c r="C1382" t="s">
        <v>2856</v>
      </c>
      <c r="D1382">
        <v>0</v>
      </c>
      <c r="E1382" t="s">
        <v>9</v>
      </c>
      <c r="F1382" s="121">
        <v>4825</v>
      </c>
      <c r="G1382" s="123">
        <v>13</v>
      </c>
      <c r="H1382" s="103" t="s">
        <v>2857</v>
      </c>
    </row>
    <row r="1383" spans="2:8" x14ac:dyDescent="0.25">
      <c r="B1383">
        <v>1381</v>
      </c>
      <c r="C1383" t="s">
        <v>2858</v>
      </c>
      <c r="D1383">
        <v>0</v>
      </c>
      <c r="E1383" t="s">
        <v>21</v>
      </c>
      <c r="F1383" s="121" t="s">
        <v>44</v>
      </c>
      <c r="G1383" s="103" t="s">
        <v>22</v>
      </c>
      <c r="H1383" s="103" t="s">
        <v>2859</v>
      </c>
    </row>
    <row r="1384" spans="2:8" x14ac:dyDescent="0.25">
      <c r="B1384">
        <v>1382</v>
      </c>
      <c r="C1384" t="s">
        <v>2860</v>
      </c>
      <c r="D1384">
        <v>0</v>
      </c>
      <c r="E1384" t="s">
        <v>9</v>
      </c>
      <c r="F1384" s="121">
        <v>4825</v>
      </c>
      <c r="G1384" s="123">
        <v>13</v>
      </c>
      <c r="H1384" s="103" t="s">
        <v>2861</v>
      </c>
    </row>
    <row r="1385" spans="2:8" x14ac:dyDescent="0.25">
      <c r="B1385">
        <v>1383</v>
      </c>
      <c r="C1385" t="s">
        <v>2862</v>
      </c>
      <c r="D1385" t="s">
        <v>2863</v>
      </c>
      <c r="E1385" t="s">
        <v>9</v>
      </c>
      <c r="F1385" s="121">
        <v>4825</v>
      </c>
      <c r="G1385" s="123"/>
      <c r="H1385" s="103" t="s">
        <v>4993</v>
      </c>
    </row>
    <row r="1386" spans="2:8" x14ac:dyDescent="0.25">
      <c r="B1386">
        <v>1384</v>
      </c>
      <c r="C1386" t="s">
        <v>2864</v>
      </c>
      <c r="D1386">
        <v>0</v>
      </c>
      <c r="E1386" t="s">
        <v>21</v>
      </c>
      <c r="F1386" s="121" t="s">
        <v>264</v>
      </c>
      <c r="G1386" s="103" t="s">
        <v>37</v>
      </c>
      <c r="H1386" s="103" t="s">
        <v>2865</v>
      </c>
    </row>
    <row r="1387" spans="2:8" x14ac:dyDescent="0.25">
      <c r="B1387">
        <v>1385</v>
      </c>
      <c r="C1387" t="s">
        <v>2866</v>
      </c>
      <c r="D1387">
        <v>0</v>
      </c>
      <c r="E1387" t="s">
        <v>9</v>
      </c>
      <c r="F1387" s="121">
        <v>949</v>
      </c>
      <c r="G1387" s="123">
        <v>13</v>
      </c>
      <c r="H1387" s="103" t="s">
        <v>2867</v>
      </c>
    </row>
    <row r="1388" spans="2:8" x14ac:dyDescent="0.25">
      <c r="B1388">
        <v>1386</v>
      </c>
      <c r="C1388" t="s">
        <v>1562</v>
      </c>
      <c r="D1388" t="s">
        <v>5023</v>
      </c>
      <c r="E1388" t="s">
        <v>9</v>
      </c>
      <c r="F1388" s="121">
        <v>2734</v>
      </c>
      <c r="G1388" s="123"/>
      <c r="H1388" s="103" t="s">
        <v>4999</v>
      </c>
    </row>
    <row r="1389" spans="2:8" x14ac:dyDescent="0.25">
      <c r="B1389">
        <v>1387</v>
      </c>
      <c r="C1389" t="s">
        <v>2868</v>
      </c>
      <c r="D1389" t="s">
        <v>2869</v>
      </c>
      <c r="E1389" t="s">
        <v>9</v>
      </c>
      <c r="F1389" s="121">
        <v>4825</v>
      </c>
      <c r="G1389" s="123">
        <v>13</v>
      </c>
      <c r="H1389" s="103" t="s">
        <v>2870</v>
      </c>
    </row>
    <row r="1390" spans="2:8" x14ac:dyDescent="0.25">
      <c r="B1390">
        <v>1388</v>
      </c>
      <c r="C1390" t="s">
        <v>2871</v>
      </c>
      <c r="D1390">
        <v>0</v>
      </c>
      <c r="E1390" t="s">
        <v>9</v>
      </c>
      <c r="F1390" s="121">
        <v>4535</v>
      </c>
      <c r="G1390" s="123">
        <v>13</v>
      </c>
      <c r="H1390" s="103" t="s">
        <v>2872</v>
      </c>
    </row>
    <row r="1391" spans="2:8" x14ac:dyDescent="0.25">
      <c r="B1391">
        <v>1389</v>
      </c>
      <c r="C1391" t="s">
        <v>2873</v>
      </c>
      <c r="D1391">
        <v>0</v>
      </c>
      <c r="E1391" t="s">
        <v>35</v>
      </c>
      <c r="F1391" s="121" t="s">
        <v>36</v>
      </c>
      <c r="G1391" s="103" t="s">
        <v>37</v>
      </c>
      <c r="H1391" s="103" t="s">
        <v>2874</v>
      </c>
    </row>
    <row r="1392" spans="2:8" x14ac:dyDescent="0.25">
      <c r="B1392">
        <v>1390</v>
      </c>
      <c r="C1392" t="s">
        <v>2875</v>
      </c>
      <c r="D1392">
        <v>0</v>
      </c>
      <c r="E1392" t="s">
        <v>9</v>
      </c>
      <c r="F1392" s="121">
        <v>780</v>
      </c>
      <c r="G1392" s="123">
        <v>23</v>
      </c>
      <c r="H1392" s="103" t="s">
        <v>2876</v>
      </c>
    </row>
    <row r="1393" spans="2:8" x14ac:dyDescent="0.25">
      <c r="B1393">
        <v>1391</v>
      </c>
      <c r="C1393" t="s">
        <v>2877</v>
      </c>
      <c r="D1393" t="s">
        <v>2878</v>
      </c>
      <c r="E1393" t="s">
        <v>9</v>
      </c>
      <c r="F1393" s="121">
        <v>780</v>
      </c>
      <c r="G1393" s="123"/>
      <c r="H1393" s="103" t="s">
        <v>2879</v>
      </c>
    </row>
    <row r="1394" spans="2:8" x14ac:dyDescent="0.25">
      <c r="B1394">
        <v>1392</v>
      </c>
      <c r="C1394" t="s">
        <v>2880</v>
      </c>
      <c r="D1394">
        <v>0</v>
      </c>
      <c r="E1394" t="s">
        <v>9</v>
      </c>
      <c r="F1394" s="121">
        <v>4818</v>
      </c>
      <c r="G1394" s="123">
        <v>13</v>
      </c>
      <c r="H1394" s="103" t="s">
        <v>2881</v>
      </c>
    </row>
    <row r="1395" spans="2:8" x14ac:dyDescent="0.25">
      <c r="B1395">
        <v>1393</v>
      </c>
      <c r="C1395" t="s">
        <v>2882</v>
      </c>
      <c r="D1395">
        <v>0</v>
      </c>
      <c r="E1395" t="s">
        <v>21</v>
      </c>
      <c r="F1395" s="121" t="s">
        <v>44</v>
      </c>
      <c r="G1395" s="103" t="s">
        <v>37</v>
      </c>
      <c r="H1395" s="103" t="s">
        <v>2883</v>
      </c>
    </row>
    <row r="1396" spans="2:8" x14ac:dyDescent="0.25">
      <c r="B1396">
        <v>1394</v>
      </c>
      <c r="C1396" t="s">
        <v>2786</v>
      </c>
      <c r="D1396">
        <v>0</v>
      </c>
      <c r="E1396" t="s">
        <v>9</v>
      </c>
      <c r="F1396" s="121">
        <v>4825</v>
      </c>
      <c r="G1396" s="123">
        <v>13</v>
      </c>
      <c r="H1396" s="103" t="s">
        <v>2787</v>
      </c>
    </row>
    <row r="1397" spans="2:8" x14ac:dyDescent="0.25">
      <c r="B1397">
        <v>1395</v>
      </c>
      <c r="C1397" t="s">
        <v>2884</v>
      </c>
      <c r="D1397">
        <v>0</v>
      </c>
      <c r="E1397" t="s">
        <v>9</v>
      </c>
      <c r="F1397" s="121">
        <v>4825</v>
      </c>
      <c r="G1397" s="123">
        <v>13</v>
      </c>
      <c r="H1397" s="103" t="s">
        <v>2885</v>
      </c>
    </row>
    <row r="1398" spans="2:8" x14ac:dyDescent="0.25">
      <c r="B1398">
        <v>1396</v>
      </c>
      <c r="C1398" t="s">
        <v>2886</v>
      </c>
      <c r="D1398">
        <v>0</v>
      </c>
      <c r="E1398" t="s">
        <v>9</v>
      </c>
      <c r="F1398" s="121">
        <v>4825</v>
      </c>
      <c r="G1398" s="123">
        <v>13</v>
      </c>
      <c r="H1398" s="103" t="s">
        <v>2887</v>
      </c>
    </row>
    <row r="1399" spans="2:8" x14ac:dyDescent="0.25">
      <c r="B1399">
        <v>1397</v>
      </c>
      <c r="C1399" t="s">
        <v>2888</v>
      </c>
      <c r="D1399">
        <v>0</v>
      </c>
      <c r="E1399" t="s">
        <v>9</v>
      </c>
      <c r="F1399" s="121">
        <v>4535</v>
      </c>
      <c r="G1399" s="123">
        <v>13</v>
      </c>
      <c r="H1399" s="103" t="s">
        <v>2889</v>
      </c>
    </row>
    <row r="1400" spans="2:8" x14ac:dyDescent="0.25">
      <c r="B1400">
        <v>1398</v>
      </c>
      <c r="C1400" t="s">
        <v>2890</v>
      </c>
      <c r="D1400">
        <v>0</v>
      </c>
      <c r="E1400" t="s">
        <v>9</v>
      </c>
      <c r="F1400" s="121">
        <v>4825</v>
      </c>
      <c r="G1400" s="123">
        <v>13</v>
      </c>
      <c r="H1400" s="103" t="s">
        <v>2891</v>
      </c>
    </row>
    <row r="1401" spans="2:8" x14ac:dyDescent="0.25">
      <c r="B1401">
        <v>1399</v>
      </c>
      <c r="C1401" t="s">
        <v>2892</v>
      </c>
      <c r="D1401" t="s">
        <v>5242</v>
      </c>
      <c r="E1401" t="s">
        <v>9</v>
      </c>
      <c r="F1401" s="121">
        <v>4825</v>
      </c>
      <c r="G1401" s="123"/>
      <c r="H1401" s="103" t="s">
        <v>5258</v>
      </c>
    </row>
    <row r="1402" spans="2:8" x14ac:dyDescent="0.25">
      <c r="B1402">
        <v>1400</v>
      </c>
      <c r="C1402" t="s">
        <v>2893</v>
      </c>
      <c r="D1402">
        <v>0</v>
      </c>
      <c r="E1402" t="s">
        <v>9</v>
      </c>
      <c r="F1402" s="121">
        <v>3204</v>
      </c>
      <c r="G1402" s="123">
        <v>13</v>
      </c>
      <c r="H1402" s="103" t="s">
        <v>2894</v>
      </c>
    </row>
    <row r="1403" spans="2:8" x14ac:dyDescent="0.25">
      <c r="B1403">
        <v>1401</v>
      </c>
      <c r="C1403" t="s">
        <v>2895</v>
      </c>
      <c r="D1403">
        <v>0</v>
      </c>
      <c r="E1403" t="s">
        <v>9</v>
      </c>
      <c r="F1403" s="121">
        <v>780</v>
      </c>
      <c r="G1403" s="123">
        <v>23</v>
      </c>
      <c r="H1403" s="103" t="s">
        <v>1333</v>
      </c>
    </row>
    <row r="1404" spans="2:8" x14ac:dyDescent="0.25">
      <c r="B1404">
        <v>1402</v>
      </c>
      <c r="C1404" t="s">
        <v>1150</v>
      </c>
      <c r="D1404">
        <v>0</v>
      </c>
      <c r="E1404" t="s">
        <v>21</v>
      </c>
      <c r="F1404" s="121" t="s">
        <v>2896</v>
      </c>
      <c r="G1404" s="103" t="s">
        <v>37</v>
      </c>
      <c r="H1404" s="103" t="s">
        <v>2897</v>
      </c>
    </row>
    <row r="1405" spans="2:8" x14ac:dyDescent="0.25">
      <c r="B1405">
        <v>1403</v>
      </c>
      <c r="C1405" t="s">
        <v>2898</v>
      </c>
      <c r="D1405" t="s">
        <v>2899</v>
      </c>
      <c r="E1405" t="s">
        <v>9</v>
      </c>
      <c r="F1405" s="121">
        <v>4825</v>
      </c>
      <c r="G1405" s="123"/>
      <c r="H1405" s="103" t="s">
        <v>2900</v>
      </c>
    </row>
    <row r="1406" spans="2:8" x14ac:dyDescent="0.25">
      <c r="B1406">
        <v>1404</v>
      </c>
      <c r="C1406" t="s">
        <v>2901</v>
      </c>
      <c r="D1406">
        <v>0</v>
      </c>
      <c r="E1406" t="s">
        <v>9</v>
      </c>
      <c r="F1406" s="121">
        <v>4825</v>
      </c>
      <c r="G1406" s="123">
        <v>13</v>
      </c>
      <c r="H1406" s="103" t="s">
        <v>2902</v>
      </c>
    </row>
    <row r="1407" spans="2:8" x14ac:dyDescent="0.25">
      <c r="B1407">
        <v>1405</v>
      </c>
      <c r="C1407" t="s">
        <v>1029</v>
      </c>
      <c r="D1407">
        <v>0</v>
      </c>
      <c r="E1407" t="s">
        <v>9</v>
      </c>
      <c r="F1407" s="121">
        <v>4825</v>
      </c>
      <c r="G1407" s="123">
        <v>13</v>
      </c>
      <c r="H1407" s="103" t="s">
        <v>1030</v>
      </c>
    </row>
    <row r="1408" spans="2:8" x14ac:dyDescent="0.25">
      <c r="B1408">
        <v>1406</v>
      </c>
      <c r="C1408" t="s">
        <v>2903</v>
      </c>
      <c r="D1408">
        <v>0</v>
      </c>
      <c r="E1408" t="s">
        <v>21</v>
      </c>
      <c r="F1408" s="121" t="s">
        <v>44</v>
      </c>
      <c r="G1408" s="103" t="s">
        <v>37</v>
      </c>
      <c r="H1408" s="103" t="s">
        <v>2904</v>
      </c>
    </row>
    <row r="1409" spans="2:8" x14ac:dyDescent="0.25">
      <c r="B1409">
        <v>1407</v>
      </c>
      <c r="C1409" t="s">
        <v>1183</v>
      </c>
      <c r="D1409">
        <v>0</v>
      </c>
      <c r="E1409" t="s">
        <v>21</v>
      </c>
      <c r="F1409" s="121" t="s">
        <v>2905</v>
      </c>
      <c r="G1409" s="103" t="s">
        <v>37</v>
      </c>
      <c r="H1409" s="103" t="s">
        <v>2906</v>
      </c>
    </row>
    <row r="1410" spans="2:8" x14ac:dyDescent="0.25">
      <c r="B1410">
        <v>1408</v>
      </c>
      <c r="C1410" t="s">
        <v>2907</v>
      </c>
      <c r="D1410">
        <v>0</v>
      </c>
      <c r="E1410" t="s">
        <v>9</v>
      </c>
      <c r="F1410" s="121">
        <v>4825</v>
      </c>
      <c r="G1410" s="123">
        <v>13</v>
      </c>
      <c r="H1410" s="103" t="s">
        <v>2908</v>
      </c>
    </row>
    <row r="1411" spans="2:8" x14ac:dyDescent="0.25">
      <c r="B1411">
        <v>1409</v>
      </c>
      <c r="C1411" t="s">
        <v>2909</v>
      </c>
      <c r="D1411">
        <v>0</v>
      </c>
      <c r="E1411" t="s">
        <v>9</v>
      </c>
      <c r="F1411" s="121">
        <v>4825</v>
      </c>
      <c r="G1411" s="123">
        <v>13</v>
      </c>
      <c r="H1411" s="103" t="s">
        <v>2910</v>
      </c>
    </row>
    <row r="1412" spans="2:8" x14ac:dyDescent="0.25">
      <c r="B1412">
        <v>1410</v>
      </c>
      <c r="C1412" t="s">
        <v>2911</v>
      </c>
      <c r="D1412">
        <v>0</v>
      </c>
      <c r="E1412" t="s">
        <v>9</v>
      </c>
      <c r="F1412" s="121">
        <v>780</v>
      </c>
      <c r="G1412" s="123">
        <v>13</v>
      </c>
      <c r="H1412" s="103" t="s">
        <v>2912</v>
      </c>
    </row>
    <row r="1413" spans="2:8" x14ac:dyDescent="0.25">
      <c r="B1413">
        <v>1411</v>
      </c>
      <c r="C1413" t="s">
        <v>2780</v>
      </c>
      <c r="D1413">
        <v>0</v>
      </c>
      <c r="E1413" t="s">
        <v>35</v>
      </c>
      <c r="F1413" s="121" t="s">
        <v>36</v>
      </c>
      <c r="G1413" s="103" t="s">
        <v>37</v>
      </c>
      <c r="H1413" s="103" t="s">
        <v>2913</v>
      </c>
    </row>
    <row r="1414" spans="2:8" x14ac:dyDescent="0.25">
      <c r="B1414">
        <v>1412</v>
      </c>
      <c r="C1414" t="s">
        <v>2914</v>
      </c>
      <c r="D1414">
        <v>0</v>
      </c>
      <c r="E1414" t="s">
        <v>9</v>
      </c>
      <c r="F1414" s="121">
        <v>4825</v>
      </c>
      <c r="G1414" s="123">
        <v>13</v>
      </c>
      <c r="H1414" s="103" t="s">
        <v>2915</v>
      </c>
    </row>
    <row r="1415" spans="2:8" x14ac:dyDescent="0.25">
      <c r="B1415">
        <v>1413</v>
      </c>
      <c r="C1415" t="s">
        <v>2916</v>
      </c>
      <c r="D1415">
        <v>0</v>
      </c>
      <c r="E1415" t="s">
        <v>9</v>
      </c>
      <c r="F1415" s="121">
        <v>3183</v>
      </c>
      <c r="G1415" s="123">
        <v>13</v>
      </c>
      <c r="H1415" s="103" t="s">
        <v>2917</v>
      </c>
    </row>
    <row r="1416" spans="2:8" x14ac:dyDescent="0.25">
      <c r="B1416">
        <v>1414</v>
      </c>
      <c r="C1416" t="s">
        <v>2918</v>
      </c>
      <c r="D1416">
        <v>0</v>
      </c>
      <c r="E1416" t="s">
        <v>21</v>
      </c>
      <c r="F1416" s="121" t="s">
        <v>44</v>
      </c>
      <c r="G1416" s="103" t="s">
        <v>37</v>
      </c>
      <c r="H1416" s="103" t="s">
        <v>2919</v>
      </c>
    </row>
    <row r="1417" spans="2:8" x14ac:dyDescent="0.25">
      <c r="B1417">
        <v>1415</v>
      </c>
      <c r="C1417" t="s">
        <v>2920</v>
      </c>
      <c r="D1417">
        <v>0</v>
      </c>
      <c r="E1417" t="s">
        <v>21</v>
      </c>
      <c r="F1417" s="121" t="s">
        <v>44</v>
      </c>
      <c r="G1417" s="103" t="s">
        <v>37</v>
      </c>
      <c r="H1417" s="103" t="s">
        <v>2921</v>
      </c>
    </row>
    <row r="1418" spans="2:8" x14ac:dyDescent="0.25">
      <c r="B1418">
        <v>1416</v>
      </c>
      <c r="C1418" t="s">
        <v>2922</v>
      </c>
      <c r="D1418">
        <v>0</v>
      </c>
      <c r="E1418" t="s">
        <v>9</v>
      </c>
      <c r="F1418" s="121">
        <v>780</v>
      </c>
      <c r="G1418" s="123">
        <v>23</v>
      </c>
      <c r="H1418" s="103" t="s">
        <v>2923</v>
      </c>
    </row>
    <row r="1419" spans="2:8" x14ac:dyDescent="0.25">
      <c r="B1419">
        <v>1417</v>
      </c>
      <c r="C1419" t="s">
        <v>2924</v>
      </c>
      <c r="D1419">
        <v>0</v>
      </c>
      <c r="E1419" t="s">
        <v>9</v>
      </c>
      <c r="F1419" s="121">
        <v>4773</v>
      </c>
      <c r="G1419" s="123">
        <v>23</v>
      </c>
      <c r="H1419" s="103" t="s">
        <v>2925</v>
      </c>
    </row>
    <row r="1420" spans="2:8" x14ac:dyDescent="0.25">
      <c r="B1420">
        <v>1418</v>
      </c>
      <c r="C1420" t="s">
        <v>2926</v>
      </c>
      <c r="D1420">
        <v>0</v>
      </c>
      <c r="E1420" t="s">
        <v>9</v>
      </c>
      <c r="F1420" s="121">
        <v>4825</v>
      </c>
      <c r="G1420" s="123">
        <v>13</v>
      </c>
      <c r="H1420" s="103" t="s">
        <v>2927</v>
      </c>
    </row>
    <row r="1421" spans="2:8" x14ac:dyDescent="0.25">
      <c r="B1421">
        <v>1419</v>
      </c>
      <c r="C1421" t="s">
        <v>2928</v>
      </c>
      <c r="D1421" t="s">
        <v>2929</v>
      </c>
      <c r="E1421" t="s">
        <v>21</v>
      </c>
      <c r="F1421" s="121" t="s">
        <v>44</v>
      </c>
      <c r="G1421" s="103" t="s">
        <v>37</v>
      </c>
      <c r="H1421" s="103" t="s">
        <v>2930</v>
      </c>
    </row>
    <row r="1422" spans="2:8" x14ac:dyDescent="0.25">
      <c r="B1422">
        <v>1420</v>
      </c>
      <c r="C1422" t="s">
        <v>2931</v>
      </c>
      <c r="D1422">
        <v>0</v>
      </c>
      <c r="E1422" t="s">
        <v>9</v>
      </c>
      <c r="F1422" s="121">
        <v>780</v>
      </c>
      <c r="G1422" s="123">
        <v>13</v>
      </c>
      <c r="H1422" s="103" t="s">
        <v>2932</v>
      </c>
    </row>
    <row r="1423" spans="2:8" x14ac:dyDescent="0.25">
      <c r="B1423">
        <v>1421</v>
      </c>
      <c r="C1423" t="s">
        <v>2933</v>
      </c>
      <c r="D1423">
        <v>0</v>
      </c>
      <c r="E1423" t="s">
        <v>9</v>
      </c>
      <c r="F1423" s="121">
        <v>4825</v>
      </c>
      <c r="G1423" s="123">
        <v>13</v>
      </c>
      <c r="H1423" s="103" t="s">
        <v>2934</v>
      </c>
    </row>
    <row r="1424" spans="2:8" x14ac:dyDescent="0.25">
      <c r="B1424">
        <v>1422</v>
      </c>
      <c r="C1424" t="s">
        <v>2935</v>
      </c>
      <c r="D1424">
        <v>0</v>
      </c>
      <c r="E1424" t="s">
        <v>9</v>
      </c>
      <c r="F1424" s="121">
        <v>4825</v>
      </c>
      <c r="G1424" s="123">
        <v>13</v>
      </c>
      <c r="H1424" s="103" t="s">
        <v>2936</v>
      </c>
    </row>
    <row r="1425" spans="2:8" x14ac:dyDescent="0.25">
      <c r="B1425">
        <v>1423</v>
      </c>
      <c r="C1425" t="s">
        <v>2750</v>
      </c>
      <c r="D1425">
        <v>0</v>
      </c>
      <c r="E1425" t="s">
        <v>9</v>
      </c>
      <c r="F1425" s="121">
        <v>147</v>
      </c>
      <c r="G1425" s="123">
        <v>13</v>
      </c>
      <c r="H1425" s="103" t="s">
        <v>2751</v>
      </c>
    </row>
    <row r="1426" spans="2:8" x14ac:dyDescent="0.25">
      <c r="B1426">
        <v>1424</v>
      </c>
      <c r="C1426" t="s">
        <v>2376</v>
      </c>
      <c r="D1426" t="s">
        <v>2937</v>
      </c>
      <c r="E1426" t="s">
        <v>21</v>
      </c>
      <c r="F1426" s="121">
        <v>7802</v>
      </c>
      <c r="G1426" s="103" t="s">
        <v>22</v>
      </c>
      <c r="H1426" s="103" t="s">
        <v>2938</v>
      </c>
    </row>
    <row r="1427" spans="2:8" x14ac:dyDescent="0.25">
      <c r="B1427">
        <v>1425</v>
      </c>
      <c r="C1427" t="s">
        <v>2939</v>
      </c>
      <c r="D1427">
        <v>0</v>
      </c>
      <c r="E1427" t="s">
        <v>9</v>
      </c>
      <c r="F1427" s="121">
        <v>2734</v>
      </c>
      <c r="G1427" s="123">
        <v>13</v>
      </c>
      <c r="H1427" s="103" t="s">
        <v>2940</v>
      </c>
    </row>
    <row r="1428" spans="2:8" x14ac:dyDescent="0.25">
      <c r="B1428">
        <v>1426</v>
      </c>
      <c r="C1428" t="s">
        <v>2941</v>
      </c>
      <c r="D1428">
        <v>0</v>
      </c>
      <c r="E1428" t="s">
        <v>9</v>
      </c>
      <c r="F1428" s="121">
        <v>4825</v>
      </c>
      <c r="G1428" s="123">
        <v>13</v>
      </c>
      <c r="H1428" s="103" t="s">
        <v>2942</v>
      </c>
    </row>
    <row r="1429" spans="2:8" x14ac:dyDescent="0.25">
      <c r="B1429">
        <v>1427</v>
      </c>
      <c r="C1429" t="s">
        <v>2943</v>
      </c>
      <c r="D1429">
        <v>0</v>
      </c>
      <c r="E1429" t="s">
        <v>21</v>
      </c>
      <c r="F1429" s="121" t="s">
        <v>44</v>
      </c>
      <c r="G1429" s="103" t="s">
        <v>37</v>
      </c>
      <c r="H1429" s="103">
        <v>41505</v>
      </c>
    </row>
    <row r="1430" spans="2:8" x14ac:dyDescent="0.25">
      <c r="B1430">
        <v>1428</v>
      </c>
      <c r="C1430" t="s">
        <v>2944</v>
      </c>
      <c r="D1430">
        <v>0</v>
      </c>
      <c r="E1430" t="s">
        <v>21</v>
      </c>
      <c r="F1430" s="121" t="s">
        <v>44</v>
      </c>
      <c r="G1430" s="103" t="s">
        <v>37</v>
      </c>
      <c r="H1430" s="103">
        <v>3502503</v>
      </c>
    </row>
    <row r="1431" spans="2:8" x14ac:dyDescent="0.25">
      <c r="B1431">
        <v>1429</v>
      </c>
      <c r="C1431" t="s">
        <v>2945</v>
      </c>
      <c r="D1431" t="s">
        <v>2946</v>
      </c>
      <c r="E1431" t="s">
        <v>9</v>
      </c>
      <c r="F1431" s="121">
        <v>4601</v>
      </c>
      <c r="G1431" s="123"/>
      <c r="H1431" s="103" t="s">
        <v>2947</v>
      </c>
    </row>
    <row r="1432" spans="2:8" x14ac:dyDescent="0.25">
      <c r="B1432">
        <v>1430</v>
      </c>
      <c r="C1432" t="s">
        <v>2273</v>
      </c>
      <c r="D1432">
        <v>0</v>
      </c>
      <c r="E1432" t="s">
        <v>21</v>
      </c>
      <c r="F1432" s="121" t="s">
        <v>264</v>
      </c>
      <c r="G1432" s="103" t="s">
        <v>22</v>
      </c>
      <c r="H1432" s="103" t="s">
        <v>2275</v>
      </c>
    </row>
    <row r="1433" spans="2:8" x14ac:dyDescent="0.25">
      <c r="B1433">
        <v>1431</v>
      </c>
      <c r="C1433" t="s">
        <v>2948</v>
      </c>
      <c r="D1433">
        <v>0</v>
      </c>
      <c r="E1433" t="s">
        <v>35</v>
      </c>
      <c r="F1433" s="121" t="s">
        <v>36</v>
      </c>
      <c r="G1433" s="103" t="s">
        <v>37</v>
      </c>
      <c r="H1433" s="103" t="s">
        <v>2949</v>
      </c>
    </row>
    <row r="1434" spans="2:8" x14ac:dyDescent="0.25">
      <c r="B1434">
        <v>1432</v>
      </c>
      <c r="C1434" t="s">
        <v>1069</v>
      </c>
      <c r="D1434">
        <v>0</v>
      </c>
      <c r="E1434" t="s">
        <v>9</v>
      </c>
      <c r="F1434" s="121">
        <v>4818</v>
      </c>
      <c r="G1434" s="123">
        <v>13</v>
      </c>
      <c r="H1434" s="103" t="s">
        <v>1070</v>
      </c>
    </row>
    <row r="1435" spans="2:8" x14ac:dyDescent="0.25">
      <c r="B1435">
        <v>1433</v>
      </c>
      <c r="C1435" t="s">
        <v>2950</v>
      </c>
      <c r="D1435">
        <v>0</v>
      </c>
      <c r="E1435" t="s">
        <v>9</v>
      </c>
      <c r="F1435" s="121">
        <v>780</v>
      </c>
      <c r="G1435" s="123">
        <v>23</v>
      </c>
      <c r="H1435" s="103" t="s">
        <v>2951</v>
      </c>
    </row>
    <row r="1436" spans="2:8" x14ac:dyDescent="0.25">
      <c r="B1436">
        <v>1434</v>
      </c>
      <c r="C1436" t="s">
        <v>2952</v>
      </c>
      <c r="D1436">
        <v>0</v>
      </c>
      <c r="E1436" t="s">
        <v>9</v>
      </c>
      <c r="F1436" s="121">
        <v>4825</v>
      </c>
      <c r="G1436" s="123">
        <v>13</v>
      </c>
      <c r="H1436" s="103" t="s">
        <v>2953</v>
      </c>
    </row>
    <row r="1437" spans="2:8" x14ac:dyDescent="0.25">
      <c r="B1437">
        <v>1435</v>
      </c>
      <c r="C1437" t="s">
        <v>2954</v>
      </c>
      <c r="D1437">
        <v>0</v>
      </c>
      <c r="E1437" t="s">
        <v>21</v>
      </c>
      <c r="F1437" s="121" t="s">
        <v>264</v>
      </c>
      <c r="G1437" s="103" t="s">
        <v>37</v>
      </c>
      <c r="H1437" s="103" t="s">
        <v>2955</v>
      </c>
    </row>
    <row r="1438" spans="2:8" x14ac:dyDescent="0.25">
      <c r="B1438">
        <v>1436</v>
      </c>
      <c r="C1438" t="s">
        <v>1096</v>
      </c>
      <c r="D1438">
        <v>0</v>
      </c>
      <c r="E1438" t="s">
        <v>35</v>
      </c>
      <c r="F1438" s="121" t="s">
        <v>36</v>
      </c>
      <c r="G1438" s="103" t="s">
        <v>37</v>
      </c>
      <c r="H1438" s="103" t="s">
        <v>2956</v>
      </c>
    </row>
    <row r="1439" spans="2:8" x14ac:dyDescent="0.25">
      <c r="B1439">
        <v>1437</v>
      </c>
      <c r="C1439" t="s">
        <v>2957</v>
      </c>
      <c r="D1439">
        <v>0</v>
      </c>
      <c r="E1439" t="s">
        <v>9</v>
      </c>
      <c r="F1439" s="121">
        <v>4818</v>
      </c>
      <c r="G1439" s="123">
        <v>13</v>
      </c>
      <c r="H1439" s="103" t="s">
        <v>2958</v>
      </c>
    </row>
    <row r="1440" spans="2:8" x14ac:dyDescent="0.25">
      <c r="B1440">
        <v>1438</v>
      </c>
      <c r="C1440" t="s">
        <v>2959</v>
      </c>
      <c r="D1440">
        <v>0</v>
      </c>
      <c r="E1440" t="s">
        <v>35</v>
      </c>
      <c r="F1440" s="121" t="s">
        <v>36</v>
      </c>
      <c r="G1440" s="103" t="s">
        <v>37</v>
      </c>
      <c r="H1440" s="103" t="s">
        <v>2960</v>
      </c>
    </row>
    <row r="1441" spans="2:8" x14ac:dyDescent="0.25">
      <c r="B1441">
        <v>1439</v>
      </c>
      <c r="C1441" t="s">
        <v>2961</v>
      </c>
      <c r="D1441">
        <v>0</v>
      </c>
      <c r="E1441" t="s">
        <v>9</v>
      </c>
      <c r="F1441" s="121">
        <v>4818</v>
      </c>
      <c r="G1441" s="123">
        <v>13</v>
      </c>
      <c r="H1441" s="103" t="s">
        <v>2962</v>
      </c>
    </row>
    <row r="1442" spans="2:8" x14ac:dyDescent="0.25">
      <c r="B1442">
        <v>1440</v>
      </c>
      <c r="C1442" t="s">
        <v>2963</v>
      </c>
      <c r="D1442" t="s">
        <v>5185</v>
      </c>
      <c r="E1442" t="s">
        <v>9</v>
      </c>
      <c r="F1442" s="121">
        <v>949</v>
      </c>
      <c r="G1442" s="123">
        <v>13</v>
      </c>
      <c r="H1442" s="103" t="s">
        <v>2964</v>
      </c>
    </row>
    <row r="1443" spans="2:8" x14ac:dyDescent="0.25">
      <c r="B1443">
        <v>1441</v>
      </c>
      <c r="C1443" t="s">
        <v>2965</v>
      </c>
      <c r="D1443">
        <v>0</v>
      </c>
      <c r="E1443" t="s">
        <v>35</v>
      </c>
      <c r="F1443" s="121" t="s">
        <v>36</v>
      </c>
      <c r="G1443" s="103" t="s">
        <v>37</v>
      </c>
      <c r="H1443" s="103" t="s">
        <v>2966</v>
      </c>
    </row>
    <row r="1444" spans="2:8" x14ac:dyDescent="0.25">
      <c r="B1444">
        <v>1442</v>
      </c>
      <c r="C1444" t="s">
        <v>2967</v>
      </c>
      <c r="D1444">
        <v>0</v>
      </c>
      <c r="E1444" t="s">
        <v>9</v>
      </c>
      <c r="F1444" s="121">
        <v>949</v>
      </c>
      <c r="G1444" s="123">
        <v>23</v>
      </c>
      <c r="H1444" s="103" t="s">
        <v>892</v>
      </c>
    </row>
    <row r="1445" spans="2:8" x14ac:dyDescent="0.25">
      <c r="B1445">
        <v>1443</v>
      </c>
      <c r="C1445" t="s">
        <v>2968</v>
      </c>
      <c r="D1445" t="s">
        <v>2969</v>
      </c>
      <c r="E1445" t="s">
        <v>9</v>
      </c>
      <c r="F1445" s="121">
        <v>949</v>
      </c>
      <c r="G1445" s="123">
        <v>23</v>
      </c>
      <c r="H1445" s="103" t="s">
        <v>2970</v>
      </c>
    </row>
    <row r="1446" spans="2:8" x14ac:dyDescent="0.25">
      <c r="B1446">
        <v>1444</v>
      </c>
      <c r="C1446" t="s">
        <v>1957</v>
      </c>
      <c r="D1446">
        <v>0</v>
      </c>
      <c r="E1446" t="s">
        <v>9</v>
      </c>
      <c r="F1446" s="121">
        <v>4818</v>
      </c>
      <c r="G1446" s="123">
        <v>13</v>
      </c>
      <c r="H1446" s="103" t="s">
        <v>1958</v>
      </c>
    </row>
    <row r="1447" spans="2:8" x14ac:dyDescent="0.25">
      <c r="B1447">
        <v>1445</v>
      </c>
      <c r="C1447" t="s">
        <v>2971</v>
      </c>
      <c r="D1447" t="s">
        <v>2972</v>
      </c>
      <c r="E1447" t="s">
        <v>9</v>
      </c>
      <c r="F1447" s="121">
        <v>2734</v>
      </c>
      <c r="G1447" s="123">
        <v>13</v>
      </c>
      <c r="H1447" s="103" t="s">
        <v>2973</v>
      </c>
    </row>
    <row r="1448" spans="2:8" x14ac:dyDescent="0.25">
      <c r="B1448">
        <v>1446</v>
      </c>
      <c r="C1448" t="s">
        <v>767</v>
      </c>
      <c r="D1448">
        <v>0</v>
      </c>
      <c r="E1448" t="s">
        <v>9</v>
      </c>
      <c r="F1448" s="121">
        <v>4825</v>
      </c>
      <c r="G1448" s="123">
        <v>13</v>
      </c>
      <c r="H1448" s="103" t="s">
        <v>768</v>
      </c>
    </row>
    <row r="1449" spans="2:8" x14ac:dyDescent="0.25">
      <c r="B1449">
        <v>1447</v>
      </c>
      <c r="C1449" t="s">
        <v>2974</v>
      </c>
      <c r="D1449">
        <v>0</v>
      </c>
      <c r="E1449" t="s">
        <v>35</v>
      </c>
      <c r="F1449" s="121" t="s">
        <v>36</v>
      </c>
      <c r="G1449" s="123" t="s">
        <v>87</v>
      </c>
      <c r="H1449" s="103" t="s">
        <v>2975</v>
      </c>
    </row>
    <row r="1450" spans="2:8" x14ac:dyDescent="0.25">
      <c r="B1450">
        <v>1448</v>
      </c>
      <c r="C1450" t="s">
        <v>2976</v>
      </c>
      <c r="D1450" t="s">
        <v>2977</v>
      </c>
      <c r="E1450" t="s">
        <v>35</v>
      </c>
      <c r="F1450" s="121" t="s">
        <v>36</v>
      </c>
      <c r="G1450" s="103" t="s">
        <v>37</v>
      </c>
      <c r="H1450" s="103" t="s">
        <v>2978</v>
      </c>
    </row>
    <row r="1451" spans="2:8" x14ac:dyDescent="0.25">
      <c r="B1451">
        <v>1449</v>
      </c>
      <c r="C1451" t="s">
        <v>1014</v>
      </c>
      <c r="D1451">
        <v>0</v>
      </c>
      <c r="E1451" t="s">
        <v>9</v>
      </c>
      <c r="F1451" s="121">
        <v>4825</v>
      </c>
      <c r="G1451" s="123">
        <v>13</v>
      </c>
      <c r="H1451" s="103" t="s">
        <v>1015</v>
      </c>
    </row>
    <row r="1452" spans="2:8" x14ac:dyDescent="0.25">
      <c r="B1452">
        <v>1450</v>
      </c>
      <c r="C1452" t="s">
        <v>2979</v>
      </c>
      <c r="D1452">
        <v>0</v>
      </c>
      <c r="E1452" t="s">
        <v>21</v>
      </c>
      <c r="F1452" s="121" t="s">
        <v>44</v>
      </c>
      <c r="G1452" s="103" t="s">
        <v>22</v>
      </c>
      <c r="H1452" s="103" t="s">
        <v>2980</v>
      </c>
    </row>
    <row r="1453" spans="2:8" x14ac:dyDescent="0.25">
      <c r="B1453">
        <v>1451</v>
      </c>
      <c r="C1453" t="s">
        <v>2981</v>
      </c>
      <c r="D1453">
        <v>0</v>
      </c>
      <c r="E1453" t="s">
        <v>35</v>
      </c>
      <c r="F1453" s="121" t="s">
        <v>36</v>
      </c>
      <c r="G1453" s="103" t="s">
        <v>37</v>
      </c>
      <c r="H1453" s="103" t="s">
        <v>2982</v>
      </c>
    </row>
    <row r="1454" spans="2:8" x14ac:dyDescent="0.25">
      <c r="B1454">
        <v>1452</v>
      </c>
      <c r="C1454" t="s">
        <v>2983</v>
      </c>
      <c r="D1454">
        <v>0</v>
      </c>
      <c r="E1454" t="s">
        <v>9</v>
      </c>
      <c r="F1454" s="121">
        <v>949</v>
      </c>
      <c r="G1454" s="123">
        <v>13</v>
      </c>
      <c r="H1454" s="103" t="s">
        <v>2984</v>
      </c>
    </row>
    <row r="1455" spans="2:8" x14ac:dyDescent="0.25">
      <c r="B1455">
        <v>1453</v>
      </c>
      <c r="C1455" t="s">
        <v>938</v>
      </c>
      <c r="D1455" t="s">
        <v>2985</v>
      </c>
      <c r="E1455" t="s">
        <v>9</v>
      </c>
      <c r="F1455" s="121">
        <v>949</v>
      </c>
      <c r="G1455" s="123">
        <v>23</v>
      </c>
      <c r="H1455" s="103" t="s">
        <v>939</v>
      </c>
    </row>
    <row r="1456" spans="2:8" x14ac:dyDescent="0.25">
      <c r="B1456">
        <v>1454</v>
      </c>
      <c r="C1456" t="s">
        <v>2986</v>
      </c>
      <c r="D1456">
        <v>0</v>
      </c>
      <c r="E1456" t="s">
        <v>9</v>
      </c>
      <c r="F1456" s="121">
        <v>4825</v>
      </c>
      <c r="G1456" s="123">
        <v>13</v>
      </c>
      <c r="H1456" s="103" t="s">
        <v>2987</v>
      </c>
    </row>
    <row r="1457" spans="2:8" x14ac:dyDescent="0.25">
      <c r="B1457">
        <v>1455</v>
      </c>
      <c r="C1457" t="s">
        <v>2988</v>
      </c>
      <c r="D1457">
        <v>0</v>
      </c>
      <c r="E1457" t="s">
        <v>21</v>
      </c>
      <c r="F1457" s="121" t="s">
        <v>264</v>
      </c>
      <c r="G1457" s="103" t="s">
        <v>37</v>
      </c>
      <c r="H1457" s="103" t="s">
        <v>2989</v>
      </c>
    </row>
    <row r="1458" spans="2:8" x14ac:dyDescent="0.25">
      <c r="B1458">
        <v>1456</v>
      </c>
      <c r="C1458" t="s">
        <v>2990</v>
      </c>
      <c r="D1458">
        <v>0</v>
      </c>
      <c r="E1458" t="s">
        <v>21</v>
      </c>
      <c r="F1458" s="121" t="s">
        <v>2991</v>
      </c>
      <c r="G1458" s="103" t="s">
        <v>22</v>
      </c>
      <c r="H1458" s="103" t="s">
        <v>2992</v>
      </c>
    </row>
    <row r="1459" spans="2:8" x14ac:dyDescent="0.25">
      <c r="B1459">
        <v>1457</v>
      </c>
      <c r="C1459" t="s">
        <v>2993</v>
      </c>
      <c r="D1459">
        <v>0</v>
      </c>
      <c r="E1459" t="s">
        <v>9</v>
      </c>
      <c r="F1459" s="121">
        <v>4825</v>
      </c>
      <c r="G1459" s="123">
        <v>23</v>
      </c>
      <c r="H1459" s="103" t="s">
        <v>2994</v>
      </c>
    </row>
    <row r="1460" spans="2:8" x14ac:dyDescent="0.25">
      <c r="B1460">
        <v>1458</v>
      </c>
      <c r="C1460" t="s">
        <v>2995</v>
      </c>
      <c r="D1460">
        <v>0</v>
      </c>
      <c r="E1460" t="s">
        <v>9</v>
      </c>
      <c r="F1460" s="121">
        <v>4825</v>
      </c>
      <c r="G1460" s="123">
        <v>13</v>
      </c>
      <c r="H1460" s="103" t="s">
        <v>2996</v>
      </c>
    </row>
    <row r="1461" spans="2:8" x14ac:dyDescent="0.25">
      <c r="B1461">
        <v>1459</v>
      </c>
      <c r="C1461" t="s">
        <v>2997</v>
      </c>
      <c r="D1461">
        <v>0</v>
      </c>
      <c r="E1461" t="s">
        <v>9</v>
      </c>
      <c r="F1461" s="121">
        <v>4818</v>
      </c>
      <c r="G1461" s="123">
        <v>23</v>
      </c>
      <c r="H1461" s="103" t="s">
        <v>2998</v>
      </c>
    </row>
    <row r="1462" spans="2:8" x14ac:dyDescent="0.25">
      <c r="B1462">
        <v>1460</v>
      </c>
      <c r="C1462" t="s">
        <v>2999</v>
      </c>
      <c r="D1462">
        <v>0</v>
      </c>
      <c r="E1462" t="s">
        <v>35</v>
      </c>
      <c r="F1462" s="121" t="s">
        <v>36</v>
      </c>
      <c r="G1462" s="103" t="s">
        <v>37</v>
      </c>
      <c r="H1462" s="103" t="s">
        <v>3000</v>
      </c>
    </row>
    <row r="1463" spans="2:8" x14ac:dyDescent="0.25">
      <c r="B1463">
        <v>1461</v>
      </c>
      <c r="C1463" t="s">
        <v>3001</v>
      </c>
      <c r="D1463" t="s">
        <v>3002</v>
      </c>
      <c r="E1463" t="s">
        <v>35</v>
      </c>
      <c r="F1463" s="121" t="s">
        <v>36</v>
      </c>
      <c r="G1463" s="103" t="s">
        <v>37</v>
      </c>
      <c r="H1463" s="103" t="s">
        <v>3003</v>
      </c>
    </row>
    <row r="1464" spans="2:8" x14ac:dyDescent="0.25">
      <c r="B1464">
        <v>1462</v>
      </c>
      <c r="C1464" t="s">
        <v>3004</v>
      </c>
      <c r="D1464" t="s">
        <v>3005</v>
      </c>
      <c r="E1464" t="s">
        <v>9</v>
      </c>
      <c r="F1464" s="121">
        <v>4818</v>
      </c>
      <c r="H1464" s="103" t="s">
        <v>3006</v>
      </c>
    </row>
    <row r="1465" spans="2:8" x14ac:dyDescent="0.25">
      <c r="B1465">
        <v>1463</v>
      </c>
      <c r="C1465" t="s">
        <v>3007</v>
      </c>
      <c r="D1465">
        <v>0</v>
      </c>
      <c r="E1465" t="s">
        <v>9</v>
      </c>
      <c r="F1465" s="121">
        <v>949</v>
      </c>
      <c r="G1465" s="103">
        <v>1288</v>
      </c>
      <c r="H1465" s="103" t="s">
        <v>3008</v>
      </c>
    </row>
    <row r="1466" spans="2:8" x14ac:dyDescent="0.25">
      <c r="B1466">
        <v>1464</v>
      </c>
      <c r="C1466" t="s">
        <v>2103</v>
      </c>
      <c r="D1466">
        <v>0</v>
      </c>
      <c r="E1466" t="s">
        <v>9</v>
      </c>
      <c r="F1466" s="121">
        <v>4818</v>
      </c>
      <c r="G1466" s="123">
        <v>13</v>
      </c>
      <c r="H1466" s="103" t="s">
        <v>2104</v>
      </c>
    </row>
    <row r="1467" spans="2:8" x14ac:dyDescent="0.25">
      <c r="B1467">
        <v>1465</v>
      </c>
      <c r="C1467" t="s">
        <v>3009</v>
      </c>
      <c r="D1467" s="125" t="s">
        <v>3010</v>
      </c>
      <c r="E1467" t="s">
        <v>9</v>
      </c>
      <c r="F1467" s="121">
        <v>4694</v>
      </c>
      <c r="G1467" s="123">
        <v>13</v>
      </c>
      <c r="H1467" s="103" t="s">
        <v>3011</v>
      </c>
    </row>
    <row r="1468" spans="2:8" x14ac:dyDescent="0.25">
      <c r="B1468">
        <v>1466</v>
      </c>
      <c r="C1468" t="s">
        <v>3012</v>
      </c>
      <c r="D1468">
        <v>0</v>
      </c>
      <c r="E1468" t="s">
        <v>9</v>
      </c>
      <c r="F1468" s="121">
        <v>4818</v>
      </c>
      <c r="G1468" s="123">
        <v>13</v>
      </c>
      <c r="H1468" s="103" t="s">
        <v>3013</v>
      </c>
    </row>
    <row r="1469" spans="2:8" x14ac:dyDescent="0.25">
      <c r="B1469">
        <v>1467</v>
      </c>
      <c r="C1469" t="s">
        <v>3014</v>
      </c>
      <c r="D1469">
        <v>0</v>
      </c>
      <c r="E1469" t="s">
        <v>35</v>
      </c>
      <c r="F1469" s="121" t="s">
        <v>36</v>
      </c>
      <c r="G1469" s="103" t="s">
        <v>37</v>
      </c>
      <c r="H1469" s="103" t="s">
        <v>3015</v>
      </c>
    </row>
    <row r="1470" spans="2:8" x14ac:dyDescent="0.25">
      <c r="B1470">
        <v>1468</v>
      </c>
      <c r="C1470" t="s">
        <v>3016</v>
      </c>
      <c r="D1470">
        <v>0</v>
      </c>
      <c r="E1470" t="s">
        <v>9</v>
      </c>
      <c r="F1470" s="121">
        <v>4818</v>
      </c>
      <c r="G1470" s="123">
        <v>13</v>
      </c>
      <c r="H1470" s="103" t="s">
        <v>3017</v>
      </c>
    </row>
    <row r="1471" spans="2:8" x14ac:dyDescent="0.25">
      <c r="B1471">
        <v>1469</v>
      </c>
      <c r="C1471" t="s">
        <v>3018</v>
      </c>
      <c r="D1471" t="s">
        <v>3019</v>
      </c>
      <c r="E1471" t="s">
        <v>9</v>
      </c>
      <c r="F1471" s="121">
        <v>949</v>
      </c>
      <c r="G1471" s="123"/>
      <c r="H1471" s="103" t="s">
        <v>3020</v>
      </c>
    </row>
    <row r="1472" spans="2:8" x14ac:dyDescent="0.25">
      <c r="B1472">
        <v>1470</v>
      </c>
      <c r="C1472" t="s">
        <v>3021</v>
      </c>
      <c r="D1472">
        <v>0</v>
      </c>
      <c r="E1472" t="s">
        <v>9</v>
      </c>
      <c r="F1472" s="121">
        <v>3726</v>
      </c>
      <c r="G1472" s="123">
        <v>13</v>
      </c>
      <c r="H1472" s="103" t="s">
        <v>3022</v>
      </c>
    </row>
    <row r="1473" spans="2:8" x14ac:dyDescent="0.25">
      <c r="B1473">
        <v>1471</v>
      </c>
      <c r="C1473" t="s">
        <v>2438</v>
      </c>
      <c r="D1473" t="s">
        <v>3023</v>
      </c>
      <c r="E1473" t="s">
        <v>9</v>
      </c>
      <c r="F1473" s="121">
        <v>4818</v>
      </c>
      <c r="G1473" s="123">
        <v>13</v>
      </c>
      <c r="H1473" s="103" t="s">
        <v>2439</v>
      </c>
    </row>
    <row r="1474" spans="2:8" x14ac:dyDescent="0.25">
      <c r="B1474">
        <v>1472</v>
      </c>
      <c r="C1474" t="s">
        <v>3024</v>
      </c>
      <c r="D1474">
        <v>0</v>
      </c>
      <c r="E1474" t="s">
        <v>21</v>
      </c>
      <c r="F1474" s="121" t="s">
        <v>264</v>
      </c>
      <c r="G1474" s="103" t="s">
        <v>37</v>
      </c>
      <c r="H1474" s="103" t="s">
        <v>3025</v>
      </c>
    </row>
    <row r="1475" spans="2:8" x14ac:dyDescent="0.25">
      <c r="B1475">
        <v>1473</v>
      </c>
      <c r="C1475" t="s">
        <v>3026</v>
      </c>
      <c r="D1475">
        <v>0</v>
      </c>
      <c r="E1475" t="s">
        <v>9</v>
      </c>
      <c r="F1475" s="121">
        <v>780</v>
      </c>
      <c r="G1475" s="123">
        <v>13</v>
      </c>
      <c r="H1475" s="103" t="s">
        <v>3027</v>
      </c>
    </row>
    <row r="1476" spans="2:8" x14ac:dyDescent="0.25">
      <c r="B1476">
        <v>1474</v>
      </c>
      <c r="C1476" t="s">
        <v>1840</v>
      </c>
      <c r="D1476">
        <v>0</v>
      </c>
      <c r="E1476" t="s">
        <v>9</v>
      </c>
      <c r="F1476" s="121">
        <v>4825</v>
      </c>
      <c r="G1476" s="123">
        <v>13</v>
      </c>
      <c r="H1476" s="103" t="s">
        <v>1841</v>
      </c>
    </row>
    <row r="1477" spans="2:8" x14ac:dyDescent="0.25">
      <c r="B1477">
        <v>1475</v>
      </c>
      <c r="C1477" t="s">
        <v>3028</v>
      </c>
      <c r="D1477">
        <v>0</v>
      </c>
      <c r="E1477" t="s">
        <v>9</v>
      </c>
      <c r="F1477" s="121">
        <v>4825</v>
      </c>
      <c r="G1477" s="123">
        <v>1288</v>
      </c>
      <c r="H1477" s="103" t="s">
        <v>3029</v>
      </c>
    </row>
    <row r="1478" spans="2:8" x14ac:dyDescent="0.25">
      <c r="B1478">
        <v>1476</v>
      </c>
      <c r="C1478" t="s">
        <v>3030</v>
      </c>
      <c r="D1478">
        <v>0</v>
      </c>
      <c r="E1478" t="s">
        <v>9</v>
      </c>
      <c r="F1478" s="121">
        <v>949</v>
      </c>
      <c r="G1478" s="123">
        <v>13</v>
      </c>
      <c r="H1478" s="103" t="s">
        <v>3031</v>
      </c>
    </row>
    <row r="1479" spans="2:8" x14ac:dyDescent="0.25">
      <c r="B1479">
        <v>1477</v>
      </c>
      <c r="C1479" t="s">
        <v>3032</v>
      </c>
      <c r="D1479">
        <v>0</v>
      </c>
      <c r="E1479" t="s">
        <v>9</v>
      </c>
      <c r="F1479" s="121">
        <v>3369</v>
      </c>
      <c r="G1479" s="123">
        <v>13</v>
      </c>
      <c r="H1479" s="103" t="s">
        <v>3033</v>
      </c>
    </row>
    <row r="1480" spans="2:8" x14ac:dyDescent="0.25">
      <c r="B1480">
        <v>1478</v>
      </c>
      <c r="C1480" t="s">
        <v>3034</v>
      </c>
      <c r="D1480">
        <v>0</v>
      </c>
      <c r="E1480" t="s">
        <v>9</v>
      </c>
      <c r="F1480" s="121">
        <v>4818</v>
      </c>
      <c r="G1480" s="123">
        <v>13</v>
      </c>
      <c r="H1480" s="103" t="s">
        <v>3035</v>
      </c>
    </row>
    <row r="1481" spans="2:8" x14ac:dyDescent="0.25">
      <c r="B1481">
        <v>1479</v>
      </c>
      <c r="C1481" t="s">
        <v>3036</v>
      </c>
      <c r="D1481">
        <v>0</v>
      </c>
      <c r="E1481" t="s">
        <v>9</v>
      </c>
      <c r="F1481" s="121">
        <v>949</v>
      </c>
      <c r="G1481" s="123">
        <v>13</v>
      </c>
      <c r="H1481" s="103" t="s">
        <v>3037</v>
      </c>
    </row>
    <row r="1482" spans="2:8" x14ac:dyDescent="0.25">
      <c r="B1482">
        <v>1480</v>
      </c>
      <c r="C1482" t="s">
        <v>3038</v>
      </c>
      <c r="D1482" t="s">
        <v>3039</v>
      </c>
      <c r="E1482" t="s">
        <v>9</v>
      </c>
      <c r="F1482" s="121">
        <v>949</v>
      </c>
      <c r="G1482" s="123">
        <v>13</v>
      </c>
      <c r="H1482" s="103" t="s">
        <v>3040</v>
      </c>
    </row>
    <row r="1483" spans="2:8" x14ac:dyDescent="0.25">
      <c r="B1483">
        <v>1481</v>
      </c>
      <c r="C1483" t="s">
        <v>3041</v>
      </c>
      <c r="D1483">
        <v>0</v>
      </c>
      <c r="E1483" t="s">
        <v>9</v>
      </c>
      <c r="F1483" s="121">
        <v>4818</v>
      </c>
      <c r="G1483" s="123">
        <v>1288</v>
      </c>
      <c r="H1483" s="103" t="s">
        <v>3042</v>
      </c>
    </row>
    <row r="1484" spans="2:8" x14ac:dyDescent="0.25">
      <c r="B1484">
        <v>1482</v>
      </c>
      <c r="C1484" t="s">
        <v>3043</v>
      </c>
      <c r="D1484">
        <v>0</v>
      </c>
      <c r="E1484" t="s">
        <v>9</v>
      </c>
      <c r="F1484" s="121">
        <v>949</v>
      </c>
      <c r="G1484" s="123">
        <v>13</v>
      </c>
      <c r="H1484" s="103" t="s">
        <v>3044</v>
      </c>
    </row>
    <row r="1485" spans="2:8" x14ac:dyDescent="0.25">
      <c r="B1485">
        <v>1483</v>
      </c>
      <c r="C1485" t="s">
        <v>3045</v>
      </c>
      <c r="D1485">
        <v>0</v>
      </c>
      <c r="E1485" t="s">
        <v>9</v>
      </c>
      <c r="F1485" s="121">
        <v>4818</v>
      </c>
      <c r="G1485" s="123">
        <v>13</v>
      </c>
      <c r="H1485" s="103" t="s">
        <v>3046</v>
      </c>
    </row>
    <row r="1486" spans="2:8" x14ac:dyDescent="0.25">
      <c r="B1486">
        <v>1484</v>
      </c>
      <c r="C1486" t="s">
        <v>3047</v>
      </c>
      <c r="D1486">
        <v>0</v>
      </c>
      <c r="E1486" t="s">
        <v>21</v>
      </c>
      <c r="F1486" s="121" t="s">
        <v>44</v>
      </c>
      <c r="G1486" s="103" t="s">
        <v>22</v>
      </c>
      <c r="H1486" s="103" t="s">
        <v>3048</v>
      </c>
    </row>
    <row r="1487" spans="2:8" x14ac:dyDescent="0.25">
      <c r="B1487">
        <v>1485</v>
      </c>
      <c r="C1487" t="s">
        <v>3049</v>
      </c>
      <c r="D1487">
        <v>0</v>
      </c>
      <c r="E1487" t="s">
        <v>9</v>
      </c>
      <c r="F1487" s="121">
        <v>780</v>
      </c>
      <c r="G1487" s="123">
        <v>23</v>
      </c>
      <c r="H1487" s="103" t="s">
        <v>3050</v>
      </c>
    </row>
    <row r="1488" spans="2:8" x14ac:dyDescent="0.25">
      <c r="B1488">
        <v>1486</v>
      </c>
      <c r="C1488" t="s">
        <v>3051</v>
      </c>
      <c r="D1488">
        <v>0</v>
      </c>
      <c r="E1488" t="s">
        <v>9</v>
      </c>
      <c r="F1488" s="121">
        <v>4818</v>
      </c>
      <c r="G1488" s="123">
        <v>13</v>
      </c>
      <c r="H1488" s="103" t="s">
        <v>3052</v>
      </c>
    </row>
    <row r="1489" spans="2:8" x14ac:dyDescent="0.25">
      <c r="B1489">
        <v>1487</v>
      </c>
      <c r="C1489" t="s">
        <v>3053</v>
      </c>
      <c r="D1489">
        <v>0</v>
      </c>
      <c r="E1489" t="s">
        <v>35</v>
      </c>
      <c r="F1489" s="121" t="s">
        <v>36</v>
      </c>
      <c r="G1489" s="103" t="s">
        <v>37</v>
      </c>
      <c r="H1489" s="103" t="s">
        <v>3054</v>
      </c>
    </row>
    <row r="1490" spans="2:8" x14ac:dyDescent="0.25">
      <c r="B1490">
        <v>1488</v>
      </c>
      <c r="C1490" t="s">
        <v>3055</v>
      </c>
      <c r="D1490">
        <v>0</v>
      </c>
      <c r="E1490" t="s">
        <v>35</v>
      </c>
      <c r="F1490" s="121" t="s">
        <v>36</v>
      </c>
      <c r="G1490" s="103" t="s">
        <v>37</v>
      </c>
      <c r="H1490" s="103" t="s">
        <v>3056</v>
      </c>
    </row>
    <row r="1491" spans="2:8" x14ac:dyDescent="0.25">
      <c r="B1491">
        <v>1489</v>
      </c>
      <c r="C1491" t="s">
        <v>3057</v>
      </c>
      <c r="D1491" t="s">
        <v>3058</v>
      </c>
      <c r="E1491" t="s">
        <v>9</v>
      </c>
      <c r="F1491" s="121">
        <v>780</v>
      </c>
      <c r="G1491" s="123"/>
      <c r="H1491" s="103" t="s">
        <v>3059</v>
      </c>
    </row>
    <row r="1492" spans="2:8" x14ac:dyDescent="0.25">
      <c r="B1492">
        <v>1490</v>
      </c>
      <c r="C1492" t="s">
        <v>3060</v>
      </c>
      <c r="D1492">
        <v>0</v>
      </c>
      <c r="E1492" t="s">
        <v>9</v>
      </c>
      <c r="F1492" s="121">
        <v>4818</v>
      </c>
      <c r="G1492" s="123">
        <v>13</v>
      </c>
      <c r="H1492" s="103" t="s">
        <v>3061</v>
      </c>
    </row>
    <row r="1493" spans="2:8" x14ac:dyDescent="0.25">
      <c r="B1493">
        <v>1491</v>
      </c>
      <c r="C1493" t="s">
        <v>3062</v>
      </c>
      <c r="D1493">
        <v>0</v>
      </c>
      <c r="E1493" t="s">
        <v>9</v>
      </c>
      <c r="F1493" s="121">
        <v>4818</v>
      </c>
      <c r="G1493" s="123">
        <v>13</v>
      </c>
      <c r="H1493" s="103" t="s">
        <v>3063</v>
      </c>
    </row>
    <row r="1494" spans="2:8" x14ac:dyDescent="0.25">
      <c r="B1494">
        <v>1492</v>
      </c>
      <c r="C1494" t="s">
        <v>3064</v>
      </c>
      <c r="D1494">
        <v>0</v>
      </c>
      <c r="E1494" t="s">
        <v>21</v>
      </c>
      <c r="F1494" s="121" t="s">
        <v>44</v>
      </c>
      <c r="G1494" s="103" t="s">
        <v>22</v>
      </c>
      <c r="H1494" s="103" t="s">
        <v>3065</v>
      </c>
    </row>
    <row r="1495" spans="2:8" x14ac:dyDescent="0.25">
      <c r="B1495">
        <v>1493</v>
      </c>
      <c r="C1495" t="s">
        <v>3066</v>
      </c>
      <c r="D1495">
        <v>0</v>
      </c>
      <c r="E1495" t="s">
        <v>9</v>
      </c>
      <c r="F1495" s="121">
        <v>4825</v>
      </c>
      <c r="G1495" s="123">
        <v>13</v>
      </c>
      <c r="H1495" s="103" t="s">
        <v>3067</v>
      </c>
    </row>
    <row r="1496" spans="2:8" x14ac:dyDescent="0.25">
      <c r="B1496">
        <v>1494</v>
      </c>
      <c r="C1496" t="s">
        <v>3068</v>
      </c>
      <c r="D1496">
        <v>0</v>
      </c>
      <c r="E1496" t="s">
        <v>9</v>
      </c>
      <c r="F1496" s="121">
        <v>4825</v>
      </c>
      <c r="G1496" s="123">
        <v>13</v>
      </c>
      <c r="H1496" s="103" t="s">
        <v>3069</v>
      </c>
    </row>
    <row r="1497" spans="2:8" x14ac:dyDescent="0.25">
      <c r="B1497">
        <v>1495</v>
      </c>
      <c r="C1497" t="s">
        <v>3070</v>
      </c>
      <c r="D1497" t="s">
        <v>5246</v>
      </c>
      <c r="E1497" t="s">
        <v>9</v>
      </c>
      <c r="F1497" s="121">
        <v>4825</v>
      </c>
      <c r="G1497" s="123"/>
      <c r="H1497" s="103" t="s">
        <v>5245</v>
      </c>
    </row>
    <row r="1498" spans="2:8" x14ac:dyDescent="0.25">
      <c r="B1498">
        <v>1496</v>
      </c>
      <c r="C1498" t="s">
        <v>3072</v>
      </c>
      <c r="D1498">
        <v>0</v>
      </c>
      <c r="E1498" t="s">
        <v>9</v>
      </c>
      <c r="F1498" s="121">
        <v>4601</v>
      </c>
      <c r="G1498" s="123">
        <v>13</v>
      </c>
      <c r="H1498" s="103" t="s">
        <v>3073</v>
      </c>
    </row>
    <row r="1499" spans="2:8" x14ac:dyDescent="0.25">
      <c r="B1499">
        <v>1497</v>
      </c>
      <c r="C1499" t="s">
        <v>3074</v>
      </c>
      <c r="D1499" t="s">
        <v>5196</v>
      </c>
      <c r="E1499" t="s">
        <v>21</v>
      </c>
      <c r="F1499" s="121" t="s">
        <v>72</v>
      </c>
      <c r="G1499" s="103" t="s">
        <v>37</v>
      </c>
      <c r="H1499" s="103" t="s">
        <v>3075</v>
      </c>
    </row>
    <row r="1500" spans="2:8" x14ac:dyDescent="0.25">
      <c r="B1500">
        <v>1498</v>
      </c>
      <c r="C1500" t="s">
        <v>3076</v>
      </c>
      <c r="D1500">
        <v>0</v>
      </c>
      <c r="E1500" t="s">
        <v>21</v>
      </c>
      <c r="F1500" s="121" t="s">
        <v>44</v>
      </c>
      <c r="G1500" s="103" t="s">
        <v>37</v>
      </c>
      <c r="H1500" s="103" t="s">
        <v>3077</v>
      </c>
    </row>
    <row r="1501" spans="2:8" x14ac:dyDescent="0.25">
      <c r="B1501">
        <v>1499</v>
      </c>
      <c r="C1501" t="s">
        <v>3078</v>
      </c>
      <c r="D1501" t="s">
        <v>3079</v>
      </c>
      <c r="E1501" t="s">
        <v>9</v>
      </c>
      <c r="F1501" s="121">
        <v>4825</v>
      </c>
      <c r="G1501" s="123">
        <v>13</v>
      </c>
      <c r="H1501" s="103" t="s">
        <v>3080</v>
      </c>
    </row>
    <row r="1502" spans="2:8" x14ac:dyDescent="0.25">
      <c r="B1502">
        <v>1500</v>
      </c>
      <c r="C1502" t="s">
        <v>2928</v>
      </c>
      <c r="D1502">
        <v>0</v>
      </c>
      <c r="E1502" t="s">
        <v>21</v>
      </c>
      <c r="F1502" s="121" t="s">
        <v>44</v>
      </c>
      <c r="G1502" s="103" t="s">
        <v>37</v>
      </c>
      <c r="H1502" s="103" t="s">
        <v>2930</v>
      </c>
    </row>
    <row r="1503" spans="2:8" x14ac:dyDescent="0.25">
      <c r="B1503">
        <v>1501</v>
      </c>
      <c r="C1503" t="s">
        <v>3081</v>
      </c>
      <c r="D1503" t="s">
        <v>3082</v>
      </c>
      <c r="E1503" t="s">
        <v>9</v>
      </c>
      <c r="F1503" s="121">
        <v>949</v>
      </c>
      <c r="G1503" s="123">
        <v>13</v>
      </c>
      <c r="H1503" s="103" t="s">
        <v>3083</v>
      </c>
    </row>
    <row r="1504" spans="2:8" x14ac:dyDescent="0.25">
      <c r="B1504">
        <v>1502</v>
      </c>
      <c r="C1504" t="s">
        <v>858</v>
      </c>
      <c r="D1504">
        <v>0</v>
      </c>
      <c r="E1504" t="s">
        <v>9</v>
      </c>
      <c r="F1504" s="121">
        <v>949</v>
      </c>
      <c r="G1504" s="123">
        <v>23</v>
      </c>
      <c r="H1504" s="103" t="s">
        <v>3084</v>
      </c>
    </row>
    <row r="1505" spans="2:8" x14ac:dyDescent="0.25">
      <c r="B1505">
        <v>1503</v>
      </c>
      <c r="C1505" t="s">
        <v>3085</v>
      </c>
      <c r="D1505" t="s">
        <v>3086</v>
      </c>
      <c r="E1505" t="s">
        <v>35</v>
      </c>
      <c r="F1505" s="121" t="s">
        <v>36</v>
      </c>
      <c r="G1505" s="103" t="s">
        <v>22</v>
      </c>
      <c r="H1505" s="103" t="s">
        <v>3087</v>
      </c>
    </row>
    <row r="1506" spans="2:8" x14ac:dyDescent="0.25">
      <c r="B1506">
        <v>1504</v>
      </c>
      <c r="C1506" t="s">
        <v>3088</v>
      </c>
      <c r="D1506">
        <v>0</v>
      </c>
      <c r="E1506" t="s">
        <v>35</v>
      </c>
      <c r="F1506" s="121" t="s">
        <v>36</v>
      </c>
      <c r="G1506" s="103" t="s">
        <v>22</v>
      </c>
      <c r="H1506" s="103" t="s">
        <v>3089</v>
      </c>
    </row>
    <row r="1507" spans="2:8" x14ac:dyDescent="0.25">
      <c r="B1507">
        <v>1505</v>
      </c>
      <c r="C1507" t="s">
        <v>3090</v>
      </c>
      <c r="D1507">
        <v>0</v>
      </c>
      <c r="E1507" t="s">
        <v>9</v>
      </c>
      <c r="F1507" s="121">
        <v>4026</v>
      </c>
      <c r="G1507" s="123">
        <v>13</v>
      </c>
      <c r="H1507" s="103" t="s">
        <v>3091</v>
      </c>
    </row>
    <row r="1508" spans="2:8" x14ac:dyDescent="0.25">
      <c r="B1508">
        <v>1506</v>
      </c>
      <c r="C1508" t="s">
        <v>3092</v>
      </c>
      <c r="D1508">
        <v>0</v>
      </c>
      <c r="E1508" t="s">
        <v>9</v>
      </c>
      <c r="F1508" s="121">
        <v>780</v>
      </c>
      <c r="G1508" s="123">
        <v>13</v>
      </c>
      <c r="H1508" s="103" t="s">
        <v>3093</v>
      </c>
    </row>
    <row r="1509" spans="2:8" x14ac:dyDescent="0.25">
      <c r="B1509">
        <v>1507</v>
      </c>
      <c r="C1509" t="s">
        <v>3094</v>
      </c>
      <c r="D1509">
        <v>0</v>
      </c>
      <c r="E1509" t="s">
        <v>9</v>
      </c>
      <c r="F1509" s="121">
        <v>4825</v>
      </c>
      <c r="G1509" s="123">
        <v>13</v>
      </c>
      <c r="H1509" s="103" t="s">
        <v>3095</v>
      </c>
    </row>
    <row r="1510" spans="2:8" x14ac:dyDescent="0.25">
      <c r="B1510">
        <v>1508</v>
      </c>
      <c r="C1510" t="s">
        <v>3096</v>
      </c>
      <c r="D1510" t="s">
        <v>5255</v>
      </c>
      <c r="E1510" t="s">
        <v>9</v>
      </c>
      <c r="F1510" s="121">
        <v>3880</v>
      </c>
      <c r="G1510" s="123">
        <v>1288</v>
      </c>
      <c r="H1510" s="103" t="s">
        <v>5251</v>
      </c>
    </row>
    <row r="1511" spans="2:8" x14ac:dyDescent="0.25">
      <c r="B1511">
        <v>1509</v>
      </c>
      <c r="C1511" t="s">
        <v>3097</v>
      </c>
      <c r="D1511">
        <v>0</v>
      </c>
      <c r="E1511" t="s">
        <v>9</v>
      </c>
      <c r="F1511" s="121">
        <v>4825</v>
      </c>
      <c r="G1511" s="123">
        <v>13</v>
      </c>
      <c r="H1511" s="103" t="s">
        <v>796</v>
      </c>
    </row>
    <row r="1512" spans="2:8" x14ac:dyDescent="0.25">
      <c r="B1512">
        <v>1510</v>
      </c>
      <c r="C1512" t="s">
        <v>3098</v>
      </c>
      <c r="D1512">
        <v>0</v>
      </c>
      <c r="E1512" t="s">
        <v>9</v>
      </c>
      <c r="F1512" s="121">
        <v>780</v>
      </c>
      <c r="G1512" s="123">
        <v>13</v>
      </c>
      <c r="H1512" s="103" t="s">
        <v>3099</v>
      </c>
    </row>
    <row r="1513" spans="2:8" x14ac:dyDescent="0.25">
      <c r="B1513">
        <v>1511</v>
      </c>
      <c r="C1513" t="s">
        <v>3100</v>
      </c>
      <c r="D1513">
        <v>0</v>
      </c>
      <c r="E1513" t="s">
        <v>9</v>
      </c>
      <c r="F1513" s="121">
        <v>4825</v>
      </c>
      <c r="G1513" s="123">
        <v>13</v>
      </c>
      <c r="H1513" s="103" t="s">
        <v>1267</v>
      </c>
    </row>
    <row r="1514" spans="2:8" x14ac:dyDescent="0.25">
      <c r="B1514">
        <v>1512</v>
      </c>
      <c r="C1514" t="s">
        <v>3101</v>
      </c>
      <c r="D1514">
        <v>0</v>
      </c>
      <c r="E1514" t="s">
        <v>9</v>
      </c>
      <c r="F1514" s="121">
        <v>780</v>
      </c>
      <c r="G1514" s="123">
        <v>13</v>
      </c>
      <c r="H1514" s="103" t="s">
        <v>3102</v>
      </c>
    </row>
    <row r="1515" spans="2:8" x14ac:dyDescent="0.25">
      <c r="B1515">
        <v>1513</v>
      </c>
      <c r="C1515" t="s">
        <v>3103</v>
      </c>
      <c r="D1515" s="125" t="s">
        <v>3104</v>
      </c>
      <c r="E1515" t="s">
        <v>9</v>
      </c>
      <c r="F1515" s="121">
        <v>4825</v>
      </c>
      <c r="G1515" s="123">
        <v>23</v>
      </c>
      <c r="H1515" s="103" t="s">
        <v>3105</v>
      </c>
    </row>
    <row r="1516" spans="2:8" x14ac:dyDescent="0.25">
      <c r="B1516">
        <v>1514</v>
      </c>
      <c r="C1516" t="s">
        <v>3106</v>
      </c>
      <c r="D1516">
        <v>0</v>
      </c>
      <c r="E1516" t="s">
        <v>9</v>
      </c>
      <c r="F1516" s="121">
        <v>4825</v>
      </c>
      <c r="G1516" s="123">
        <v>13</v>
      </c>
      <c r="H1516" s="103" t="s">
        <v>3107</v>
      </c>
    </row>
    <row r="1517" spans="2:8" x14ac:dyDescent="0.25">
      <c r="B1517">
        <v>1515</v>
      </c>
      <c r="C1517" t="s">
        <v>2416</v>
      </c>
      <c r="D1517">
        <v>0</v>
      </c>
      <c r="E1517" t="s">
        <v>21</v>
      </c>
      <c r="F1517" s="121" t="s">
        <v>44</v>
      </c>
      <c r="G1517" s="103" t="s">
        <v>22</v>
      </c>
      <c r="H1517" s="103" t="s">
        <v>2417</v>
      </c>
    </row>
    <row r="1518" spans="2:8" x14ac:dyDescent="0.25">
      <c r="B1518">
        <v>1516</v>
      </c>
      <c r="C1518" t="s">
        <v>3108</v>
      </c>
      <c r="D1518">
        <v>0</v>
      </c>
      <c r="E1518" t="s">
        <v>9</v>
      </c>
      <c r="F1518" s="121">
        <v>4825</v>
      </c>
      <c r="G1518" s="123">
        <v>13</v>
      </c>
      <c r="H1518" s="103" t="s">
        <v>3109</v>
      </c>
    </row>
    <row r="1519" spans="2:8" x14ac:dyDescent="0.25">
      <c r="B1519">
        <v>1517</v>
      </c>
      <c r="C1519" t="s">
        <v>3110</v>
      </c>
      <c r="D1519">
        <v>0</v>
      </c>
      <c r="E1519" t="s">
        <v>21</v>
      </c>
      <c r="F1519" s="121" t="s">
        <v>44</v>
      </c>
      <c r="G1519" s="103" t="s">
        <v>22</v>
      </c>
      <c r="H1519" s="103" t="s">
        <v>3111</v>
      </c>
    </row>
    <row r="1520" spans="2:8" x14ac:dyDescent="0.25">
      <c r="B1520">
        <v>1518</v>
      </c>
      <c r="C1520" t="s">
        <v>3112</v>
      </c>
      <c r="D1520">
        <v>0</v>
      </c>
      <c r="E1520" t="s">
        <v>9</v>
      </c>
      <c r="F1520" s="121">
        <v>4825</v>
      </c>
      <c r="G1520" s="123">
        <v>13</v>
      </c>
      <c r="H1520" s="103" t="s">
        <v>3113</v>
      </c>
    </row>
    <row r="1521" spans="2:8" x14ac:dyDescent="0.25">
      <c r="B1521">
        <v>1519</v>
      </c>
      <c r="C1521" t="s">
        <v>3114</v>
      </c>
      <c r="D1521">
        <v>0</v>
      </c>
      <c r="E1521" t="s">
        <v>21</v>
      </c>
      <c r="F1521" s="121" t="s">
        <v>44</v>
      </c>
      <c r="G1521" s="103" t="s">
        <v>37</v>
      </c>
      <c r="H1521" s="103" t="s">
        <v>3115</v>
      </c>
    </row>
    <row r="1522" spans="2:8" x14ac:dyDescent="0.25">
      <c r="B1522">
        <v>1520</v>
      </c>
      <c r="C1522" t="s">
        <v>3116</v>
      </c>
      <c r="D1522">
        <v>0</v>
      </c>
      <c r="E1522" t="s">
        <v>9</v>
      </c>
      <c r="F1522" s="121">
        <v>3233</v>
      </c>
      <c r="G1522" s="123">
        <v>23</v>
      </c>
      <c r="H1522" s="103" t="s">
        <v>836</v>
      </c>
    </row>
    <row r="1523" spans="2:8" x14ac:dyDescent="0.25">
      <c r="B1523">
        <v>1521</v>
      </c>
      <c r="C1523" t="s">
        <v>1562</v>
      </c>
      <c r="D1523">
        <v>0</v>
      </c>
      <c r="E1523" t="s">
        <v>9</v>
      </c>
      <c r="F1523" s="121">
        <v>2734</v>
      </c>
      <c r="G1523" s="123">
        <v>13</v>
      </c>
      <c r="H1523" s="103" t="s">
        <v>1563</v>
      </c>
    </row>
    <row r="1524" spans="2:8" x14ac:dyDescent="0.25">
      <c r="B1524">
        <v>1522</v>
      </c>
      <c r="C1524" t="s">
        <v>3117</v>
      </c>
      <c r="D1524">
        <v>0</v>
      </c>
      <c r="E1524" t="s">
        <v>21</v>
      </c>
      <c r="F1524" s="121" t="s">
        <v>72</v>
      </c>
      <c r="G1524" s="103" t="s">
        <v>37</v>
      </c>
      <c r="H1524" s="103" t="s">
        <v>3118</v>
      </c>
    </row>
    <row r="1525" spans="2:8" x14ac:dyDescent="0.25">
      <c r="B1525">
        <v>1523</v>
      </c>
      <c r="C1525" t="s">
        <v>3119</v>
      </c>
      <c r="D1525">
        <v>0</v>
      </c>
      <c r="E1525" t="s">
        <v>9</v>
      </c>
      <c r="F1525" s="121">
        <v>4825</v>
      </c>
      <c r="G1525" s="123">
        <v>13</v>
      </c>
      <c r="H1525" s="103" t="s">
        <v>2256</v>
      </c>
    </row>
    <row r="1526" spans="2:8" x14ac:dyDescent="0.25">
      <c r="B1526">
        <v>1524</v>
      </c>
      <c r="C1526" t="s">
        <v>3120</v>
      </c>
      <c r="D1526">
        <v>0</v>
      </c>
      <c r="E1526" t="s">
        <v>9</v>
      </c>
      <c r="F1526" s="121">
        <v>4825</v>
      </c>
      <c r="G1526" s="123">
        <v>13</v>
      </c>
      <c r="H1526" s="103" t="s">
        <v>3121</v>
      </c>
    </row>
    <row r="1527" spans="2:8" x14ac:dyDescent="0.25">
      <c r="B1527">
        <v>1525</v>
      </c>
      <c r="C1527" t="s">
        <v>3122</v>
      </c>
      <c r="D1527" t="s">
        <v>5024</v>
      </c>
      <c r="E1527" t="s">
        <v>35</v>
      </c>
      <c r="F1527" s="121" t="s">
        <v>36</v>
      </c>
      <c r="G1527" s="123" t="s">
        <v>37</v>
      </c>
      <c r="H1527" s="103" t="s">
        <v>5013</v>
      </c>
    </row>
    <row r="1528" spans="2:8" x14ac:dyDescent="0.25">
      <c r="B1528">
        <v>1526</v>
      </c>
      <c r="C1528" t="s">
        <v>3123</v>
      </c>
      <c r="D1528">
        <v>0</v>
      </c>
      <c r="E1528" t="s">
        <v>9</v>
      </c>
      <c r="F1528" s="121">
        <v>949</v>
      </c>
      <c r="G1528" s="123">
        <v>23</v>
      </c>
      <c r="H1528" s="103" t="s">
        <v>3124</v>
      </c>
    </row>
    <row r="1529" spans="2:8" x14ac:dyDescent="0.25">
      <c r="B1529">
        <v>1527</v>
      </c>
      <c r="C1529" t="s">
        <v>3125</v>
      </c>
      <c r="D1529">
        <v>0</v>
      </c>
      <c r="E1529" t="s">
        <v>9</v>
      </c>
      <c r="F1529" s="121">
        <v>949</v>
      </c>
      <c r="G1529" s="123" t="s">
        <v>37</v>
      </c>
      <c r="H1529" s="103" t="s">
        <v>3126</v>
      </c>
    </row>
    <row r="1530" spans="2:8" x14ac:dyDescent="0.25">
      <c r="B1530">
        <v>1528</v>
      </c>
      <c r="C1530" t="s">
        <v>3127</v>
      </c>
      <c r="D1530" t="s">
        <v>3128</v>
      </c>
      <c r="E1530" t="s">
        <v>9</v>
      </c>
      <c r="F1530" s="121">
        <v>4825</v>
      </c>
      <c r="G1530" s="123">
        <v>13</v>
      </c>
      <c r="H1530" s="103" t="s">
        <v>3129</v>
      </c>
    </row>
    <row r="1531" spans="2:8" x14ac:dyDescent="0.25">
      <c r="B1531">
        <v>1529</v>
      </c>
      <c r="C1531" t="s">
        <v>3130</v>
      </c>
      <c r="D1531" t="s">
        <v>3131</v>
      </c>
      <c r="E1531" t="s">
        <v>9</v>
      </c>
      <c r="F1531" s="121">
        <v>4825</v>
      </c>
      <c r="G1531" s="123"/>
      <c r="H1531" s="103" t="s">
        <v>3132</v>
      </c>
    </row>
    <row r="1532" spans="2:8" x14ac:dyDescent="0.25">
      <c r="B1532">
        <v>1530</v>
      </c>
      <c r="C1532" t="s">
        <v>1115</v>
      </c>
      <c r="D1532">
        <v>0</v>
      </c>
      <c r="E1532" t="s">
        <v>9</v>
      </c>
      <c r="F1532" s="121">
        <v>949</v>
      </c>
      <c r="G1532" s="123">
        <v>23</v>
      </c>
      <c r="H1532" s="103" t="s">
        <v>3133</v>
      </c>
    </row>
    <row r="1533" spans="2:8" x14ac:dyDescent="0.25">
      <c r="B1533">
        <v>1531</v>
      </c>
      <c r="C1533" t="s">
        <v>3134</v>
      </c>
      <c r="D1533">
        <v>0</v>
      </c>
      <c r="E1533" t="s">
        <v>9</v>
      </c>
      <c r="F1533" s="121">
        <v>780</v>
      </c>
      <c r="G1533" s="123">
        <v>23</v>
      </c>
      <c r="H1533" s="103" t="s">
        <v>3135</v>
      </c>
    </row>
    <row r="1534" spans="2:8" x14ac:dyDescent="0.25">
      <c r="B1534">
        <v>1532</v>
      </c>
      <c r="C1534" t="s">
        <v>3136</v>
      </c>
      <c r="D1534">
        <v>0</v>
      </c>
      <c r="E1534" t="s">
        <v>35</v>
      </c>
      <c r="F1534" s="121" t="s">
        <v>670</v>
      </c>
      <c r="G1534" s="103" t="s">
        <v>22</v>
      </c>
      <c r="H1534" s="103" t="s">
        <v>2956</v>
      </c>
    </row>
    <row r="1535" spans="2:8" x14ac:dyDescent="0.25">
      <c r="B1535">
        <v>1533</v>
      </c>
      <c r="C1535" t="s">
        <v>3137</v>
      </c>
      <c r="D1535">
        <v>0</v>
      </c>
      <c r="E1535" t="s">
        <v>9</v>
      </c>
      <c r="F1535" s="121">
        <v>4825</v>
      </c>
      <c r="G1535" s="123">
        <v>13</v>
      </c>
      <c r="H1535" s="103" t="s">
        <v>3138</v>
      </c>
    </row>
    <row r="1536" spans="2:8" x14ac:dyDescent="0.25">
      <c r="B1536">
        <v>1534</v>
      </c>
      <c r="C1536" t="s">
        <v>3139</v>
      </c>
      <c r="D1536">
        <v>0</v>
      </c>
      <c r="E1536" t="s">
        <v>21</v>
      </c>
      <c r="F1536" s="121" t="s">
        <v>44</v>
      </c>
      <c r="G1536" s="103" t="s">
        <v>37</v>
      </c>
      <c r="H1536" s="103" t="s">
        <v>3140</v>
      </c>
    </row>
    <row r="1537" spans="2:8" x14ac:dyDescent="0.25">
      <c r="B1537">
        <v>1535</v>
      </c>
      <c r="C1537" t="s">
        <v>1304</v>
      </c>
      <c r="D1537">
        <v>0</v>
      </c>
      <c r="E1537" t="s">
        <v>9</v>
      </c>
      <c r="F1537" s="121">
        <v>949</v>
      </c>
      <c r="G1537" s="123">
        <v>13</v>
      </c>
      <c r="H1537" s="103" t="s">
        <v>1305</v>
      </c>
    </row>
    <row r="1538" spans="2:8" x14ac:dyDescent="0.25">
      <c r="B1538">
        <v>1536</v>
      </c>
      <c r="C1538" t="s">
        <v>1481</v>
      </c>
      <c r="D1538">
        <v>0</v>
      </c>
      <c r="E1538" t="s">
        <v>9</v>
      </c>
      <c r="F1538" s="121">
        <v>4818</v>
      </c>
      <c r="G1538" s="123">
        <v>13</v>
      </c>
      <c r="H1538" s="103" t="s">
        <v>1482</v>
      </c>
    </row>
    <row r="1539" spans="2:8" x14ac:dyDescent="0.25">
      <c r="B1539">
        <v>1537</v>
      </c>
      <c r="C1539" t="s">
        <v>3141</v>
      </c>
      <c r="D1539">
        <v>0</v>
      </c>
      <c r="E1539" t="s">
        <v>9</v>
      </c>
      <c r="F1539" s="121">
        <v>4818</v>
      </c>
      <c r="G1539" s="123">
        <v>13</v>
      </c>
      <c r="H1539" s="103" t="s">
        <v>3142</v>
      </c>
    </row>
    <row r="1540" spans="2:8" x14ac:dyDescent="0.25">
      <c r="B1540">
        <v>1538</v>
      </c>
      <c r="C1540" t="s">
        <v>3143</v>
      </c>
      <c r="D1540" t="s">
        <v>3144</v>
      </c>
      <c r="E1540" t="s">
        <v>21</v>
      </c>
      <c r="F1540" s="121" t="s">
        <v>44</v>
      </c>
      <c r="G1540" s="103" t="s">
        <v>37</v>
      </c>
      <c r="H1540" s="103" t="s">
        <v>3145</v>
      </c>
    </row>
    <row r="1541" spans="2:8" x14ac:dyDescent="0.25">
      <c r="B1541">
        <v>1539</v>
      </c>
      <c r="C1541" t="s">
        <v>3146</v>
      </c>
      <c r="D1541">
        <v>0</v>
      </c>
      <c r="E1541" t="s">
        <v>21</v>
      </c>
      <c r="F1541" s="121" t="s">
        <v>72</v>
      </c>
      <c r="G1541" s="103" t="s">
        <v>22</v>
      </c>
      <c r="H1541" s="103" t="s">
        <v>3147</v>
      </c>
    </row>
    <row r="1542" spans="2:8" x14ac:dyDescent="0.25">
      <c r="B1542">
        <v>1540</v>
      </c>
      <c r="C1542" t="s">
        <v>932</v>
      </c>
      <c r="D1542">
        <v>0</v>
      </c>
      <c r="E1542" t="s">
        <v>9</v>
      </c>
      <c r="F1542" s="121">
        <v>949</v>
      </c>
      <c r="G1542" s="123">
        <v>23</v>
      </c>
      <c r="H1542" s="103" t="s">
        <v>933</v>
      </c>
    </row>
    <row r="1543" spans="2:8" x14ac:dyDescent="0.25">
      <c r="B1543">
        <v>1541</v>
      </c>
      <c r="C1543" t="s">
        <v>3148</v>
      </c>
      <c r="D1543">
        <v>0</v>
      </c>
      <c r="E1543" t="s">
        <v>9</v>
      </c>
      <c r="F1543" s="121">
        <v>949</v>
      </c>
      <c r="G1543" s="123">
        <v>13</v>
      </c>
      <c r="H1543" s="103" t="s">
        <v>3149</v>
      </c>
    </row>
    <row r="1544" spans="2:8" x14ac:dyDescent="0.25">
      <c r="B1544">
        <v>1542</v>
      </c>
      <c r="C1544" t="s">
        <v>3150</v>
      </c>
      <c r="D1544">
        <v>0</v>
      </c>
      <c r="E1544" t="s">
        <v>9</v>
      </c>
      <c r="F1544" s="121">
        <v>949</v>
      </c>
      <c r="G1544" s="123">
        <v>23</v>
      </c>
      <c r="H1544" s="103" t="s">
        <v>3151</v>
      </c>
    </row>
    <row r="1545" spans="2:8" x14ac:dyDescent="0.25">
      <c r="B1545">
        <v>1543</v>
      </c>
      <c r="C1545" t="s">
        <v>1793</v>
      </c>
      <c r="D1545">
        <v>0</v>
      </c>
      <c r="E1545" t="s">
        <v>9</v>
      </c>
      <c r="F1545" s="121">
        <v>4825</v>
      </c>
      <c r="G1545" s="123">
        <v>13</v>
      </c>
      <c r="H1545" s="103" t="s">
        <v>1794</v>
      </c>
    </row>
    <row r="1546" spans="2:8" x14ac:dyDescent="0.25">
      <c r="B1546">
        <v>1544</v>
      </c>
      <c r="C1546" t="s">
        <v>3152</v>
      </c>
      <c r="D1546" t="s">
        <v>3153</v>
      </c>
      <c r="E1546" t="s">
        <v>21</v>
      </c>
      <c r="F1546" s="121">
        <v>7802</v>
      </c>
      <c r="G1546" s="123"/>
      <c r="H1546" s="103" t="s">
        <v>3154</v>
      </c>
    </row>
    <row r="1547" spans="2:8" x14ac:dyDescent="0.25">
      <c r="B1547">
        <v>1545</v>
      </c>
      <c r="C1547" t="s">
        <v>3155</v>
      </c>
      <c r="D1547">
        <v>0</v>
      </c>
      <c r="E1547" t="s">
        <v>9</v>
      </c>
      <c r="F1547" s="121">
        <v>4825</v>
      </c>
      <c r="G1547" s="123">
        <v>13</v>
      </c>
      <c r="H1547" s="103" t="s">
        <v>3156</v>
      </c>
    </row>
    <row r="1548" spans="2:8" x14ac:dyDescent="0.25">
      <c r="B1548">
        <v>1546</v>
      </c>
      <c r="C1548" t="s">
        <v>3157</v>
      </c>
      <c r="D1548">
        <v>0</v>
      </c>
      <c r="E1548" t="s">
        <v>9</v>
      </c>
      <c r="F1548" s="121">
        <v>4825</v>
      </c>
      <c r="G1548" s="123">
        <v>13</v>
      </c>
      <c r="H1548" s="103" t="s">
        <v>3158</v>
      </c>
    </row>
    <row r="1549" spans="2:8" x14ac:dyDescent="0.25">
      <c r="B1549">
        <v>1547</v>
      </c>
      <c r="C1549" t="s">
        <v>3159</v>
      </c>
      <c r="D1549" t="s">
        <v>3160</v>
      </c>
      <c r="E1549" t="s">
        <v>9</v>
      </c>
      <c r="F1549" s="121">
        <v>780</v>
      </c>
      <c r="G1549" s="123"/>
      <c r="H1549" s="103" t="s">
        <v>3161</v>
      </c>
    </row>
    <row r="1550" spans="2:8" x14ac:dyDescent="0.25">
      <c r="B1550">
        <v>1548</v>
      </c>
      <c r="C1550" t="s">
        <v>3162</v>
      </c>
      <c r="D1550">
        <v>0</v>
      </c>
      <c r="E1550" t="s">
        <v>9</v>
      </c>
      <c r="F1550" s="121">
        <v>780</v>
      </c>
      <c r="G1550" s="123">
        <v>23</v>
      </c>
      <c r="H1550" s="103" t="s">
        <v>3163</v>
      </c>
    </row>
    <row r="1551" spans="2:8" x14ac:dyDescent="0.25">
      <c r="B1551">
        <v>1549</v>
      </c>
      <c r="C1551" t="s">
        <v>3164</v>
      </c>
      <c r="D1551">
        <v>0</v>
      </c>
      <c r="E1551" t="s">
        <v>21</v>
      </c>
      <c r="F1551" s="121">
        <v>3801</v>
      </c>
      <c r="G1551" s="103" t="s">
        <v>37</v>
      </c>
      <c r="H1551" s="103" t="s">
        <v>3165</v>
      </c>
    </row>
    <row r="1552" spans="2:8" x14ac:dyDescent="0.25">
      <c r="B1552">
        <v>1550</v>
      </c>
      <c r="C1552" t="s">
        <v>3166</v>
      </c>
      <c r="D1552" t="s">
        <v>3167</v>
      </c>
      <c r="E1552" t="s">
        <v>9</v>
      </c>
      <c r="F1552" s="121">
        <v>4825</v>
      </c>
      <c r="G1552" s="103">
        <v>1288</v>
      </c>
      <c r="H1552" s="103" t="s">
        <v>3168</v>
      </c>
    </row>
    <row r="1553" spans="2:8" x14ac:dyDescent="0.25">
      <c r="B1553">
        <v>1551</v>
      </c>
      <c r="C1553" t="s">
        <v>3169</v>
      </c>
      <c r="D1553">
        <v>0</v>
      </c>
      <c r="E1553" t="s">
        <v>21</v>
      </c>
      <c r="F1553" s="121" t="s">
        <v>44</v>
      </c>
      <c r="G1553" s="103" t="s">
        <v>37</v>
      </c>
      <c r="H1553" s="103" t="s">
        <v>3170</v>
      </c>
    </row>
    <row r="1554" spans="2:8" x14ac:dyDescent="0.25">
      <c r="B1554">
        <v>1552</v>
      </c>
      <c r="C1554" t="s">
        <v>3171</v>
      </c>
      <c r="D1554">
        <v>0</v>
      </c>
      <c r="E1554" t="s">
        <v>21</v>
      </c>
      <c r="F1554" s="121" t="s">
        <v>3172</v>
      </c>
      <c r="G1554" s="103" t="s">
        <v>37</v>
      </c>
      <c r="H1554" s="103" t="s">
        <v>3173</v>
      </c>
    </row>
    <row r="1555" spans="2:8" x14ac:dyDescent="0.25">
      <c r="B1555">
        <v>1553</v>
      </c>
      <c r="C1555" t="s">
        <v>3174</v>
      </c>
      <c r="D1555" t="s">
        <v>3175</v>
      </c>
      <c r="E1555" t="s">
        <v>9</v>
      </c>
      <c r="F1555" s="121">
        <v>4825</v>
      </c>
      <c r="G1555" s="123">
        <v>13</v>
      </c>
      <c r="H1555" s="103" t="s">
        <v>3176</v>
      </c>
    </row>
    <row r="1556" spans="2:8" x14ac:dyDescent="0.25">
      <c r="B1556">
        <v>1554</v>
      </c>
      <c r="C1556" t="s">
        <v>272</v>
      </c>
      <c r="D1556">
        <v>0</v>
      </c>
      <c r="E1556" t="s">
        <v>9</v>
      </c>
      <c r="F1556" s="121">
        <v>4825</v>
      </c>
      <c r="G1556" s="123">
        <v>13</v>
      </c>
      <c r="H1556" s="103" t="s">
        <v>273</v>
      </c>
    </row>
    <row r="1557" spans="2:8" x14ac:dyDescent="0.25">
      <c r="B1557">
        <v>1555</v>
      </c>
      <c r="C1557" t="s">
        <v>3177</v>
      </c>
      <c r="D1557">
        <v>0</v>
      </c>
      <c r="E1557" t="s">
        <v>9</v>
      </c>
      <c r="F1557" s="121">
        <v>4818</v>
      </c>
      <c r="G1557" s="123">
        <v>13</v>
      </c>
      <c r="H1557" s="103" t="s">
        <v>3178</v>
      </c>
    </row>
    <row r="1558" spans="2:8" x14ac:dyDescent="0.25">
      <c r="B1558">
        <v>1556</v>
      </c>
      <c r="C1558" t="s">
        <v>3179</v>
      </c>
      <c r="D1558">
        <v>0</v>
      </c>
      <c r="E1558" t="s">
        <v>21</v>
      </c>
      <c r="F1558" s="121" t="s">
        <v>3180</v>
      </c>
      <c r="G1558" s="103" t="s">
        <v>37</v>
      </c>
      <c r="H1558" s="103" t="s">
        <v>3181</v>
      </c>
    </row>
    <row r="1559" spans="2:8" x14ac:dyDescent="0.25">
      <c r="B1559">
        <v>1557</v>
      </c>
      <c r="C1559" t="s">
        <v>3182</v>
      </c>
      <c r="D1559" t="s">
        <v>5142</v>
      </c>
      <c r="E1559" t="s">
        <v>21</v>
      </c>
      <c r="F1559" s="121" t="s">
        <v>44</v>
      </c>
      <c r="G1559" s="103" t="s">
        <v>37</v>
      </c>
      <c r="H1559" s="103" t="s">
        <v>3183</v>
      </c>
    </row>
    <row r="1560" spans="2:8" x14ac:dyDescent="0.25">
      <c r="B1560">
        <v>1558</v>
      </c>
      <c r="C1560" t="s">
        <v>3184</v>
      </c>
      <c r="D1560">
        <v>0</v>
      </c>
      <c r="E1560" t="s">
        <v>9</v>
      </c>
      <c r="F1560" s="121">
        <v>949</v>
      </c>
      <c r="G1560" s="123">
        <v>23</v>
      </c>
      <c r="H1560" s="103" t="s">
        <v>3185</v>
      </c>
    </row>
    <row r="1561" spans="2:8" x14ac:dyDescent="0.25">
      <c r="B1561">
        <v>1559</v>
      </c>
      <c r="C1561" t="s">
        <v>3186</v>
      </c>
      <c r="D1561">
        <v>0</v>
      </c>
      <c r="E1561" t="s">
        <v>9</v>
      </c>
      <c r="F1561" s="121">
        <v>949</v>
      </c>
      <c r="G1561" s="123">
        <v>23</v>
      </c>
      <c r="H1561" s="103" t="s">
        <v>3187</v>
      </c>
    </row>
    <row r="1562" spans="2:8" x14ac:dyDescent="0.25">
      <c r="B1562">
        <v>1560</v>
      </c>
      <c r="C1562" t="s">
        <v>2248</v>
      </c>
      <c r="D1562">
        <v>0</v>
      </c>
      <c r="E1562" t="s">
        <v>9</v>
      </c>
      <c r="F1562" s="121">
        <v>4825</v>
      </c>
      <c r="G1562" s="123">
        <v>13</v>
      </c>
      <c r="H1562" s="103" t="s">
        <v>3188</v>
      </c>
    </row>
    <row r="1563" spans="2:8" x14ac:dyDescent="0.25">
      <c r="B1563">
        <v>1561</v>
      </c>
      <c r="C1563" t="s">
        <v>3189</v>
      </c>
      <c r="D1563" t="s">
        <v>3190</v>
      </c>
      <c r="E1563" t="s">
        <v>9</v>
      </c>
      <c r="F1563" s="121">
        <v>780</v>
      </c>
      <c r="G1563" s="123"/>
      <c r="H1563" s="103" t="s">
        <v>3191</v>
      </c>
    </row>
    <row r="1564" spans="2:8" x14ac:dyDescent="0.25">
      <c r="B1564">
        <v>1562</v>
      </c>
      <c r="C1564" t="s">
        <v>3192</v>
      </c>
      <c r="D1564">
        <v>0</v>
      </c>
      <c r="E1564" t="s">
        <v>9</v>
      </c>
      <c r="F1564" s="121">
        <v>4139</v>
      </c>
      <c r="G1564" s="123">
        <v>13</v>
      </c>
      <c r="H1564" s="103" t="s">
        <v>3193</v>
      </c>
    </row>
    <row r="1565" spans="2:8" x14ac:dyDescent="0.25">
      <c r="B1565">
        <v>1563</v>
      </c>
      <c r="C1565" t="s">
        <v>3194</v>
      </c>
      <c r="D1565" t="s">
        <v>5157</v>
      </c>
      <c r="E1565" t="s">
        <v>9</v>
      </c>
      <c r="F1565" s="121">
        <v>4825</v>
      </c>
      <c r="G1565" s="123"/>
      <c r="H1565" s="103" t="s">
        <v>5135</v>
      </c>
    </row>
    <row r="1566" spans="2:8" x14ac:dyDescent="0.25">
      <c r="B1566">
        <v>1564</v>
      </c>
      <c r="C1566" t="s">
        <v>3195</v>
      </c>
      <c r="D1566">
        <v>0</v>
      </c>
      <c r="E1566" t="s">
        <v>9</v>
      </c>
      <c r="F1566" s="121">
        <v>4825</v>
      </c>
      <c r="G1566" s="123">
        <v>13</v>
      </c>
      <c r="H1566" s="103" t="s">
        <v>1446</v>
      </c>
    </row>
    <row r="1567" spans="2:8" x14ac:dyDescent="0.25">
      <c r="B1567">
        <v>1565</v>
      </c>
      <c r="C1567" t="s">
        <v>3196</v>
      </c>
      <c r="D1567">
        <v>0</v>
      </c>
      <c r="E1567" t="s">
        <v>9</v>
      </c>
      <c r="F1567" s="121">
        <v>949</v>
      </c>
      <c r="G1567" s="123">
        <v>23</v>
      </c>
      <c r="H1567" s="103" t="s">
        <v>3197</v>
      </c>
    </row>
    <row r="1568" spans="2:8" x14ac:dyDescent="0.25">
      <c r="B1568">
        <v>1566</v>
      </c>
      <c r="C1568" t="s">
        <v>3198</v>
      </c>
      <c r="D1568">
        <v>0</v>
      </c>
      <c r="E1568" t="s">
        <v>35</v>
      </c>
      <c r="F1568" s="121" t="s">
        <v>36</v>
      </c>
      <c r="G1568" s="103" t="s">
        <v>37</v>
      </c>
      <c r="H1568" s="103" t="s">
        <v>3199</v>
      </c>
    </row>
    <row r="1569" spans="2:8" x14ac:dyDescent="0.25">
      <c r="B1569">
        <v>1567</v>
      </c>
      <c r="C1569" t="s">
        <v>3014</v>
      </c>
      <c r="D1569" t="s">
        <v>3200</v>
      </c>
      <c r="E1569" t="s">
        <v>35</v>
      </c>
      <c r="F1569" s="121" t="s">
        <v>36</v>
      </c>
      <c r="G1569" s="103" t="s">
        <v>37</v>
      </c>
      <c r="H1569" s="103" t="s">
        <v>3015</v>
      </c>
    </row>
    <row r="1570" spans="2:8" x14ac:dyDescent="0.25">
      <c r="B1570">
        <v>1568</v>
      </c>
      <c r="C1570" t="s">
        <v>3201</v>
      </c>
      <c r="D1570" t="s">
        <v>3202</v>
      </c>
      <c r="E1570" t="s">
        <v>9</v>
      </c>
      <c r="F1570" s="121">
        <v>4825</v>
      </c>
      <c r="G1570" s="123">
        <v>13</v>
      </c>
      <c r="H1570" s="103" t="s">
        <v>3203</v>
      </c>
    </row>
    <row r="1571" spans="2:8" x14ac:dyDescent="0.25">
      <c r="B1571">
        <v>1569</v>
      </c>
      <c r="C1571" t="s">
        <v>3204</v>
      </c>
      <c r="D1571">
        <v>0</v>
      </c>
      <c r="E1571" t="s">
        <v>9</v>
      </c>
      <c r="F1571" s="121">
        <v>4601</v>
      </c>
      <c r="G1571" s="123">
        <v>13</v>
      </c>
      <c r="H1571" s="103" t="s">
        <v>3205</v>
      </c>
    </row>
    <row r="1572" spans="2:8" x14ac:dyDescent="0.25">
      <c r="B1572">
        <v>1570</v>
      </c>
      <c r="C1572" t="s">
        <v>2380</v>
      </c>
      <c r="D1572">
        <v>0</v>
      </c>
      <c r="E1572" t="s">
        <v>9</v>
      </c>
      <c r="F1572" s="121">
        <v>780</v>
      </c>
      <c r="G1572" s="123">
        <v>23</v>
      </c>
      <c r="H1572" s="103" t="s">
        <v>2381</v>
      </c>
    </row>
    <row r="1573" spans="2:8" x14ac:dyDescent="0.25">
      <c r="B1573">
        <v>1571</v>
      </c>
      <c r="C1573" t="s">
        <v>3206</v>
      </c>
      <c r="D1573">
        <v>0</v>
      </c>
      <c r="E1573" t="s">
        <v>9</v>
      </c>
      <c r="F1573" s="121">
        <v>4825</v>
      </c>
      <c r="G1573" s="123">
        <v>13</v>
      </c>
      <c r="H1573" s="103" t="s">
        <v>3207</v>
      </c>
    </row>
    <row r="1574" spans="2:8" x14ac:dyDescent="0.25">
      <c r="B1574">
        <v>1572</v>
      </c>
      <c r="C1574" t="s">
        <v>3208</v>
      </c>
      <c r="D1574">
        <v>0</v>
      </c>
      <c r="E1574" t="s">
        <v>35</v>
      </c>
      <c r="F1574" s="121" t="s">
        <v>36</v>
      </c>
      <c r="G1574" s="103" t="s">
        <v>37</v>
      </c>
      <c r="H1574" s="103" t="s">
        <v>3209</v>
      </c>
    </row>
    <row r="1575" spans="2:8" x14ac:dyDescent="0.25">
      <c r="B1575">
        <v>1573</v>
      </c>
      <c r="C1575" t="s">
        <v>3210</v>
      </c>
      <c r="D1575" t="s">
        <v>3211</v>
      </c>
      <c r="E1575" t="s">
        <v>9</v>
      </c>
      <c r="F1575" s="121">
        <v>949</v>
      </c>
      <c r="G1575" s="123">
        <v>13</v>
      </c>
      <c r="H1575" s="103" t="s">
        <v>1803</v>
      </c>
    </row>
    <row r="1576" spans="2:8" x14ac:dyDescent="0.25">
      <c r="B1576">
        <v>1574</v>
      </c>
      <c r="C1576" t="s">
        <v>3212</v>
      </c>
      <c r="D1576" t="s">
        <v>3213</v>
      </c>
      <c r="E1576" t="s">
        <v>9</v>
      </c>
      <c r="F1576" s="121">
        <v>949</v>
      </c>
      <c r="G1576" s="123">
        <v>23</v>
      </c>
      <c r="H1576" s="103" t="s">
        <v>3214</v>
      </c>
    </row>
    <row r="1577" spans="2:8" x14ac:dyDescent="0.25">
      <c r="B1577">
        <v>1575</v>
      </c>
      <c r="C1577" t="s">
        <v>3215</v>
      </c>
      <c r="D1577">
        <v>0</v>
      </c>
      <c r="E1577" t="s">
        <v>9</v>
      </c>
      <c r="F1577" s="121">
        <v>4818</v>
      </c>
      <c r="G1577" s="123">
        <v>13</v>
      </c>
      <c r="H1577" s="103" t="s">
        <v>3216</v>
      </c>
    </row>
    <row r="1578" spans="2:8" x14ac:dyDescent="0.25">
      <c r="B1578">
        <v>1576</v>
      </c>
      <c r="C1578" t="s">
        <v>3217</v>
      </c>
      <c r="D1578">
        <v>0</v>
      </c>
      <c r="E1578" t="s">
        <v>9</v>
      </c>
      <c r="F1578" s="121">
        <v>4825</v>
      </c>
      <c r="G1578" s="123">
        <v>13</v>
      </c>
      <c r="H1578" s="103" t="s">
        <v>2281</v>
      </c>
    </row>
    <row r="1579" spans="2:8" x14ac:dyDescent="0.25">
      <c r="B1579">
        <v>1577</v>
      </c>
      <c r="C1579" t="s">
        <v>3218</v>
      </c>
      <c r="D1579">
        <v>0</v>
      </c>
      <c r="E1579" t="s">
        <v>35</v>
      </c>
      <c r="F1579" s="121" t="s">
        <v>36</v>
      </c>
      <c r="G1579" s="103" t="s">
        <v>37</v>
      </c>
      <c r="H1579" s="103" t="s">
        <v>3219</v>
      </c>
    </row>
    <row r="1580" spans="2:8" x14ac:dyDescent="0.25">
      <c r="B1580">
        <v>1578</v>
      </c>
      <c r="C1580" t="s">
        <v>3220</v>
      </c>
      <c r="D1580">
        <v>0</v>
      </c>
      <c r="E1580" t="s">
        <v>21</v>
      </c>
      <c r="F1580" s="121" t="s">
        <v>3221</v>
      </c>
      <c r="G1580" s="103" t="s">
        <v>37</v>
      </c>
      <c r="H1580" s="103" t="s">
        <v>3222</v>
      </c>
    </row>
    <row r="1581" spans="2:8" x14ac:dyDescent="0.25">
      <c r="B1581">
        <v>1579</v>
      </c>
      <c r="C1581" t="s">
        <v>3223</v>
      </c>
      <c r="D1581">
        <v>0</v>
      </c>
      <c r="E1581" t="s">
        <v>21</v>
      </c>
      <c r="F1581" s="121" t="s">
        <v>44</v>
      </c>
      <c r="G1581" s="103" t="s">
        <v>37</v>
      </c>
      <c r="H1581" s="103" t="s">
        <v>2526</v>
      </c>
    </row>
    <row r="1582" spans="2:8" x14ac:dyDescent="0.25">
      <c r="B1582">
        <v>1580</v>
      </c>
      <c r="C1582" t="s">
        <v>3224</v>
      </c>
      <c r="D1582">
        <v>0</v>
      </c>
      <c r="E1582" t="s">
        <v>9</v>
      </c>
      <c r="F1582" s="121">
        <v>4873</v>
      </c>
      <c r="G1582" s="123">
        <v>13</v>
      </c>
      <c r="H1582" s="103" t="s">
        <v>3225</v>
      </c>
    </row>
    <row r="1583" spans="2:8" x14ac:dyDescent="0.25">
      <c r="B1583">
        <v>1581</v>
      </c>
      <c r="C1583" t="s">
        <v>3226</v>
      </c>
      <c r="D1583" t="s">
        <v>5216</v>
      </c>
      <c r="E1583" t="s">
        <v>9</v>
      </c>
      <c r="F1583" s="121">
        <v>3880</v>
      </c>
      <c r="G1583" s="103">
        <v>1288</v>
      </c>
      <c r="H1583" s="103" t="s">
        <v>5222</v>
      </c>
    </row>
    <row r="1584" spans="2:8" x14ac:dyDescent="0.25">
      <c r="B1584">
        <v>1582</v>
      </c>
      <c r="C1584" t="s">
        <v>3229</v>
      </c>
      <c r="D1584" t="s">
        <v>5256</v>
      </c>
      <c r="E1584" t="s">
        <v>9</v>
      </c>
      <c r="F1584" s="121">
        <v>4825</v>
      </c>
      <c r="G1584" s="123">
        <v>13</v>
      </c>
      <c r="H1584" s="103" t="s">
        <v>3230</v>
      </c>
    </row>
    <row r="1585" spans="2:8" x14ac:dyDescent="0.25">
      <c r="B1585">
        <v>1583</v>
      </c>
      <c r="C1585" t="s">
        <v>1240</v>
      </c>
      <c r="D1585">
        <v>0</v>
      </c>
      <c r="E1585" t="s">
        <v>9</v>
      </c>
      <c r="F1585" s="121">
        <v>4825</v>
      </c>
      <c r="G1585" s="123">
        <v>13</v>
      </c>
      <c r="H1585" s="103" t="s">
        <v>1241</v>
      </c>
    </row>
    <row r="1586" spans="2:8" x14ac:dyDescent="0.25">
      <c r="B1586">
        <v>1584</v>
      </c>
      <c r="C1586" t="s">
        <v>3231</v>
      </c>
      <c r="D1586">
        <v>0</v>
      </c>
      <c r="E1586" t="s">
        <v>9</v>
      </c>
      <c r="F1586" s="121">
        <v>4825</v>
      </c>
      <c r="G1586" s="123">
        <v>13</v>
      </c>
      <c r="H1586" s="103" t="s">
        <v>2789</v>
      </c>
    </row>
    <row r="1587" spans="2:8" x14ac:dyDescent="0.25">
      <c r="B1587">
        <v>1585</v>
      </c>
      <c r="C1587" t="s">
        <v>3232</v>
      </c>
      <c r="D1587">
        <v>0</v>
      </c>
      <c r="E1587" t="s">
        <v>9</v>
      </c>
      <c r="F1587" s="121">
        <v>4825</v>
      </c>
      <c r="G1587" s="123">
        <v>13</v>
      </c>
      <c r="H1587" s="103" t="s">
        <v>3233</v>
      </c>
    </row>
    <row r="1588" spans="2:8" x14ac:dyDescent="0.25">
      <c r="B1588">
        <v>1586</v>
      </c>
      <c r="C1588" t="s">
        <v>3234</v>
      </c>
      <c r="D1588" t="s">
        <v>3235</v>
      </c>
      <c r="E1588" t="s">
        <v>9</v>
      </c>
      <c r="F1588" s="121">
        <v>780</v>
      </c>
      <c r="G1588" s="123"/>
      <c r="H1588" s="103" t="s">
        <v>3236</v>
      </c>
    </row>
    <row r="1589" spans="2:8" x14ac:dyDescent="0.25">
      <c r="B1589">
        <v>1587</v>
      </c>
      <c r="C1589" t="s">
        <v>3237</v>
      </c>
      <c r="D1589">
        <v>0</v>
      </c>
      <c r="E1589" t="s">
        <v>9</v>
      </c>
      <c r="F1589" s="121">
        <v>4825</v>
      </c>
      <c r="G1589" s="123">
        <v>13</v>
      </c>
      <c r="H1589" s="103" t="s">
        <v>3238</v>
      </c>
    </row>
    <row r="1590" spans="2:8" x14ac:dyDescent="0.25">
      <c r="B1590">
        <v>1588</v>
      </c>
      <c r="C1590" t="s">
        <v>3239</v>
      </c>
      <c r="D1590">
        <v>0</v>
      </c>
      <c r="E1590" t="s">
        <v>9</v>
      </c>
      <c r="F1590" s="121">
        <v>780</v>
      </c>
      <c r="G1590" s="123">
        <v>13</v>
      </c>
      <c r="H1590" s="103" t="s">
        <v>3240</v>
      </c>
    </row>
    <row r="1591" spans="2:8" x14ac:dyDescent="0.25">
      <c r="B1591">
        <v>1589</v>
      </c>
      <c r="C1591" t="s">
        <v>3241</v>
      </c>
      <c r="D1591">
        <v>0</v>
      </c>
      <c r="E1591" t="s">
        <v>9</v>
      </c>
      <c r="F1591" s="121">
        <v>565</v>
      </c>
      <c r="G1591" s="123">
        <v>13</v>
      </c>
      <c r="H1591" s="103" t="s">
        <v>3242</v>
      </c>
    </row>
    <row r="1592" spans="2:8" x14ac:dyDescent="0.25">
      <c r="B1592">
        <v>1590</v>
      </c>
      <c r="C1592" t="s">
        <v>1610</v>
      </c>
      <c r="D1592" t="s">
        <v>1611</v>
      </c>
      <c r="E1592" t="s">
        <v>9</v>
      </c>
      <c r="F1592" s="121">
        <v>780</v>
      </c>
      <c r="G1592" s="123">
        <v>13</v>
      </c>
      <c r="H1592" s="103" t="s">
        <v>3243</v>
      </c>
    </row>
    <row r="1593" spans="2:8" x14ac:dyDescent="0.25">
      <c r="B1593">
        <v>1591</v>
      </c>
      <c r="C1593" t="s">
        <v>3244</v>
      </c>
      <c r="D1593">
        <v>0</v>
      </c>
      <c r="E1593" t="s">
        <v>9</v>
      </c>
      <c r="F1593" s="121">
        <v>949</v>
      </c>
      <c r="G1593" s="123">
        <v>13</v>
      </c>
      <c r="H1593" s="103" t="s">
        <v>3245</v>
      </c>
    </row>
    <row r="1594" spans="2:8" x14ac:dyDescent="0.25">
      <c r="B1594">
        <v>1592</v>
      </c>
      <c r="C1594" t="s">
        <v>3246</v>
      </c>
      <c r="D1594">
        <v>0</v>
      </c>
      <c r="E1594" t="s">
        <v>9</v>
      </c>
      <c r="F1594" s="121">
        <v>4818</v>
      </c>
      <c r="G1594" s="123">
        <v>13</v>
      </c>
      <c r="H1594" s="103" t="s">
        <v>3247</v>
      </c>
    </row>
    <row r="1595" spans="2:8" x14ac:dyDescent="0.25">
      <c r="B1595">
        <v>1593</v>
      </c>
      <c r="C1595" t="s">
        <v>3248</v>
      </c>
      <c r="D1595" t="s">
        <v>5137</v>
      </c>
      <c r="E1595" t="s">
        <v>9</v>
      </c>
      <c r="F1595" s="121">
        <v>138</v>
      </c>
      <c r="G1595" s="123"/>
      <c r="H1595" s="103" t="s">
        <v>5114</v>
      </c>
    </row>
    <row r="1596" spans="2:8" x14ac:dyDescent="0.25">
      <c r="B1596">
        <v>1594</v>
      </c>
      <c r="C1596" t="s">
        <v>2495</v>
      </c>
      <c r="D1596" t="s">
        <v>3249</v>
      </c>
      <c r="E1596" t="s">
        <v>9</v>
      </c>
      <c r="F1596" s="121">
        <v>4825</v>
      </c>
      <c r="G1596" s="123">
        <v>13</v>
      </c>
      <c r="H1596" s="103" t="s">
        <v>3250</v>
      </c>
    </row>
    <row r="1597" spans="2:8" x14ac:dyDescent="0.25">
      <c r="B1597">
        <v>1595</v>
      </c>
      <c r="C1597" t="s">
        <v>3251</v>
      </c>
      <c r="D1597">
        <v>0</v>
      </c>
      <c r="E1597" t="s">
        <v>21</v>
      </c>
      <c r="F1597" s="121" t="s">
        <v>264</v>
      </c>
      <c r="G1597" s="103" t="s">
        <v>37</v>
      </c>
      <c r="H1597" s="103" t="s">
        <v>3252</v>
      </c>
    </row>
    <row r="1598" spans="2:8" x14ac:dyDescent="0.25">
      <c r="B1598">
        <v>1596</v>
      </c>
      <c r="C1598" t="s">
        <v>3253</v>
      </c>
      <c r="D1598">
        <v>0</v>
      </c>
      <c r="E1598" t="s">
        <v>9</v>
      </c>
      <c r="F1598" s="121">
        <v>4825</v>
      </c>
      <c r="G1598" s="103">
        <v>1288</v>
      </c>
      <c r="H1598" s="103" t="s">
        <v>3254</v>
      </c>
    </row>
    <row r="1599" spans="2:8" x14ac:dyDescent="0.25">
      <c r="B1599">
        <v>1597</v>
      </c>
      <c r="C1599" t="s">
        <v>3255</v>
      </c>
      <c r="D1599" t="s">
        <v>3256</v>
      </c>
      <c r="E1599" t="s">
        <v>9</v>
      </c>
      <c r="F1599" s="121">
        <v>4825</v>
      </c>
      <c r="H1599" s="103" t="s">
        <v>3257</v>
      </c>
    </row>
    <row r="1600" spans="2:8" x14ac:dyDescent="0.25">
      <c r="B1600">
        <v>1598</v>
      </c>
      <c r="C1600" t="s">
        <v>3258</v>
      </c>
      <c r="D1600">
        <v>0</v>
      </c>
      <c r="E1600" t="s">
        <v>9</v>
      </c>
      <c r="F1600" s="121">
        <v>4825</v>
      </c>
      <c r="G1600" s="103">
        <v>1288</v>
      </c>
      <c r="H1600" s="103" t="s">
        <v>3259</v>
      </c>
    </row>
    <row r="1601" spans="2:8" x14ac:dyDescent="0.25">
      <c r="B1601">
        <v>1599</v>
      </c>
      <c r="C1601" t="s">
        <v>2911</v>
      </c>
      <c r="D1601">
        <v>0</v>
      </c>
      <c r="E1601" t="s">
        <v>9</v>
      </c>
      <c r="F1601" s="121">
        <v>780</v>
      </c>
      <c r="G1601" s="123">
        <v>13</v>
      </c>
      <c r="H1601" s="103" t="s">
        <v>2912</v>
      </c>
    </row>
    <row r="1602" spans="2:8" x14ac:dyDescent="0.25">
      <c r="B1602">
        <v>1600</v>
      </c>
      <c r="C1602" t="s">
        <v>3260</v>
      </c>
      <c r="D1602">
        <v>0</v>
      </c>
      <c r="E1602" t="s">
        <v>9</v>
      </c>
      <c r="F1602" s="121">
        <v>780</v>
      </c>
      <c r="G1602" s="123">
        <v>13</v>
      </c>
      <c r="H1602" s="103" t="s">
        <v>3261</v>
      </c>
    </row>
    <row r="1603" spans="2:8" x14ac:dyDescent="0.25">
      <c r="B1603">
        <v>1601</v>
      </c>
      <c r="C1603" t="s">
        <v>3262</v>
      </c>
      <c r="D1603">
        <v>0</v>
      </c>
      <c r="E1603" t="s">
        <v>21</v>
      </c>
      <c r="F1603" s="121" t="s">
        <v>44</v>
      </c>
      <c r="G1603" s="103" t="s">
        <v>37</v>
      </c>
      <c r="H1603" s="103" t="s">
        <v>3263</v>
      </c>
    </row>
    <row r="1604" spans="2:8" x14ac:dyDescent="0.25">
      <c r="B1604">
        <v>1602</v>
      </c>
      <c r="C1604" t="s">
        <v>3264</v>
      </c>
      <c r="D1604">
        <v>0</v>
      </c>
      <c r="E1604" t="s">
        <v>9</v>
      </c>
      <c r="F1604" s="121">
        <v>4825</v>
      </c>
      <c r="G1604" s="103">
        <v>1288</v>
      </c>
      <c r="H1604" s="103" t="s">
        <v>3265</v>
      </c>
    </row>
    <row r="1605" spans="2:8" x14ac:dyDescent="0.25">
      <c r="B1605">
        <v>1603</v>
      </c>
      <c r="C1605" t="s">
        <v>3266</v>
      </c>
      <c r="D1605">
        <v>0</v>
      </c>
      <c r="E1605" t="s">
        <v>9</v>
      </c>
      <c r="F1605" s="121">
        <v>4825</v>
      </c>
      <c r="G1605" s="103">
        <v>1288</v>
      </c>
      <c r="H1605" s="103" t="s">
        <v>3267</v>
      </c>
    </row>
    <row r="1606" spans="2:8" x14ac:dyDescent="0.25">
      <c r="B1606">
        <v>1604</v>
      </c>
      <c r="C1606" t="s">
        <v>3268</v>
      </c>
      <c r="D1606">
        <v>0</v>
      </c>
      <c r="E1606" t="s">
        <v>21</v>
      </c>
      <c r="F1606" s="121" t="s">
        <v>264</v>
      </c>
      <c r="G1606" s="103" t="s">
        <v>22</v>
      </c>
      <c r="H1606" s="103" t="s">
        <v>3269</v>
      </c>
    </row>
    <row r="1607" spans="2:8" x14ac:dyDescent="0.25">
      <c r="B1607">
        <v>1605</v>
      </c>
      <c r="C1607" t="s">
        <v>3270</v>
      </c>
      <c r="D1607">
        <v>0</v>
      </c>
      <c r="E1607" t="s">
        <v>9</v>
      </c>
      <c r="F1607" s="121">
        <v>4535</v>
      </c>
      <c r="G1607" s="123">
        <v>13</v>
      </c>
      <c r="H1607" s="103" t="s">
        <v>3271</v>
      </c>
    </row>
    <row r="1608" spans="2:8" x14ac:dyDescent="0.25">
      <c r="B1608">
        <v>1606</v>
      </c>
      <c r="C1608" t="s">
        <v>1551</v>
      </c>
      <c r="D1608">
        <v>0</v>
      </c>
      <c r="E1608" t="s">
        <v>21</v>
      </c>
      <c r="F1608" s="121" t="s">
        <v>44</v>
      </c>
      <c r="G1608" s="103" t="s">
        <v>37</v>
      </c>
      <c r="H1608" s="103" t="s">
        <v>3272</v>
      </c>
    </row>
    <row r="1609" spans="2:8" x14ac:dyDescent="0.25">
      <c r="B1609">
        <v>1607</v>
      </c>
      <c r="C1609" t="s">
        <v>3273</v>
      </c>
      <c r="D1609">
        <v>0</v>
      </c>
      <c r="E1609" t="s">
        <v>9</v>
      </c>
      <c r="F1609" s="121">
        <v>4825</v>
      </c>
      <c r="G1609" s="123">
        <v>13</v>
      </c>
      <c r="H1609" s="103" t="s">
        <v>3274</v>
      </c>
    </row>
    <row r="1610" spans="2:8" x14ac:dyDescent="0.25">
      <c r="B1610">
        <v>1608</v>
      </c>
      <c r="C1610" t="s">
        <v>3275</v>
      </c>
      <c r="D1610" t="s">
        <v>3276</v>
      </c>
      <c r="E1610" t="s">
        <v>21</v>
      </c>
      <c r="F1610" s="121">
        <v>3944</v>
      </c>
      <c r="G1610" s="123"/>
      <c r="H1610" s="103" t="s">
        <v>3277</v>
      </c>
    </row>
    <row r="1611" spans="2:8" x14ac:dyDescent="0.25">
      <c r="B1611">
        <v>1609</v>
      </c>
      <c r="C1611" t="s">
        <v>3278</v>
      </c>
      <c r="D1611" t="s">
        <v>5257</v>
      </c>
      <c r="E1611" t="s">
        <v>9</v>
      </c>
      <c r="F1611" s="121">
        <v>4825</v>
      </c>
      <c r="G1611" s="123">
        <v>13</v>
      </c>
      <c r="H1611" s="103" t="s">
        <v>3279</v>
      </c>
    </row>
    <row r="1612" spans="2:8" x14ac:dyDescent="0.25">
      <c r="B1612">
        <v>1610</v>
      </c>
      <c r="C1612" t="s">
        <v>3280</v>
      </c>
      <c r="D1612" t="s">
        <v>3281</v>
      </c>
      <c r="E1612" t="s">
        <v>9</v>
      </c>
      <c r="F1612" s="121">
        <v>4825</v>
      </c>
      <c r="H1612" s="103" t="s">
        <v>3282</v>
      </c>
    </row>
    <row r="1613" spans="2:8" x14ac:dyDescent="0.25">
      <c r="B1613">
        <v>1611</v>
      </c>
      <c r="C1613" t="s">
        <v>3283</v>
      </c>
      <c r="D1613" t="s">
        <v>3284</v>
      </c>
      <c r="E1613" t="s">
        <v>9</v>
      </c>
      <c r="F1613" s="121">
        <v>949</v>
      </c>
      <c r="G1613" s="123"/>
      <c r="H1613" s="103" t="s">
        <v>3285</v>
      </c>
    </row>
    <row r="1614" spans="2:8" x14ac:dyDescent="0.25">
      <c r="B1614">
        <v>1612</v>
      </c>
      <c r="C1614" t="s">
        <v>3286</v>
      </c>
      <c r="D1614">
        <v>0</v>
      </c>
      <c r="E1614" t="s">
        <v>9</v>
      </c>
      <c r="F1614" s="121">
        <v>4825</v>
      </c>
      <c r="G1614" s="123">
        <v>13</v>
      </c>
      <c r="H1614" s="103" t="s">
        <v>3287</v>
      </c>
    </row>
    <row r="1615" spans="2:8" x14ac:dyDescent="0.25">
      <c r="B1615">
        <v>1613</v>
      </c>
      <c r="C1615" t="s">
        <v>3288</v>
      </c>
      <c r="D1615">
        <v>0</v>
      </c>
      <c r="E1615" t="s">
        <v>9</v>
      </c>
      <c r="F1615" s="121">
        <v>4825</v>
      </c>
      <c r="G1615" s="123">
        <v>13</v>
      </c>
      <c r="H1615" s="103" t="s">
        <v>3289</v>
      </c>
    </row>
    <row r="1616" spans="2:8" x14ac:dyDescent="0.25">
      <c r="B1616">
        <v>1614</v>
      </c>
      <c r="C1616" t="s">
        <v>3290</v>
      </c>
      <c r="D1616">
        <v>0</v>
      </c>
      <c r="E1616" t="s">
        <v>35</v>
      </c>
      <c r="F1616" s="121" t="s">
        <v>36</v>
      </c>
      <c r="G1616" s="103" t="s">
        <v>22</v>
      </c>
      <c r="H1616" s="103" t="s">
        <v>3291</v>
      </c>
    </row>
    <row r="1617" spans="2:8" x14ac:dyDescent="0.25">
      <c r="B1617">
        <v>1615</v>
      </c>
      <c r="C1617" t="s">
        <v>3292</v>
      </c>
      <c r="D1617">
        <v>0</v>
      </c>
      <c r="E1617" t="s">
        <v>9</v>
      </c>
      <c r="F1617" s="121">
        <v>780</v>
      </c>
      <c r="G1617" s="123"/>
      <c r="H1617" s="103" t="s">
        <v>3293</v>
      </c>
    </row>
    <row r="1618" spans="2:8" x14ac:dyDescent="0.25">
      <c r="B1618">
        <v>1616</v>
      </c>
      <c r="C1618" t="s">
        <v>3294</v>
      </c>
      <c r="D1618">
        <v>0</v>
      </c>
      <c r="E1618" t="s">
        <v>9</v>
      </c>
      <c r="F1618" s="121">
        <v>973</v>
      </c>
      <c r="G1618" s="123">
        <v>13</v>
      </c>
      <c r="H1618" s="103" t="s">
        <v>3295</v>
      </c>
    </row>
    <row r="1619" spans="2:8" x14ac:dyDescent="0.25">
      <c r="B1619">
        <v>1617</v>
      </c>
      <c r="C1619" t="s">
        <v>3296</v>
      </c>
      <c r="D1619">
        <v>0</v>
      </c>
      <c r="E1619" t="s">
        <v>9</v>
      </c>
      <c r="F1619" s="121">
        <v>4825</v>
      </c>
      <c r="G1619" s="103">
        <v>1288</v>
      </c>
      <c r="H1619" s="103" t="s">
        <v>3297</v>
      </c>
    </row>
    <row r="1620" spans="2:8" x14ac:dyDescent="0.25">
      <c r="B1620">
        <v>1618</v>
      </c>
      <c r="C1620" t="s">
        <v>3298</v>
      </c>
      <c r="D1620">
        <v>0</v>
      </c>
      <c r="E1620" t="s">
        <v>9</v>
      </c>
      <c r="F1620" s="121">
        <v>245</v>
      </c>
      <c r="G1620" s="123">
        <v>13</v>
      </c>
      <c r="H1620" s="103" t="s">
        <v>3299</v>
      </c>
    </row>
    <row r="1621" spans="2:8" x14ac:dyDescent="0.25">
      <c r="B1621">
        <v>1619</v>
      </c>
      <c r="C1621" t="s">
        <v>3300</v>
      </c>
      <c r="D1621">
        <v>0</v>
      </c>
      <c r="E1621" t="s">
        <v>9</v>
      </c>
      <c r="F1621" s="121">
        <v>4825</v>
      </c>
      <c r="G1621" s="123">
        <v>13</v>
      </c>
      <c r="H1621" s="103" t="s">
        <v>3301</v>
      </c>
    </row>
    <row r="1622" spans="2:8" x14ac:dyDescent="0.25">
      <c r="B1622">
        <v>1620</v>
      </c>
      <c r="C1622" t="s">
        <v>3302</v>
      </c>
      <c r="D1622">
        <v>0</v>
      </c>
      <c r="E1622" t="s">
        <v>9</v>
      </c>
      <c r="F1622" s="121">
        <v>4825</v>
      </c>
      <c r="G1622" s="103">
        <v>1288</v>
      </c>
      <c r="H1622" s="103" t="s">
        <v>3303</v>
      </c>
    </row>
    <row r="1623" spans="2:8" x14ac:dyDescent="0.25">
      <c r="B1623">
        <v>1621</v>
      </c>
      <c r="C1623" t="s">
        <v>3304</v>
      </c>
      <c r="D1623">
        <v>0</v>
      </c>
      <c r="E1623" t="s">
        <v>9</v>
      </c>
      <c r="F1623" s="121">
        <v>4825</v>
      </c>
      <c r="G1623" s="103">
        <v>1288</v>
      </c>
      <c r="H1623" s="103" t="s">
        <v>3305</v>
      </c>
    </row>
    <row r="1624" spans="2:8" x14ac:dyDescent="0.25">
      <c r="B1624">
        <v>1622</v>
      </c>
      <c r="C1624" t="s">
        <v>3306</v>
      </c>
      <c r="D1624">
        <v>0</v>
      </c>
      <c r="E1624" t="s">
        <v>9</v>
      </c>
      <c r="F1624" s="121">
        <v>780</v>
      </c>
      <c r="G1624" s="123">
        <v>23</v>
      </c>
      <c r="H1624" s="103" t="s">
        <v>3307</v>
      </c>
    </row>
    <row r="1625" spans="2:8" x14ac:dyDescent="0.25">
      <c r="B1625">
        <v>1623</v>
      </c>
      <c r="C1625" t="s">
        <v>3308</v>
      </c>
      <c r="D1625">
        <v>0</v>
      </c>
      <c r="E1625" t="s">
        <v>9</v>
      </c>
      <c r="F1625" s="121">
        <v>780</v>
      </c>
      <c r="G1625" s="123">
        <v>23</v>
      </c>
      <c r="H1625" s="103" t="s">
        <v>3309</v>
      </c>
    </row>
    <row r="1626" spans="2:8" x14ac:dyDescent="0.25">
      <c r="B1626">
        <v>1624</v>
      </c>
      <c r="C1626" t="s">
        <v>3310</v>
      </c>
      <c r="D1626">
        <v>0</v>
      </c>
      <c r="E1626" t="s">
        <v>35</v>
      </c>
      <c r="F1626" s="121" t="s">
        <v>452</v>
      </c>
      <c r="G1626" s="103" t="s">
        <v>37</v>
      </c>
      <c r="H1626" s="103" t="s">
        <v>453</v>
      </c>
    </row>
    <row r="1627" spans="2:8" x14ac:dyDescent="0.25">
      <c r="B1627">
        <v>1625</v>
      </c>
      <c r="C1627" t="s">
        <v>3311</v>
      </c>
      <c r="D1627">
        <v>0</v>
      </c>
      <c r="E1627" t="s">
        <v>9</v>
      </c>
      <c r="F1627" s="121">
        <v>3193</v>
      </c>
      <c r="G1627" s="123">
        <v>13</v>
      </c>
      <c r="H1627" s="103" t="s">
        <v>3312</v>
      </c>
    </row>
    <row r="1628" spans="2:8" x14ac:dyDescent="0.25">
      <c r="B1628">
        <v>1626</v>
      </c>
      <c r="C1628" t="s">
        <v>3313</v>
      </c>
      <c r="D1628">
        <v>0</v>
      </c>
      <c r="E1628" t="s">
        <v>9</v>
      </c>
      <c r="F1628" s="121">
        <v>2307</v>
      </c>
      <c r="G1628" s="123">
        <v>13</v>
      </c>
      <c r="H1628" s="103" t="s">
        <v>3314</v>
      </c>
    </row>
    <row r="1629" spans="2:8" x14ac:dyDescent="0.25">
      <c r="B1629">
        <v>1627</v>
      </c>
      <c r="C1629" t="s">
        <v>3315</v>
      </c>
      <c r="D1629" t="s">
        <v>3316</v>
      </c>
      <c r="E1629" t="s">
        <v>21</v>
      </c>
      <c r="F1629" s="121">
        <v>3862</v>
      </c>
      <c r="G1629" s="103" t="s">
        <v>22</v>
      </c>
      <c r="H1629" s="103" t="s">
        <v>3317</v>
      </c>
    </row>
    <row r="1630" spans="2:8" x14ac:dyDescent="0.25">
      <c r="B1630">
        <v>1628</v>
      </c>
      <c r="C1630" t="s">
        <v>3318</v>
      </c>
      <c r="D1630">
        <v>0</v>
      </c>
      <c r="E1630" t="s">
        <v>35</v>
      </c>
      <c r="F1630" s="121" t="s">
        <v>36</v>
      </c>
      <c r="G1630" s="103" t="s">
        <v>22</v>
      </c>
      <c r="H1630" s="103" t="s">
        <v>3319</v>
      </c>
    </row>
    <row r="1631" spans="2:8" x14ac:dyDescent="0.25">
      <c r="B1631">
        <v>1629</v>
      </c>
      <c r="C1631" t="s">
        <v>3320</v>
      </c>
      <c r="D1631">
        <v>0</v>
      </c>
      <c r="E1631" t="s">
        <v>9</v>
      </c>
      <c r="F1631" s="121">
        <v>780</v>
      </c>
      <c r="G1631" s="123">
        <v>23</v>
      </c>
      <c r="H1631" s="103" t="s">
        <v>3321</v>
      </c>
    </row>
    <row r="1632" spans="2:8" x14ac:dyDescent="0.25">
      <c r="B1632">
        <v>1630</v>
      </c>
      <c r="C1632" t="s">
        <v>3322</v>
      </c>
      <c r="D1632">
        <v>0</v>
      </c>
      <c r="E1632" t="s">
        <v>9</v>
      </c>
      <c r="F1632" s="121">
        <v>4825</v>
      </c>
      <c r="G1632" s="123">
        <v>13</v>
      </c>
      <c r="H1632" s="103" t="s">
        <v>3323</v>
      </c>
    </row>
    <row r="1633" spans="2:8" x14ac:dyDescent="0.25">
      <c r="B1633">
        <v>1631</v>
      </c>
      <c r="C1633" t="s">
        <v>3324</v>
      </c>
      <c r="D1633">
        <v>0</v>
      </c>
      <c r="E1633" t="s">
        <v>9</v>
      </c>
      <c r="F1633" s="121">
        <v>780</v>
      </c>
      <c r="G1633" s="103">
        <v>1288</v>
      </c>
      <c r="H1633" s="103" t="s">
        <v>3325</v>
      </c>
    </row>
    <row r="1634" spans="2:8" x14ac:dyDescent="0.25">
      <c r="B1634">
        <v>1632</v>
      </c>
      <c r="C1634" t="s">
        <v>3326</v>
      </c>
      <c r="D1634">
        <v>0</v>
      </c>
      <c r="E1634" t="s">
        <v>9</v>
      </c>
      <c r="F1634" s="121">
        <v>780</v>
      </c>
      <c r="G1634" s="103">
        <v>1288</v>
      </c>
      <c r="H1634" s="103" t="s">
        <v>3327</v>
      </c>
    </row>
    <row r="1635" spans="2:8" x14ac:dyDescent="0.25">
      <c r="B1635">
        <v>1633</v>
      </c>
      <c r="C1635" t="s">
        <v>1181</v>
      </c>
      <c r="D1635">
        <v>0</v>
      </c>
      <c r="E1635" t="s">
        <v>9</v>
      </c>
      <c r="F1635" s="121">
        <v>780</v>
      </c>
      <c r="G1635" s="103">
        <v>1288</v>
      </c>
      <c r="H1635" s="103" t="s">
        <v>3328</v>
      </c>
    </row>
    <row r="1636" spans="2:8" x14ac:dyDescent="0.25">
      <c r="B1636">
        <v>1634</v>
      </c>
      <c r="C1636" t="s">
        <v>3329</v>
      </c>
      <c r="D1636">
        <v>0</v>
      </c>
      <c r="E1636" t="s">
        <v>21</v>
      </c>
      <c r="F1636" s="121" t="s">
        <v>44</v>
      </c>
      <c r="G1636" s="103" t="s">
        <v>22</v>
      </c>
      <c r="H1636" s="103" t="s">
        <v>3330</v>
      </c>
    </row>
    <row r="1637" spans="2:8" x14ac:dyDescent="0.25">
      <c r="B1637">
        <v>1635</v>
      </c>
      <c r="C1637" t="s">
        <v>3331</v>
      </c>
      <c r="D1637">
        <v>0</v>
      </c>
      <c r="E1637" t="s">
        <v>21</v>
      </c>
      <c r="F1637" s="121" t="s">
        <v>44</v>
      </c>
      <c r="G1637" s="103" t="s">
        <v>22</v>
      </c>
      <c r="H1637" s="103" t="s">
        <v>3332</v>
      </c>
    </row>
    <row r="1638" spans="2:8" x14ac:dyDescent="0.25">
      <c r="B1638">
        <v>1636</v>
      </c>
      <c r="C1638" t="s">
        <v>3333</v>
      </c>
      <c r="D1638" s="125" t="s">
        <v>3334</v>
      </c>
      <c r="E1638" t="s">
        <v>9</v>
      </c>
      <c r="F1638" s="121">
        <v>4825</v>
      </c>
      <c r="G1638" s="103">
        <v>1288</v>
      </c>
      <c r="H1638" s="103" t="s">
        <v>3335</v>
      </c>
    </row>
    <row r="1639" spans="2:8" x14ac:dyDescent="0.25">
      <c r="B1639">
        <v>1637</v>
      </c>
      <c r="C1639" t="s">
        <v>3336</v>
      </c>
      <c r="D1639">
        <v>0</v>
      </c>
      <c r="E1639" t="s">
        <v>21</v>
      </c>
      <c r="F1639" s="121" t="s">
        <v>3337</v>
      </c>
      <c r="G1639" s="103" t="s">
        <v>22</v>
      </c>
      <c r="H1639" s="103" t="s">
        <v>3338</v>
      </c>
    </row>
    <row r="1640" spans="2:8" x14ac:dyDescent="0.25">
      <c r="B1640">
        <v>1638</v>
      </c>
      <c r="C1640" t="s">
        <v>3339</v>
      </c>
      <c r="D1640">
        <v>0</v>
      </c>
      <c r="E1640" t="s">
        <v>21</v>
      </c>
      <c r="F1640" s="121" t="s">
        <v>44</v>
      </c>
      <c r="G1640" s="103" t="s">
        <v>22</v>
      </c>
      <c r="H1640" s="103" t="s">
        <v>3340</v>
      </c>
    </row>
    <row r="1641" spans="2:8" x14ac:dyDescent="0.25">
      <c r="B1641">
        <v>1639</v>
      </c>
      <c r="C1641" t="s">
        <v>3341</v>
      </c>
      <c r="D1641">
        <v>0</v>
      </c>
      <c r="E1641" t="s">
        <v>9</v>
      </c>
      <c r="F1641" s="121">
        <v>780</v>
      </c>
      <c r="G1641" s="123">
        <v>23</v>
      </c>
      <c r="H1641" s="103" t="s">
        <v>3342</v>
      </c>
    </row>
    <row r="1642" spans="2:8" x14ac:dyDescent="0.25">
      <c r="B1642">
        <v>1640</v>
      </c>
      <c r="C1642" t="s">
        <v>3343</v>
      </c>
      <c r="D1642">
        <v>0</v>
      </c>
      <c r="E1642" t="s">
        <v>9</v>
      </c>
      <c r="F1642" s="121">
        <v>4825</v>
      </c>
      <c r="G1642" s="103">
        <v>1288</v>
      </c>
      <c r="H1642" s="103" t="s">
        <v>3344</v>
      </c>
    </row>
    <row r="1643" spans="2:8" x14ac:dyDescent="0.25">
      <c r="B1643">
        <v>1641</v>
      </c>
      <c r="C1643" t="s">
        <v>3345</v>
      </c>
      <c r="D1643" t="s">
        <v>3346</v>
      </c>
      <c r="E1643" t="s">
        <v>9</v>
      </c>
      <c r="F1643" s="121">
        <v>4825</v>
      </c>
      <c r="G1643" s="103">
        <v>1288</v>
      </c>
      <c r="H1643" s="103" t="s">
        <v>3347</v>
      </c>
    </row>
    <row r="1644" spans="2:8" x14ac:dyDescent="0.25">
      <c r="B1644">
        <v>1642</v>
      </c>
      <c r="C1644" t="s">
        <v>2011</v>
      </c>
      <c r="D1644">
        <v>0</v>
      </c>
      <c r="E1644" t="s">
        <v>9</v>
      </c>
      <c r="F1644" s="121">
        <v>780</v>
      </c>
      <c r="G1644" s="123">
        <v>13</v>
      </c>
      <c r="H1644" s="103" t="s">
        <v>2012</v>
      </c>
    </row>
    <row r="1645" spans="2:8" x14ac:dyDescent="0.25">
      <c r="B1645">
        <v>1643</v>
      </c>
      <c r="C1645" t="s">
        <v>3348</v>
      </c>
      <c r="D1645">
        <v>0</v>
      </c>
      <c r="E1645" t="s">
        <v>9</v>
      </c>
      <c r="F1645" s="121">
        <v>4825</v>
      </c>
      <c r="G1645" s="103">
        <v>1288</v>
      </c>
      <c r="H1645" s="103" t="s">
        <v>3349</v>
      </c>
    </row>
    <row r="1646" spans="2:8" x14ac:dyDescent="0.25">
      <c r="B1646">
        <v>1644</v>
      </c>
      <c r="C1646" t="s">
        <v>3350</v>
      </c>
      <c r="D1646">
        <v>0</v>
      </c>
      <c r="E1646" t="s">
        <v>35</v>
      </c>
      <c r="F1646" s="121" t="s">
        <v>3351</v>
      </c>
      <c r="G1646" s="103" t="s">
        <v>22</v>
      </c>
      <c r="H1646" s="103" t="s">
        <v>3352</v>
      </c>
    </row>
    <row r="1647" spans="2:8" x14ac:dyDescent="0.25">
      <c r="B1647">
        <v>1645</v>
      </c>
      <c r="C1647" t="s">
        <v>3353</v>
      </c>
      <c r="D1647">
        <v>0</v>
      </c>
      <c r="E1647" t="s">
        <v>9</v>
      </c>
      <c r="F1647" s="121">
        <v>780</v>
      </c>
      <c r="G1647" s="123">
        <v>13</v>
      </c>
      <c r="H1647" s="103" t="s">
        <v>3354</v>
      </c>
    </row>
    <row r="1648" spans="2:8" x14ac:dyDescent="0.25">
      <c r="B1648">
        <v>1646</v>
      </c>
      <c r="C1648" t="s">
        <v>3355</v>
      </c>
      <c r="D1648">
        <v>0</v>
      </c>
      <c r="E1648" t="s">
        <v>21</v>
      </c>
      <c r="F1648" s="121">
        <v>3862</v>
      </c>
      <c r="G1648" s="103" t="s">
        <v>22</v>
      </c>
      <c r="H1648" s="103" t="s">
        <v>3356</v>
      </c>
    </row>
    <row r="1649" spans="2:8" x14ac:dyDescent="0.25">
      <c r="B1649">
        <v>1647</v>
      </c>
      <c r="C1649" t="s">
        <v>3357</v>
      </c>
      <c r="D1649" t="s">
        <v>3358</v>
      </c>
      <c r="E1649" t="s">
        <v>35</v>
      </c>
      <c r="F1649" s="121" t="s">
        <v>36</v>
      </c>
      <c r="G1649" s="103" t="s">
        <v>22</v>
      </c>
      <c r="H1649" s="103" t="s">
        <v>3359</v>
      </c>
    </row>
    <row r="1650" spans="2:8" x14ac:dyDescent="0.25">
      <c r="B1650">
        <v>1648</v>
      </c>
      <c r="C1650" t="s">
        <v>3360</v>
      </c>
      <c r="D1650">
        <v>0</v>
      </c>
      <c r="E1650" t="s">
        <v>35</v>
      </c>
      <c r="F1650" s="121" t="s">
        <v>36</v>
      </c>
      <c r="G1650" s="103" t="s">
        <v>22</v>
      </c>
      <c r="H1650" s="103" t="s">
        <v>3361</v>
      </c>
    </row>
    <row r="1651" spans="2:8" x14ac:dyDescent="0.25">
      <c r="B1651">
        <v>1649</v>
      </c>
      <c r="C1651" t="s">
        <v>3362</v>
      </c>
      <c r="D1651" t="s">
        <v>3363</v>
      </c>
      <c r="E1651" t="s">
        <v>9</v>
      </c>
      <c r="F1651" s="121">
        <v>949</v>
      </c>
      <c r="G1651" s="103">
        <v>1288</v>
      </c>
      <c r="H1651" s="103" t="s">
        <v>3364</v>
      </c>
    </row>
    <row r="1652" spans="2:8" x14ac:dyDescent="0.25">
      <c r="B1652">
        <v>1650</v>
      </c>
      <c r="C1652" t="s">
        <v>3365</v>
      </c>
      <c r="D1652">
        <v>0</v>
      </c>
      <c r="E1652" t="s">
        <v>21</v>
      </c>
      <c r="F1652" s="121" t="s">
        <v>72</v>
      </c>
      <c r="G1652" s="103" t="s">
        <v>37</v>
      </c>
      <c r="H1652" s="103" t="s">
        <v>3366</v>
      </c>
    </row>
    <row r="1653" spans="2:8" x14ac:dyDescent="0.25">
      <c r="B1653">
        <v>1651</v>
      </c>
      <c r="C1653" t="s">
        <v>3367</v>
      </c>
      <c r="D1653">
        <v>0</v>
      </c>
      <c r="E1653" t="s">
        <v>9</v>
      </c>
      <c r="F1653" s="121">
        <v>4818</v>
      </c>
      <c r="G1653" s="123">
        <v>13</v>
      </c>
      <c r="H1653" s="103" t="s">
        <v>3368</v>
      </c>
    </row>
    <row r="1654" spans="2:8" x14ac:dyDescent="0.25">
      <c r="B1654">
        <v>1652</v>
      </c>
      <c r="C1654" t="s">
        <v>3369</v>
      </c>
      <c r="D1654">
        <v>0</v>
      </c>
      <c r="E1654" t="s">
        <v>35</v>
      </c>
      <c r="F1654" s="121" t="s">
        <v>36</v>
      </c>
      <c r="G1654" s="103" t="s">
        <v>22</v>
      </c>
      <c r="H1654" s="103" t="s">
        <v>3370</v>
      </c>
    </row>
    <row r="1655" spans="2:8" x14ac:dyDescent="0.25">
      <c r="B1655">
        <v>1653</v>
      </c>
      <c r="C1655" t="s">
        <v>3371</v>
      </c>
      <c r="D1655" t="s">
        <v>3372</v>
      </c>
      <c r="E1655" t="s">
        <v>9</v>
      </c>
      <c r="F1655" s="121">
        <v>4818</v>
      </c>
      <c r="H1655" s="103" t="s">
        <v>3373</v>
      </c>
    </row>
    <row r="1656" spans="2:8" x14ac:dyDescent="0.25">
      <c r="B1656">
        <v>1654</v>
      </c>
      <c r="C1656" t="s">
        <v>3374</v>
      </c>
      <c r="D1656">
        <v>0</v>
      </c>
      <c r="E1656" t="s">
        <v>9</v>
      </c>
      <c r="F1656" s="121">
        <v>4825</v>
      </c>
      <c r="G1656" s="123">
        <v>13</v>
      </c>
      <c r="H1656" s="103" t="s">
        <v>3375</v>
      </c>
    </row>
    <row r="1657" spans="2:8" x14ac:dyDescent="0.25">
      <c r="B1657">
        <v>1655</v>
      </c>
      <c r="C1657" t="s">
        <v>3376</v>
      </c>
      <c r="D1657">
        <v>0</v>
      </c>
      <c r="E1657" t="s">
        <v>9</v>
      </c>
      <c r="F1657" s="121">
        <v>4825</v>
      </c>
      <c r="G1657" s="123">
        <v>13</v>
      </c>
      <c r="H1657" s="103" t="s">
        <v>3377</v>
      </c>
    </row>
    <row r="1658" spans="2:8" x14ac:dyDescent="0.25">
      <c r="B1658">
        <v>1656</v>
      </c>
      <c r="C1658" t="s">
        <v>3378</v>
      </c>
      <c r="D1658">
        <v>0</v>
      </c>
      <c r="E1658" t="s">
        <v>9</v>
      </c>
      <c r="F1658" s="121">
        <v>2734</v>
      </c>
      <c r="G1658" s="123">
        <v>13</v>
      </c>
      <c r="H1658" s="103" t="s">
        <v>2279</v>
      </c>
    </row>
    <row r="1659" spans="2:8" x14ac:dyDescent="0.25">
      <c r="B1659">
        <v>1657</v>
      </c>
      <c r="C1659" t="s">
        <v>3379</v>
      </c>
      <c r="D1659">
        <v>0</v>
      </c>
      <c r="E1659" t="s">
        <v>35</v>
      </c>
      <c r="F1659" s="121" t="s">
        <v>3380</v>
      </c>
      <c r="G1659" s="103" t="s">
        <v>37</v>
      </c>
      <c r="H1659" s="103" t="s">
        <v>3381</v>
      </c>
    </row>
    <row r="1660" spans="2:8" x14ac:dyDescent="0.25">
      <c r="B1660">
        <v>1658</v>
      </c>
      <c r="C1660" t="s">
        <v>3382</v>
      </c>
      <c r="D1660">
        <v>0</v>
      </c>
      <c r="E1660" t="s">
        <v>9</v>
      </c>
      <c r="F1660" s="121">
        <v>4818</v>
      </c>
      <c r="G1660" s="123">
        <v>13</v>
      </c>
      <c r="H1660" s="103" t="s">
        <v>3383</v>
      </c>
    </row>
    <row r="1661" spans="2:8" x14ac:dyDescent="0.25">
      <c r="B1661">
        <v>1659</v>
      </c>
      <c r="C1661" t="s">
        <v>3384</v>
      </c>
      <c r="D1661">
        <v>0</v>
      </c>
      <c r="E1661" t="s">
        <v>9</v>
      </c>
      <c r="F1661" s="121">
        <v>4825</v>
      </c>
      <c r="G1661" s="123">
        <v>13</v>
      </c>
      <c r="H1661" s="103" t="s">
        <v>3385</v>
      </c>
    </row>
    <row r="1662" spans="2:8" x14ac:dyDescent="0.25">
      <c r="B1662">
        <v>1660</v>
      </c>
      <c r="C1662" t="s">
        <v>3386</v>
      </c>
      <c r="D1662">
        <v>0</v>
      </c>
      <c r="E1662" t="s">
        <v>35</v>
      </c>
      <c r="F1662" s="121" t="s">
        <v>36</v>
      </c>
      <c r="G1662" s="103" t="s">
        <v>22</v>
      </c>
      <c r="H1662" s="103" t="s">
        <v>3387</v>
      </c>
    </row>
    <row r="1663" spans="2:8" x14ac:dyDescent="0.25">
      <c r="B1663">
        <v>1661</v>
      </c>
      <c r="C1663" t="s">
        <v>1039</v>
      </c>
      <c r="D1663" t="s">
        <v>3388</v>
      </c>
      <c r="E1663" t="s">
        <v>21</v>
      </c>
      <c r="F1663" s="121" t="s">
        <v>44</v>
      </c>
      <c r="G1663" s="103" t="s">
        <v>22</v>
      </c>
      <c r="H1663" s="103" t="s">
        <v>2463</v>
      </c>
    </row>
    <row r="1664" spans="2:8" x14ac:dyDescent="0.25">
      <c r="B1664">
        <v>1662</v>
      </c>
      <c r="C1664" t="s">
        <v>3389</v>
      </c>
      <c r="D1664">
        <v>0</v>
      </c>
      <c r="E1664" t="s">
        <v>9</v>
      </c>
      <c r="F1664" s="121">
        <v>1735</v>
      </c>
      <c r="G1664" s="123">
        <v>13</v>
      </c>
      <c r="H1664" s="103" t="s">
        <v>3390</v>
      </c>
    </row>
    <row r="1665" spans="2:8" x14ac:dyDescent="0.25">
      <c r="B1665">
        <v>1663</v>
      </c>
      <c r="C1665" t="s">
        <v>3391</v>
      </c>
      <c r="D1665">
        <v>0</v>
      </c>
      <c r="E1665" t="s">
        <v>35</v>
      </c>
      <c r="F1665" s="121" t="s">
        <v>36</v>
      </c>
      <c r="G1665" s="103" t="s">
        <v>37</v>
      </c>
      <c r="H1665" s="103" t="s">
        <v>3392</v>
      </c>
    </row>
    <row r="1666" spans="2:8" x14ac:dyDescent="0.25">
      <c r="B1666">
        <v>1664</v>
      </c>
      <c r="C1666" t="s">
        <v>3393</v>
      </c>
      <c r="D1666">
        <v>0</v>
      </c>
      <c r="E1666" t="s">
        <v>9</v>
      </c>
      <c r="F1666" s="121">
        <v>4818</v>
      </c>
      <c r="G1666" s="123"/>
      <c r="H1666" s="103" t="s">
        <v>3394</v>
      </c>
    </row>
    <row r="1667" spans="2:8" x14ac:dyDescent="0.25">
      <c r="B1667">
        <v>1665</v>
      </c>
      <c r="C1667" t="s">
        <v>3395</v>
      </c>
      <c r="D1667">
        <v>0</v>
      </c>
      <c r="E1667" t="s">
        <v>21</v>
      </c>
      <c r="F1667" s="121" t="s">
        <v>264</v>
      </c>
      <c r="G1667" s="103" t="s">
        <v>22</v>
      </c>
      <c r="H1667" s="103" t="s">
        <v>3396</v>
      </c>
    </row>
    <row r="1668" spans="2:8" x14ac:dyDescent="0.25">
      <c r="B1668">
        <v>1666</v>
      </c>
      <c r="C1668" t="s">
        <v>1658</v>
      </c>
      <c r="D1668">
        <v>0</v>
      </c>
      <c r="E1668" t="s">
        <v>35</v>
      </c>
      <c r="F1668" s="121" t="s">
        <v>36</v>
      </c>
      <c r="G1668" s="103" t="s">
        <v>37</v>
      </c>
      <c r="H1668" s="103" t="s">
        <v>1660</v>
      </c>
    </row>
    <row r="1669" spans="2:8" x14ac:dyDescent="0.25">
      <c r="B1669">
        <v>1667</v>
      </c>
      <c r="C1669" t="s">
        <v>835</v>
      </c>
      <c r="D1669" t="s">
        <v>5304</v>
      </c>
      <c r="E1669" t="s">
        <v>9</v>
      </c>
      <c r="F1669" s="121">
        <v>3233</v>
      </c>
      <c r="G1669" s="123">
        <v>23</v>
      </c>
      <c r="H1669" s="103" t="s">
        <v>836</v>
      </c>
    </row>
    <row r="1670" spans="2:8" x14ac:dyDescent="0.25">
      <c r="B1670">
        <v>1668</v>
      </c>
      <c r="C1670" t="s">
        <v>3397</v>
      </c>
      <c r="D1670" t="s">
        <v>3398</v>
      </c>
      <c r="E1670" t="s">
        <v>9</v>
      </c>
      <c r="F1670" s="121">
        <v>3255</v>
      </c>
      <c r="G1670" s="123">
        <v>13</v>
      </c>
      <c r="H1670" s="103" t="s">
        <v>3399</v>
      </c>
    </row>
    <row r="1671" spans="2:8" x14ac:dyDescent="0.25">
      <c r="B1671">
        <v>1669</v>
      </c>
      <c r="C1671" t="s">
        <v>3400</v>
      </c>
      <c r="D1671">
        <v>0</v>
      </c>
      <c r="E1671" t="s">
        <v>9</v>
      </c>
      <c r="F1671" s="121">
        <v>3183</v>
      </c>
      <c r="G1671" s="123">
        <v>23</v>
      </c>
      <c r="H1671" s="103" t="s">
        <v>3401</v>
      </c>
    </row>
    <row r="1672" spans="2:8" x14ac:dyDescent="0.25">
      <c r="B1672">
        <v>1670</v>
      </c>
      <c r="C1672" t="s">
        <v>3402</v>
      </c>
      <c r="D1672">
        <v>0</v>
      </c>
      <c r="E1672" t="s">
        <v>9</v>
      </c>
      <c r="F1672" s="121">
        <v>949</v>
      </c>
      <c r="G1672" s="123">
        <v>23</v>
      </c>
      <c r="H1672" s="103" t="s">
        <v>3403</v>
      </c>
    </row>
    <row r="1673" spans="2:8" x14ac:dyDescent="0.25">
      <c r="B1673">
        <v>1671</v>
      </c>
      <c r="C1673" t="s">
        <v>2965</v>
      </c>
      <c r="D1673" t="s">
        <v>4978</v>
      </c>
      <c r="E1673" t="s">
        <v>35</v>
      </c>
      <c r="F1673" s="121" t="s">
        <v>36</v>
      </c>
      <c r="G1673" s="103" t="s">
        <v>37</v>
      </c>
      <c r="H1673" s="103" t="s">
        <v>2966</v>
      </c>
    </row>
    <row r="1674" spans="2:8" x14ac:dyDescent="0.25">
      <c r="B1674">
        <v>1672</v>
      </c>
      <c r="C1674" t="s">
        <v>3404</v>
      </c>
      <c r="D1674">
        <v>0</v>
      </c>
      <c r="E1674" t="s">
        <v>9</v>
      </c>
      <c r="F1674" s="121">
        <v>949</v>
      </c>
      <c r="G1674" s="103">
        <v>1288</v>
      </c>
      <c r="H1674" s="103" t="s">
        <v>3405</v>
      </c>
    </row>
    <row r="1675" spans="2:8" x14ac:dyDescent="0.25">
      <c r="B1675">
        <v>1673</v>
      </c>
      <c r="C1675" t="s">
        <v>3406</v>
      </c>
      <c r="D1675" t="s">
        <v>3407</v>
      </c>
      <c r="E1675" t="s">
        <v>9</v>
      </c>
      <c r="F1675" s="121">
        <v>4818</v>
      </c>
      <c r="G1675" s="123">
        <v>13</v>
      </c>
      <c r="H1675" s="103" t="s">
        <v>3408</v>
      </c>
    </row>
    <row r="1676" spans="2:8" x14ac:dyDescent="0.25">
      <c r="B1676">
        <v>1674</v>
      </c>
      <c r="C1676" t="s">
        <v>3409</v>
      </c>
      <c r="D1676">
        <v>0</v>
      </c>
      <c r="E1676" t="s">
        <v>21</v>
      </c>
      <c r="F1676" s="121" t="s">
        <v>264</v>
      </c>
      <c r="G1676" s="103" t="s">
        <v>37</v>
      </c>
      <c r="H1676" s="103" t="s">
        <v>3410</v>
      </c>
    </row>
    <row r="1677" spans="2:8" x14ac:dyDescent="0.25">
      <c r="B1677">
        <v>1675</v>
      </c>
      <c r="C1677" t="s">
        <v>3411</v>
      </c>
      <c r="D1677">
        <v>0</v>
      </c>
      <c r="E1677" t="s">
        <v>21</v>
      </c>
      <c r="F1677" s="121" t="s">
        <v>72</v>
      </c>
      <c r="G1677" s="103" t="s">
        <v>37</v>
      </c>
      <c r="H1677" s="103" t="s">
        <v>3412</v>
      </c>
    </row>
    <row r="1678" spans="2:8" x14ac:dyDescent="0.25">
      <c r="B1678">
        <v>1676</v>
      </c>
      <c r="C1678" t="s">
        <v>3413</v>
      </c>
      <c r="D1678">
        <v>0</v>
      </c>
      <c r="E1678" t="s">
        <v>9</v>
      </c>
      <c r="F1678" s="121">
        <v>4818</v>
      </c>
      <c r="G1678" s="123">
        <v>13</v>
      </c>
      <c r="H1678" s="103" t="s">
        <v>3414</v>
      </c>
    </row>
    <row r="1679" spans="2:8" x14ac:dyDescent="0.25">
      <c r="B1679">
        <v>1677</v>
      </c>
      <c r="C1679" t="s">
        <v>3415</v>
      </c>
      <c r="D1679">
        <v>0</v>
      </c>
      <c r="E1679" t="s">
        <v>9</v>
      </c>
      <c r="F1679" s="121">
        <v>949</v>
      </c>
      <c r="G1679" s="123">
        <v>23</v>
      </c>
      <c r="H1679" s="103" t="s">
        <v>3416</v>
      </c>
    </row>
    <row r="1680" spans="2:8" x14ac:dyDescent="0.25">
      <c r="B1680">
        <v>1678</v>
      </c>
      <c r="C1680" t="s">
        <v>3417</v>
      </c>
      <c r="D1680">
        <v>0</v>
      </c>
      <c r="E1680" t="s">
        <v>9</v>
      </c>
      <c r="F1680" s="121">
        <v>4601</v>
      </c>
      <c r="G1680" s="123">
        <v>13</v>
      </c>
      <c r="H1680" s="103" t="s">
        <v>3418</v>
      </c>
    </row>
    <row r="1681" spans="2:8" x14ac:dyDescent="0.25">
      <c r="B1681">
        <v>1679</v>
      </c>
      <c r="C1681" t="s">
        <v>3419</v>
      </c>
      <c r="D1681" t="s">
        <v>3420</v>
      </c>
      <c r="E1681" t="s">
        <v>9</v>
      </c>
      <c r="F1681" s="121">
        <v>4825</v>
      </c>
      <c r="G1681" s="123">
        <v>13</v>
      </c>
      <c r="H1681" s="103" t="s">
        <v>3421</v>
      </c>
    </row>
    <row r="1682" spans="2:8" x14ac:dyDescent="0.25">
      <c r="B1682">
        <v>1680</v>
      </c>
      <c r="C1682" t="s">
        <v>3422</v>
      </c>
      <c r="D1682">
        <v>0</v>
      </c>
      <c r="E1682" t="s">
        <v>21</v>
      </c>
      <c r="F1682" s="121" t="s">
        <v>72</v>
      </c>
      <c r="G1682" s="103" t="s">
        <v>37</v>
      </c>
      <c r="H1682" s="103" t="s">
        <v>3423</v>
      </c>
    </row>
    <row r="1683" spans="2:8" x14ac:dyDescent="0.25">
      <c r="B1683">
        <v>1681</v>
      </c>
      <c r="C1683" t="s">
        <v>3424</v>
      </c>
      <c r="D1683">
        <v>0</v>
      </c>
      <c r="E1683" t="s">
        <v>21</v>
      </c>
      <c r="F1683" s="121" t="s">
        <v>3425</v>
      </c>
      <c r="G1683" s="103" t="s">
        <v>37</v>
      </c>
      <c r="H1683" s="103" t="s">
        <v>3426</v>
      </c>
    </row>
    <row r="1684" spans="2:8" x14ac:dyDescent="0.25">
      <c r="B1684">
        <v>1682</v>
      </c>
      <c r="C1684" t="s">
        <v>3427</v>
      </c>
      <c r="D1684">
        <v>0</v>
      </c>
      <c r="E1684" t="s">
        <v>9</v>
      </c>
      <c r="F1684" s="121">
        <v>4818</v>
      </c>
      <c r="G1684" s="103">
        <v>1288</v>
      </c>
      <c r="H1684" s="103" t="s">
        <v>3428</v>
      </c>
    </row>
    <row r="1685" spans="2:8" x14ac:dyDescent="0.25">
      <c r="B1685">
        <v>1683</v>
      </c>
      <c r="C1685" t="s">
        <v>3429</v>
      </c>
      <c r="D1685">
        <v>0</v>
      </c>
      <c r="E1685" t="s">
        <v>9</v>
      </c>
      <c r="F1685" s="121">
        <v>4818</v>
      </c>
      <c r="G1685" s="103">
        <v>1288</v>
      </c>
      <c r="H1685" s="103" t="s">
        <v>3430</v>
      </c>
    </row>
    <row r="1686" spans="2:8" x14ac:dyDescent="0.25">
      <c r="B1686">
        <v>1684</v>
      </c>
      <c r="C1686" t="s">
        <v>3431</v>
      </c>
      <c r="D1686">
        <v>0</v>
      </c>
      <c r="E1686" t="s">
        <v>9</v>
      </c>
      <c r="F1686" s="121">
        <v>4825</v>
      </c>
      <c r="G1686" s="123">
        <v>13</v>
      </c>
      <c r="H1686" s="103" t="s">
        <v>3432</v>
      </c>
    </row>
    <row r="1687" spans="2:8" x14ac:dyDescent="0.25">
      <c r="B1687">
        <v>1685</v>
      </c>
      <c r="C1687" t="s">
        <v>5006</v>
      </c>
      <c r="D1687" t="s">
        <v>5032</v>
      </c>
      <c r="E1687" t="s">
        <v>9</v>
      </c>
      <c r="F1687" s="121">
        <v>4476</v>
      </c>
      <c r="G1687" s="123"/>
      <c r="H1687" s="103" t="s">
        <v>5005</v>
      </c>
    </row>
    <row r="1688" spans="2:8" x14ac:dyDescent="0.25">
      <c r="B1688">
        <v>1686</v>
      </c>
      <c r="C1688" t="s">
        <v>3433</v>
      </c>
      <c r="D1688">
        <v>0</v>
      </c>
      <c r="E1688" t="s">
        <v>9</v>
      </c>
      <c r="F1688" s="121">
        <v>949</v>
      </c>
      <c r="G1688" s="123">
        <v>13</v>
      </c>
      <c r="H1688" s="103" t="s">
        <v>3434</v>
      </c>
    </row>
    <row r="1689" spans="2:8" x14ac:dyDescent="0.25">
      <c r="B1689">
        <v>1687</v>
      </c>
      <c r="C1689" t="s">
        <v>3435</v>
      </c>
      <c r="D1689">
        <v>0</v>
      </c>
      <c r="E1689" t="s">
        <v>9</v>
      </c>
      <c r="F1689" s="121">
        <v>949</v>
      </c>
      <c r="G1689" s="123">
        <v>13</v>
      </c>
      <c r="H1689" s="103" t="s">
        <v>3436</v>
      </c>
    </row>
    <row r="1690" spans="2:8" x14ac:dyDescent="0.25">
      <c r="B1690">
        <v>1688</v>
      </c>
      <c r="C1690" t="s">
        <v>3437</v>
      </c>
      <c r="D1690">
        <v>0</v>
      </c>
      <c r="E1690" t="s">
        <v>21</v>
      </c>
      <c r="F1690" s="121" t="s">
        <v>431</v>
      </c>
      <c r="G1690" s="103" t="s">
        <v>37</v>
      </c>
      <c r="H1690" s="103" t="s">
        <v>3438</v>
      </c>
    </row>
    <row r="1691" spans="2:8" x14ac:dyDescent="0.25">
      <c r="B1691">
        <v>1689</v>
      </c>
      <c r="C1691" t="s">
        <v>3439</v>
      </c>
      <c r="D1691" t="s">
        <v>3440</v>
      </c>
      <c r="E1691" t="s">
        <v>9</v>
      </c>
      <c r="F1691" s="121">
        <v>949</v>
      </c>
      <c r="G1691" s="123">
        <v>13</v>
      </c>
      <c r="H1691" s="103" t="s">
        <v>3441</v>
      </c>
    </row>
    <row r="1692" spans="2:8" x14ac:dyDescent="0.25">
      <c r="B1692">
        <v>1690</v>
      </c>
      <c r="C1692" t="s">
        <v>3442</v>
      </c>
      <c r="D1692">
        <v>0</v>
      </c>
      <c r="E1692" t="s">
        <v>9</v>
      </c>
      <c r="F1692" s="121">
        <v>949</v>
      </c>
      <c r="G1692" s="123">
        <v>23</v>
      </c>
      <c r="H1692" s="103" t="s">
        <v>3443</v>
      </c>
    </row>
    <row r="1693" spans="2:8" x14ac:dyDescent="0.25">
      <c r="B1693">
        <v>1691</v>
      </c>
      <c r="C1693" t="s">
        <v>3444</v>
      </c>
      <c r="D1693">
        <v>0</v>
      </c>
      <c r="E1693" t="s">
        <v>9</v>
      </c>
      <c r="F1693" s="121">
        <v>4818</v>
      </c>
      <c r="G1693" s="123">
        <v>13</v>
      </c>
      <c r="H1693" s="103" t="s">
        <v>3445</v>
      </c>
    </row>
    <row r="1694" spans="2:8" x14ac:dyDescent="0.25">
      <c r="B1694">
        <v>1692</v>
      </c>
      <c r="C1694" t="s">
        <v>3446</v>
      </c>
      <c r="D1694" t="s">
        <v>3447</v>
      </c>
      <c r="E1694" t="s">
        <v>9</v>
      </c>
      <c r="F1694" s="121">
        <v>4694</v>
      </c>
      <c r="G1694" s="103">
        <v>1288</v>
      </c>
      <c r="H1694" s="103" t="s">
        <v>3448</v>
      </c>
    </row>
    <row r="1695" spans="2:8" x14ac:dyDescent="0.25">
      <c r="B1695">
        <v>1693</v>
      </c>
      <c r="C1695" t="s">
        <v>3449</v>
      </c>
      <c r="D1695">
        <v>0</v>
      </c>
      <c r="E1695" t="s">
        <v>9</v>
      </c>
      <c r="F1695" s="121">
        <v>4601</v>
      </c>
      <c r="G1695" s="103">
        <v>1288</v>
      </c>
      <c r="H1695" s="103" t="s">
        <v>3450</v>
      </c>
    </row>
    <row r="1696" spans="2:8" x14ac:dyDescent="0.25">
      <c r="B1696">
        <v>1694</v>
      </c>
      <c r="C1696" t="s">
        <v>3451</v>
      </c>
      <c r="D1696">
        <v>0</v>
      </c>
      <c r="E1696" t="s">
        <v>9</v>
      </c>
      <c r="F1696" s="121">
        <v>4601</v>
      </c>
      <c r="G1696" s="123">
        <v>13</v>
      </c>
      <c r="H1696" s="103" t="s">
        <v>3452</v>
      </c>
    </row>
    <row r="1697" spans="2:8" x14ac:dyDescent="0.25">
      <c r="B1697">
        <v>1695</v>
      </c>
      <c r="C1697" t="s">
        <v>3453</v>
      </c>
      <c r="D1697">
        <v>0</v>
      </c>
      <c r="E1697" t="s">
        <v>9</v>
      </c>
      <c r="F1697" s="121">
        <v>780</v>
      </c>
      <c r="G1697" s="103">
        <v>1288</v>
      </c>
      <c r="H1697" s="103" t="s">
        <v>3454</v>
      </c>
    </row>
    <row r="1698" spans="2:8" x14ac:dyDescent="0.25">
      <c r="B1698">
        <v>1696</v>
      </c>
      <c r="C1698" t="s">
        <v>3455</v>
      </c>
      <c r="D1698">
        <v>0</v>
      </c>
      <c r="E1698" t="s">
        <v>9</v>
      </c>
      <c r="F1698" s="121">
        <v>4601</v>
      </c>
      <c r="G1698" s="103">
        <v>1288</v>
      </c>
      <c r="H1698" s="103" t="s">
        <v>3456</v>
      </c>
    </row>
    <row r="1699" spans="2:8" x14ac:dyDescent="0.25">
      <c r="B1699">
        <v>1697</v>
      </c>
      <c r="C1699" t="s">
        <v>3457</v>
      </c>
      <c r="D1699">
        <v>0</v>
      </c>
      <c r="E1699" t="s">
        <v>9</v>
      </c>
      <c r="F1699" s="121">
        <v>4601</v>
      </c>
      <c r="G1699" s="103">
        <v>1288</v>
      </c>
      <c r="H1699" s="103" t="s">
        <v>3458</v>
      </c>
    </row>
    <row r="1700" spans="2:8" x14ac:dyDescent="0.25">
      <c r="B1700">
        <v>1698</v>
      </c>
      <c r="C1700" t="s">
        <v>3459</v>
      </c>
      <c r="D1700">
        <v>0</v>
      </c>
      <c r="E1700" t="s">
        <v>9</v>
      </c>
      <c r="F1700" s="121">
        <v>780</v>
      </c>
      <c r="G1700" s="123">
        <v>23</v>
      </c>
      <c r="H1700" s="103" t="s">
        <v>3460</v>
      </c>
    </row>
    <row r="1701" spans="2:8" x14ac:dyDescent="0.25">
      <c r="B1701">
        <v>1699</v>
      </c>
      <c r="C1701" t="s">
        <v>3461</v>
      </c>
      <c r="D1701">
        <v>0</v>
      </c>
      <c r="E1701" t="s">
        <v>21</v>
      </c>
      <c r="F1701" s="121">
        <v>3655</v>
      </c>
      <c r="G1701" s="103" t="s">
        <v>37</v>
      </c>
      <c r="H1701" s="103" t="s">
        <v>3462</v>
      </c>
    </row>
    <row r="1702" spans="2:8" x14ac:dyDescent="0.25">
      <c r="B1702">
        <v>1700</v>
      </c>
      <c r="C1702" t="s">
        <v>3463</v>
      </c>
      <c r="D1702" t="s">
        <v>5031</v>
      </c>
      <c r="E1702" t="s">
        <v>9</v>
      </c>
      <c r="F1702" s="121">
        <v>1009</v>
      </c>
      <c r="G1702" s="123"/>
      <c r="H1702" s="103" t="s">
        <v>5030</v>
      </c>
    </row>
    <row r="1703" spans="2:8" x14ac:dyDescent="0.25">
      <c r="B1703">
        <v>1701</v>
      </c>
      <c r="C1703" t="s">
        <v>3464</v>
      </c>
      <c r="D1703" t="s">
        <v>5094</v>
      </c>
      <c r="E1703" t="s">
        <v>21</v>
      </c>
      <c r="F1703" s="121" t="s">
        <v>431</v>
      </c>
      <c r="H1703" s="103" t="s">
        <v>3465</v>
      </c>
    </row>
    <row r="1704" spans="2:8" x14ac:dyDescent="0.25">
      <c r="B1704">
        <v>1702</v>
      </c>
      <c r="C1704" t="s">
        <v>3466</v>
      </c>
      <c r="D1704">
        <v>0</v>
      </c>
      <c r="E1704" t="s">
        <v>9</v>
      </c>
      <c r="F1704" s="121">
        <v>4825</v>
      </c>
      <c r="G1704" s="123">
        <v>13</v>
      </c>
      <c r="H1704" s="103" t="s">
        <v>3467</v>
      </c>
    </row>
    <row r="1705" spans="2:8" x14ac:dyDescent="0.25">
      <c r="B1705">
        <v>1703</v>
      </c>
      <c r="C1705" t="s">
        <v>3468</v>
      </c>
      <c r="D1705" t="s">
        <v>5210</v>
      </c>
      <c r="E1705" t="s">
        <v>9</v>
      </c>
      <c r="F1705" s="121">
        <v>4825</v>
      </c>
      <c r="G1705" s="123">
        <v>13</v>
      </c>
      <c r="H1705" s="103" t="s">
        <v>2148</v>
      </c>
    </row>
    <row r="1706" spans="2:8" x14ac:dyDescent="0.25">
      <c r="B1706">
        <v>1704</v>
      </c>
      <c r="C1706" t="s">
        <v>3469</v>
      </c>
      <c r="D1706" t="s">
        <v>5067</v>
      </c>
      <c r="E1706" t="s">
        <v>9</v>
      </c>
      <c r="F1706" s="121">
        <v>4825</v>
      </c>
      <c r="G1706" s="123"/>
      <c r="H1706" s="103" t="s">
        <v>5009</v>
      </c>
    </row>
    <row r="1707" spans="2:8" x14ac:dyDescent="0.25">
      <c r="B1707">
        <v>1705</v>
      </c>
      <c r="C1707" t="s">
        <v>3470</v>
      </c>
      <c r="D1707">
        <v>0</v>
      </c>
      <c r="E1707" t="s">
        <v>9</v>
      </c>
      <c r="F1707" s="121">
        <v>949</v>
      </c>
      <c r="G1707" s="123">
        <v>13</v>
      </c>
      <c r="H1707" s="103" t="s">
        <v>3471</v>
      </c>
    </row>
    <row r="1708" spans="2:8" x14ac:dyDescent="0.25">
      <c r="B1708">
        <v>1706</v>
      </c>
      <c r="C1708" t="s">
        <v>3472</v>
      </c>
      <c r="D1708">
        <v>0</v>
      </c>
      <c r="E1708" t="s">
        <v>9</v>
      </c>
      <c r="F1708" s="121">
        <v>783</v>
      </c>
      <c r="G1708" s="123">
        <v>13</v>
      </c>
      <c r="H1708" s="103" t="s">
        <v>3473</v>
      </c>
    </row>
    <row r="1709" spans="2:8" x14ac:dyDescent="0.25">
      <c r="B1709">
        <v>1707</v>
      </c>
      <c r="C1709" t="s">
        <v>1813</v>
      </c>
      <c r="D1709">
        <v>0</v>
      </c>
      <c r="E1709" t="s">
        <v>9</v>
      </c>
      <c r="F1709" s="121">
        <v>4818</v>
      </c>
      <c r="G1709" s="103">
        <v>1288</v>
      </c>
      <c r="H1709" s="103" t="s">
        <v>3474</v>
      </c>
    </row>
    <row r="1710" spans="2:8" x14ac:dyDescent="0.25">
      <c r="B1710">
        <v>1708</v>
      </c>
      <c r="C1710" t="s">
        <v>3475</v>
      </c>
      <c r="D1710">
        <v>0</v>
      </c>
      <c r="E1710" t="s">
        <v>35</v>
      </c>
      <c r="F1710" s="121" t="s">
        <v>36</v>
      </c>
      <c r="G1710" s="103" t="s">
        <v>37</v>
      </c>
      <c r="H1710" s="103" t="s">
        <v>3476</v>
      </c>
    </row>
    <row r="1711" spans="2:8" x14ac:dyDescent="0.25">
      <c r="B1711">
        <v>1709</v>
      </c>
      <c r="C1711" t="s">
        <v>3477</v>
      </c>
      <c r="D1711">
        <v>0</v>
      </c>
      <c r="E1711" t="s">
        <v>35</v>
      </c>
      <c r="F1711" s="121" t="s">
        <v>36</v>
      </c>
      <c r="G1711" s="103" t="s">
        <v>37</v>
      </c>
      <c r="H1711" s="103" t="s">
        <v>3478</v>
      </c>
    </row>
    <row r="1712" spans="2:8" x14ac:dyDescent="0.25">
      <c r="B1712">
        <v>1710</v>
      </c>
      <c r="C1712" t="s">
        <v>3479</v>
      </c>
      <c r="D1712">
        <v>0</v>
      </c>
      <c r="E1712" t="s">
        <v>35</v>
      </c>
      <c r="F1712" s="121" t="s">
        <v>36</v>
      </c>
      <c r="G1712" s="103" t="s">
        <v>22</v>
      </c>
      <c r="H1712" s="103" t="s">
        <v>1121</v>
      </c>
    </row>
    <row r="1713" spans="2:8" x14ac:dyDescent="0.25">
      <c r="B1713">
        <v>1711</v>
      </c>
      <c r="C1713" t="s">
        <v>3480</v>
      </c>
      <c r="D1713">
        <v>0</v>
      </c>
      <c r="E1713" t="s">
        <v>9</v>
      </c>
      <c r="F1713" s="121">
        <v>4818</v>
      </c>
      <c r="G1713" s="123">
        <v>13</v>
      </c>
      <c r="H1713" s="103" t="s">
        <v>3481</v>
      </c>
    </row>
    <row r="1714" spans="2:8" x14ac:dyDescent="0.25">
      <c r="B1714">
        <v>1712</v>
      </c>
      <c r="C1714" t="s">
        <v>3482</v>
      </c>
      <c r="D1714" t="s">
        <v>3483</v>
      </c>
      <c r="E1714" t="s">
        <v>9</v>
      </c>
      <c r="F1714" s="121">
        <v>4818</v>
      </c>
      <c r="G1714" s="123">
        <v>13</v>
      </c>
      <c r="H1714" s="103" t="s">
        <v>3484</v>
      </c>
    </row>
    <row r="1715" spans="2:8" x14ac:dyDescent="0.25">
      <c r="B1715">
        <v>1713</v>
      </c>
      <c r="C1715" t="s">
        <v>3485</v>
      </c>
      <c r="D1715">
        <v>0</v>
      </c>
      <c r="E1715" t="s">
        <v>9</v>
      </c>
      <c r="F1715" s="121">
        <v>949</v>
      </c>
      <c r="G1715" s="103">
        <v>1288</v>
      </c>
      <c r="H1715" s="103" t="s">
        <v>3486</v>
      </c>
    </row>
    <row r="1716" spans="2:8" x14ac:dyDescent="0.25">
      <c r="B1716">
        <v>1714</v>
      </c>
      <c r="C1716" t="s">
        <v>3487</v>
      </c>
      <c r="D1716">
        <v>0</v>
      </c>
      <c r="E1716" t="s">
        <v>35</v>
      </c>
      <c r="F1716" s="121" t="s">
        <v>36</v>
      </c>
      <c r="G1716" s="103" t="s">
        <v>37</v>
      </c>
      <c r="H1716" s="103" t="s">
        <v>3488</v>
      </c>
    </row>
    <row r="1717" spans="2:8" x14ac:dyDescent="0.25">
      <c r="B1717">
        <v>1715</v>
      </c>
      <c r="C1717" t="s">
        <v>3489</v>
      </c>
      <c r="D1717" t="s">
        <v>3490</v>
      </c>
      <c r="E1717" t="s">
        <v>9</v>
      </c>
      <c r="F1717" s="121">
        <v>4818</v>
      </c>
      <c r="G1717" s="103">
        <v>1288</v>
      </c>
      <c r="H1717" s="103" t="s">
        <v>3491</v>
      </c>
    </row>
    <row r="1718" spans="2:8" x14ac:dyDescent="0.25">
      <c r="B1718">
        <v>1716</v>
      </c>
      <c r="C1718" t="s">
        <v>3492</v>
      </c>
      <c r="D1718">
        <v>0</v>
      </c>
      <c r="E1718" t="s">
        <v>9</v>
      </c>
      <c r="F1718" s="121">
        <v>4818</v>
      </c>
      <c r="G1718" s="123">
        <v>13</v>
      </c>
      <c r="H1718" s="103" t="s">
        <v>3493</v>
      </c>
    </row>
    <row r="1719" spans="2:8" x14ac:dyDescent="0.25">
      <c r="B1719">
        <v>1717</v>
      </c>
      <c r="C1719" t="s">
        <v>3494</v>
      </c>
      <c r="D1719">
        <v>0</v>
      </c>
      <c r="E1719" t="s">
        <v>35</v>
      </c>
      <c r="F1719" s="121" t="s">
        <v>36</v>
      </c>
      <c r="G1719" s="103" t="s">
        <v>37</v>
      </c>
      <c r="H1719" s="103" t="s">
        <v>3495</v>
      </c>
    </row>
    <row r="1720" spans="2:8" x14ac:dyDescent="0.25">
      <c r="B1720">
        <v>1718</v>
      </c>
      <c r="C1720" t="s">
        <v>3496</v>
      </c>
      <c r="D1720">
        <v>0</v>
      </c>
      <c r="E1720" t="s">
        <v>9</v>
      </c>
      <c r="F1720" s="121">
        <v>4818</v>
      </c>
      <c r="G1720" s="103">
        <v>1288</v>
      </c>
      <c r="H1720" s="103" t="s">
        <v>3497</v>
      </c>
    </row>
    <row r="1721" spans="2:8" x14ac:dyDescent="0.25">
      <c r="B1721">
        <v>1719</v>
      </c>
      <c r="C1721" t="s">
        <v>3498</v>
      </c>
      <c r="D1721">
        <v>0</v>
      </c>
      <c r="E1721" t="s">
        <v>9</v>
      </c>
      <c r="F1721" s="121">
        <v>4818</v>
      </c>
      <c r="G1721" s="123">
        <v>13</v>
      </c>
      <c r="H1721" s="103" t="s">
        <v>3499</v>
      </c>
    </row>
    <row r="1722" spans="2:8" x14ac:dyDescent="0.25">
      <c r="B1722">
        <v>1720</v>
      </c>
      <c r="C1722" t="s">
        <v>3500</v>
      </c>
      <c r="D1722">
        <v>0</v>
      </c>
      <c r="E1722" t="s">
        <v>9</v>
      </c>
      <c r="F1722" s="121">
        <v>4818</v>
      </c>
      <c r="G1722" s="123">
        <v>13</v>
      </c>
      <c r="H1722" s="103" t="s">
        <v>3501</v>
      </c>
    </row>
    <row r="1723" spans="2:8" x14ac:dyDescent="0.25">
      <c r="B1723">
        <v>1721</v>
      </c>
      <c r="C1723" t="s">
        <v>3502</v>
      </c>
      <c r="D1723">
        <v>0</v>
      </c>
      <c r="E1723" t="s">
        <v>9</v>
      </c>
      <c r="F1723" s="121">
        <v>4818</v>
      </c>
      <c r="G1723" s="123">
        <v>13</v>
      </c>
      <c r="H1723" s="103" t="s">
        <v>3503</v>
      </c>
    </row>
    <row r="1724" spans="2:8" x14ac:dyDescent="0.25">
      <c r="B1724">
        <v>1722</v>
      </c>
      <c r="C1724" t="s">
        <v>3504</v>
      </c>
      <c r="D1724">
        <v>0</v>
      </c>
      <c r="E1724" t="s">
        <v>9</v>
      </c>
      <c r="F1724" s="121">
        <v>4828</v>
      </c>
      <c r="G1724" s="123">
        <v>13</v>
      </c>
      <c r="H1724" s="103" t="s">
        <v>3505</v>
      </c>
    </row>
    <row r="1725" spans="2:8" x14ac:dyDescent="0.25">
      <c r="B1725">
        <v>1723</v>
      </c>
      <c r="C1725" t="s">
        <v>3506</v>
      </c>
      <c r="D1725">
        <v>0</v>
      </c>
      <c r="E1725" t="s">
        <v>9</v>
      </c>
      <c r="F1725" s="121">
        <v>4601</v>
      </c>
      <c r="G1725" s="103">
        <v>1288</v>
      </c>
      <c r="H1725" s="103" t="s">
        <v>3507</v>
      </c>
    </row>
    <row r="1726" spans="2:8" x14ac:dyDescent="0.25">
      <c r="B1726">
        <v>1724</v>
      </c>
      <c r="C1726" t="s">
        <v>3508</v>
      </c>
      <c r="D1726">
        <v>0</v>
      </c>
      <c r="E1726" t="s">
        <v>21</v>
      </c>
      <c r="F1726" s="121" t="s">
        <v>108</v>
      </c>
      <c r="G1726" s="103" t="s">
        <v>22</v>
      </c>
      <c r="H1726" s="103" t="s">
        <v>3509</v>
      </c>
    </row>
    <row r="1727" spans="2:8" x14ac:dyDescent="0.25">
      <c r="B1727">
        <v>1725</v>
      </c>
      <c r="C1727" t="s">
        <v>3510</v>
      </c>
      <c r="D1727">
        <v>0</v>
      </c>
      <c r="E1727" t="s">
        <v>9</v>
      </c>
      <c r="F1727" s="121">
        <v>949</v>
      </c>
      <c r="G1727" s="123">
        <v>23</v>
      </c>
      <c r="H1727" s="103" t="s">
        <v>3511</v>
      </c>
    </row>
    <row r="1728" spans="2:8" x14ac:dyDescent="0.25">
      <c r="B1728">
        <v>1726</v>
      </c>
      <c r="C1728" t="s">
        <v>3512</v>
      </c>
      <c r="D1728">
        <v>0</v>
      </c>
      <c r="E1728" t="s">
        <v>9</v>
      </c>
      <c r="F1728" s="121">
        <v>949</v>
      </c>
      <c r="G1728" s="123">
        <v>23</v>
      </c>
      <c r="H1728" s="103" t="s">
        <v>3513</v>
      </c>
    </row>
    <row r="1729" spans="2:8" x14ac:dyDescent="0.25">
      <c r="B1729">
        <v>1727</v>
      </c>
      <c r="C1729" t="s">
        <v>3514</v>
      </c>
      <c r="D1729">
        <v>0</v>
      </c>
      <c r="E1729" t="s">
        <v>9</v>
      </c>
      <c r="F1729" s="121">
        <v>812</v>
      </c>
      <c r="G1729" s="103">
        <v>1288</v>
      </c>
      <c r="H1729" s="103" t="s">
        <v>3515</v>
      </c>
    </row>
    <row r="1730" spans="2:8" x14ac:dyDescent="0.25">
      <c r="B1730">
        <v>1728</v>
      </c>
      <c r="C1730" t="s">
        <v>3516</v>
      </c>
      <c r="D1730">
        <v>0</v>
      </c>
      <c r="E1730" t="s">
        <v>9</v>
      </c>
      <c r="F1730" s="121">
        <v>4825</v>
      </c>
      <c r="G1730" s="103">
        <v>1288</v>
      </c>
      <c r="H1730" s="103" t="s">
        <v>3517</v>
      </c>
    </row>
    <row r="1731" spans="2:8" x14ac:dyDescent="0.25">
      <c r="B1731">
        <v>1729</v>
      </c>
      <c r="C1731" t="s">
        <v>3518</v>
      </c>
      <c r="D1731" t="s">
        <v>3519</v>
      </c>
      <c r="E1731" t="s">
        <v>35</v>
      </c>
      <c r="F1731" s="121" t="s">
        <v>36</v>
      </c>
      <c r="G1731" s="103" t="s">
        <v>37</v>
      </c>
      <c r="H1731" s="103" t="s">
        <v>3520</v>
      </c>
    </row>
    <row r="1732" spans="2:8" x14ac:dyDescent="0.25">
      <c r="B1732">
        <v>1730</v>
      </c>
      <c r="C1732" t="s">
        <v>3521</v>
      </c>
      <c r="D1732">
        <v>0</v>
      </c>
      <c r="E1732" t="s">
        <v>9</v>
      </c>
      <c r="F1732" s="121">
        <v>949</v>
      </c>
      <c r="G1732" s="123">
        <v>13</v>
      </c>
      <c r="H1732" s="103" t="s">
        <v>3037</v>
      </c>
    </row>
    <row r="1733" spans="2:8" x14ac:dyDescent="0.25">
      <c r="B1733">
        <v>1731</v>
      </c>
      <c r="C1733" t="s">
        <v>3522</v>
      </c>
      <c r="D1733">
        <v>0</v>
      </c>
      <c r="E1733" t="s">
        <v>9</v>
      </c>
      <c r="F1733" s="121">
        <v>4825</v>
      </c>
      <c r="G1733" s="123">
        <v>13</v>
      </c>
      <c r="H1733" s="103" t="s">
        <v>3523</v>
      </c>
    </row>
    <row r="1734" spans="2:8" x14ac:dyDescent="0.25">
      <c r="B1734">
        <v>1732</v>
      </c>
      <c r="C1734" t="s">
        <v>3524</v>
      </c>
      <c r="D1734">
        <v>0</v>
      </c>
      <c r="E1734" t="s">
        <v>9</v>
      </c>
      <c r="F1734" s="121">
        <v>4825</v>
      </c>
      <c r="G1734" s="103">
        <v>1288</v>
      </c>
      <c r="H1734" s="103" t="s">
        <v>3525</v>
      </c>
    </row>
    <row r="1735" spans="2:8" x14ac:dyDescent="0.25">
      <c r="B1735">
        <v>1733</v>
      </c>
      <c r="C1735" t="s">
        <v>3526</v>
      </c>
      <c r="D1735">
        <v>0</v>
      </c>
      <c r="E1735" t="s">
        <v>21</v>
      </c>
      <c r="F1735" s="121" t="s">
        <v>431</v>
      </c>
      <c r="G1735" s="103" t="s">
        <v>37</v>
      </c>
      <c r="H1735" s="103" t="s">
        <v>3527</v>
      </c>
    </row>
    <row r="1736" spans="2:8" x14ac:dyDescent="0.25">
      <c r="B1736">
        <v>1734</v>
      </c>
      <c r="C1736" t="s">
        <v>3528</v>
      </c>
      <c r="D1736">
        <v>0</v>
      </c>
    </row>
    <row r="1737" spans="2:8" x14ac:dyDescent="0.25">
      <c r="B1737">
        <v>1735</v>
      </c>
      <c r="C1737" t="s">
        <v>3529</v>
      </c>
      <c r="D1737">
        <v>0</v>
      </c>
      <c r="E1737" t="s">
        <v>9</v>
      </c>
      <c r="F1737" s="121">
        <v>949</v>
      </c>
      <c r="G1737" s="123">
        <v>23</v>
      </c>
      <c r="H1737" s="103" t="s">
        <v>3530</v>
      </c>
    </row>
    <row r="1738" spans="2:8" x14ac:dyDescent="0.25">
      <c r="B1738">
        <v>1736</v>
      </c>
      <c r="C1738" t="s">
        <v>3531</v>
      </c>
      <c r="D1738">
        <v>0</v>
      </c>
      <c r="E1738" t="s">
        <v>9</v>
      </c>
      <c r="F1738" s="121">
        <v>3204</v>
      </c>
      <c r="G1738" s="123">
        <v>13</v>
      </c>
      <c r="H1738" s="103" t="s">
        <v>3532</v>
      </c>
    </row>
    <row r="1739" spans="2:8" x14ac:dyDescent="0.25">
      <c r="B1739">
        <v>1737</v>
      </c>
      <c r="C1739" t="s">
        <v>3533</v>
      </c>
      <c r="D1739">
        <v>0</v>
      </c>
      <c r="E1739" t="s">
        <v>9</v>
      </c>
      <c r="F1739" s="121">
        <v>949</v>
      </c>
      <c r="G1739" s="123">
        <v>13</v>
      </c>
      <c r="H1739" s="103" t="s">
        <v>3534</v>
      </c>
    </row>
    <row r="1740" spans="2:8" x14ac:dyDescent="0.25">
      <c r="B1740">
        <v>1738</v>
      </c>
      <c r="C1740" t="s">
        <v>3535</v>
      </c>
      <c r="D1740">
        <v>0</v>
      </c>
      <c r="E1740" t="s">
        <v>9</v>
      </c>
      <c r="F1740" s="121">
        <v>4818</v>
      </c>
      <c r="G1740" s="123">
        <v>13</v>
      </c>
      <c r="H1740" s="103" t="s">
        <v>3536</v>
      </c>
    </row>
    <row r="1741" spans="2:8" x14ac:dyDescent="0.25">
      <c r="B1741">
        <v>1739</v>
      </c>
      <c r="C1741" t="s">
        <v>3537</v>
      </c>
      <c r="D1741">
        <v>0</v>
      </c>
      <c r="E1741" t="s">
        <v>21</v>
      </c>
      <c r="F1741" s="121" t="s">
        <v>72</v>
      </c>
      <c r="G1741" s="103" t="s">
        <v>37</v>
      </c>
      <c r="H1741" s="103" t="s">
        <v>3538</v>
      </c>
    </row>
    <row r="1742" spans="2:8" x14ac:dyDescent="0.25">
      <c r="B1742">
        <v>1740</v>
      </c>
      <c r="C1742" t="s">
        <v>3539</v>
      </c>
      <c r="D1742">
        <v>0</v>
      </c>
      <c r="E1742" t="s">
        <v>9</v>
      </c>
      <c r="F1742" s="121">
        <v>563</v>
      </c>
      <c r="G1742" s="123">
        <v>13</v>
      </c>
      <c r="H1742" s="103" t="s">
        <v>3540</v>
      </c>
    </row>
    <row r="1743" spans="2:8" x14ac:dyDescent="0.25">
      <c r="B1743">
        <v>1741</v>
      </c>
      <c r="C1743" t="s">
        <v>3541</v>
      </c>
      <c r="D1743">
        <v>0</v>
      </c>
      <c r="E1743" t="s">
        <v>21</v>
      </c>
      <c r="F1743" s="121">
        <v>3858</v>
      </c>
      <c r="G1743" s="103" t="s">
        <v>22</v>
      </c>
      <c r="H1743" s="103" t="s">
        <v>3542</v>
      </c>
    </row>
    <row r="1744" spans="2:8" x14ac:dyDescent="0.25">
      <c r="B1744">
        <v>1742</v>
      </c>
      <c r="C1744" t="s">
        <v>3543</v>
      </c>
      <c r="D1744">
        <v>0</v>
      </c>
      <c r="E1744" t="s">
        <v>21</v>
      </c>
      <c r="F1744" s="121">
        <v>3860</v>
      </c>
      <c r="G1744" s="103" t="s">
        <v>22</v>
      </c>
      <c r="H1744" s="103" t="s">
        <v>3544</v>
      </c>
    </row>
    <row r="1745" spans="2:8" x14ac:dyDescent="0.25">
      <c r="B1745">
        <v>1743</v>
      </c>
      <c r="C1745" t="s">
        <v>3545</v>
      </c>
      <c r="D1745">
        <v>0</v>
      </c>
      <c r="E1745" t="s">
        <v>9</v>
      </c>
      <c r="F1745" s="121">
        <v>949</v>
      </c>
      <c r="G1745" s="123">
        <v>13</v>
      </c>
      <c r="H1745" s="103" t="s">
        <v>1305</v>
      </c>
    </row>
    <row r="1746" spans="2:8" x14ac:dyDescent="0.25">
      <c r="B1746">
        <v>1744</v>
      </c>
      <c r="C1746" t="s">
        <v>3546</v>
      </c>
      <c r="D1746">
        <v>0</v>
      </c>
      <c r="E1746" t="s">
        <v>9</v>
      </c>
      <c r="F1746" s="121">
        <v>4694</v>
      </c>
      <c r="G1746" s="123">
        <v>13</v>
      </c>
      <c r="H1746" s="103" t="s">
        <v>3547</v>
      </c>
    </row>
    <row r="1747" spans="2:8" x14ac:dyDescent="0.25">
      <c r="B1747">
        <v>1745</v>
      </c>
      <c r="C1747" t="s">
        <v>3548</v>
      </c>
      <c r="D1747" t="s">
        <v>3549</v>
      </c>
      <c r="E1747" t="s">
        <v>9</v>
      </c>
      <c r="F1747" s="121">
        <v>949</v>
      </c>
      <c r="H1747" s="103" t="s">
        <v>3550</v>
      </c>
    </row>
    <row r="1748" spans="2:8" x14ac:dyDescent="0.25">
      <c r="B1748">
        <v>1746</v>
      </c>
      <c r="C1748" t="s">
        <v>3551</v>
      </c>
      <c r="D1748">
        <v>0</v>
      </c>
      <c r="E1748" t="s">
        <v>35</v>
      </c>
      <c r="F1748" s="121" t="s">
        <v>36</v>
      </c>
      <c r="G1748" s="103" t="s">
        <v>37</v>
      </c>
      <c r="H1748" s="103" t="s">
        <v>3552</v>
      </c>
    </row>
    <row r="1749" spans="2:8" x14ac:dyDescent="0.25">
      <c r="B1749">
        <v>1747</v>
      </c>
      <c r="C1749" t="s">
        <v>3553</v>
      </c>
      <c r="D1749" t="s">
        <v>3554</v>
      </c>
      <c r="E1749" t="s">
        <v>9</v>
      </c>
      <c r="F1749" s="121">
        <v>4818</v>
      </c>
      <c r="G1749" s="123">
        <v>1288</v>
      </c>
      <c r="H1749" s="103" t="s">
        <v>3555</v>
      </c>
    </row>
    <row r="1750" spans="2:8" x14ac:dyDescent="0.25">
      <c r="B1750">
        <v>1748</v>
      </c>
      <c r="C1750" t="s">
        <v>3556</v>
      </c>
      <c r="D1750">
        <v>0</v>
      </c>
      <c r="E1750" t="s">
        <v>9</v>
      </c>
      <c r="F1750" s="121">
        <v>4818</v>
      </c>
      <c r="G1750" s="123">
        <v>13</v>
      </c>
      <c r="H1750" s="103" t="s">
        <v>3557</v>
      </c>
    </row>
    <row r="1751" spans="2:8" x14ac:dyDescent="0.25">
      <c r="B1751">
        <v>1749</v>
      </c>
      <c r="C1751" t="s">
        <v>3558</v>
      </c>
      <c r="D1751">
        <v>0</v>
      </c>
      <c r="E1751" t="s">
        <v>35</v>
      </c>
      <c r="F1751" s="121" t="s">
        <v>36</v>
      </c>
      <c r="G1751" s="103" t="s">
        <v>37</v>
      </c>
      <c r="H1751" s="103" t="s">
        <v>3559</v>
      </c>
    </row>
    <row r="1752" spans="2:8" x14ac:dyDescent="0.25">
      <c r="B1752">
        <v>1750</v>
      </c>
      <c r="C1752" t="s">
        <v>3560</v>
      </c>
      <c r="D1752">
        <v>0</v>
      </c>
      <c r="E1752" t="s">
        <v>9</v>
      </c>
      <c r="F1752" s="121">
        <v>4818</v>
      </c>
      <c r="G1752" s="103">
        <v>1288</v>
      </c>
      <c r="H1752" s="103" t="s">
        <v>3561</v>
      </c>
    </row>
    <row r="1753" spans="2:8" x14ac:dyDescent="0.25">
      <c r="B1753">
        <v>1751</v>
      </c>
      <c r="C1753" t="s">
        <v>3562</v>
      </c>
      <c r="D1753">
        <v>0</v>
      </c>
      <c r="E1753" t="s">
        <v>35</v>
      </c>
      <c r="F1753" s="121" t="s">
        <v>36</v>
      </c>
      <c r="G1753" s="103" t="s">
        <v>37</v>
      </c>
      <c r="H1753" s="103" t="s">
        <v>3563</v>
      </c>
    </row>
    <row r="1754" spans="2:8" x14ac:dyDescent="0.25">
      <c r="B1754">
        <v>1752</v>
      </c>
      <c r="C1754" t="s">
        <v>3564</v>
      </c>
      <c r="D1754">
        <v>0</v>
      </c>
      <c r="E1754" t="s">
        <v>9</v>
      </c>
      <c r="F1754" s="121">
        <v>4601</v>
      </c>
      <c r="G1754" s="103">
        <v>1288</v>
      </c>
      <c r="H1754" s="103" t="s">
        <v>3565</v>
      </c>
    </row>
    <row r="1755" spans="2:8" x14ac:dyDescent="0.25">
      <c r="B1755">
        <v>1753</v>
      </c>
      <c r="C1755" t="s">
        <v>3566</v>
      </c>
      <c r="D1755">
        <v>0</v>
      </c>
      <c r="E1755" t="s">
        <v>21</v>
      </c>
      <c r="F1755" s="121" t="s">
        <v>3567</v>
      </c>
      <c r="G1755" s="103" t="s">
        <v>37</v>
      </c>
      <c r="H1755" s="103" t="s">
        <v>3568</v>
      </c>
    </row>
    <row r="1756" spans="2:8" x14ac:dyDescent="0.25">
      <c r="B1756">
        <v>1754</v>
      </c>
      <c r="C1756" t="s">
        <v>3569</v>
      </c>
      <c r="D1756">
        <v>0</v>
      </c>
      <c r="E1756" t="s">
        <v>9</v>
      </c>
      <c r="F1756" s="121">
        <v>780</v>
      </c>
      <c r="G1756" s="103">
        <v>1288</v>
      </c>
      <c r="H1756" s="103" t="s">
        <v>3570</v>
      </c>
    </row>
    <row r="1757" spans="2:8" x14ac:dyDescent="0.25">
      <c r="B1757">
        <v>1755</v>
      </c>
      <c r="C1757" t="s">
        <v>3571</v>
      </c>
      <c r="D1757">
        <v>0</v>
      </c>
      <c r="E1757" t="s">
        <v>9</v>
      </c>
      <c r="F1757" s="121">
        <v>4601</v>
      </c>
      <c r="G1757" s="123">
        <v>13</v>
      </c>
      <c r="H1757" s="103" t="s">
        <v>3572</v>
      </c>
    </row>
    <row r="1758" spans="2:8" x14ac:dyDescent="0.25">
      <c r="B1758">
        <v>1756</v>
      </c>
      <c r="C1758" t="s">
        <v>3573</v>
      </c>
      <c r="D1758">
        <v>0</v>
      </c>
      <c r="E1758" t="s">
        <v>9</v>
      </c>
      <c r="F1758" s="121">
        <v>4825</v>
      </c>
      <c r="G1758" s="123">
        <v>13</v>
      </c>
      <c r="H1758" s="103" t="s">
        <v>3574</v>
      </c>
    </row>
    <row r="1759" spans="2:8" x14ac:dyDescent="0.25">
      <c r="B1759">
        <v>1757</v>
      </c>
      <c r="C1759" t="s">
        <v>3575</v>
      </c>
      <c r="D1759">
        <v>0</v>
      </c>
      <c r="E1759" t="s">
        <v>35</v>
      </c>
      <c r="F1759" s="121" t="s">
        <v>36</v>
      </c>
      <c r="G1759" s="103" t="s">
        <v>37</v>
      </c>
      <c r="H1759" s="103" t="s">
        <v>3576</v>
      </c>
    </row>
    <row r="1760" spans="2:8" x14ac:dyDescent="0.25">
      <c r="B1760">
        <v>1758</v>
      </c>
      <c r="C1760" t="s">
        <v>3577</v>
      </c>
      <c r="D1760">
        <v>0</v>
      </c>
      <c r="E1760" t="s">
        <v>21</v>
      </c>
      <c r="F1760" s="121" t="s">
        <v>264</v>
      </c>
      <c r="G1760" s="103" t="s">
        <v>37</v>
      </c>
      <c r="H1760" s="103" t="s">
        <v>3578</v>
      </c>
    </row>
    <row r="1761" spans="2:8" x14ac:dyDescent="0.25">
      <c r="B1761">
        <v>1759</v>
      </c>
      <c r="C1761" t="s">
        <v>3579</v>
      </c>
      <c r="D1761">
        <v>0</v>
      </c>
      <c r="E1761" t="s">
        <v>35</v>
      </c>
      <c r="F1761" s="121" t="s">
        <v>3580</v>
      </c>
      <c r="G1761" s="103" t="s">
        <v>22</v>
      </c>
      <c r="H1761" s="103" t="s">
        <v>3581</v>
      </c>
    </row>
    <row r="1762" spans="2:8" x14ac:dyDescent="0.25">
      <c r="B1762">
        <v>1760</v>
      </c>
      <c r="C1762" t="s">
        <v>3582</v>
      </c>
      <c r="D1762" t="s">
        <v>3583</v>
      </c>
      <c r="E1762" t="s">
        <v>35</v>
      </c>
      <c r="F1762" s="121" t="s">
        <v>36</v>
      </c>
      <c r="H1762" s="103" t="s">
        <v>3584</v>
      </c>
    </row>
    <row r="1763" spans="2:8" x14ac:dyDescent="0.25">
      <c r="B1763">
        <v>1761</v>
      </c>
      <c r="C1763" t="s">
        <v>3585</v>
      </c>
      <c r="D1763">
        <v>0</v>
      </c>
      <c r="E1763" t="s">
        <v>9</v>
      </c>
      <c r="F1763" s="121">
        <v>4818</v>
      </c>
      <c r="G1763" s="123">
        <v>13</v>
      </c>
      <c r="H1763" s="103" t="s">
        <v>3586</v>
      </c>
    </row>
    <row r="1764" spans="2:8" x14ac:dyDescent="0.25">
      <c r="B1764">
        <v>1762</v>
      </c>
      <c r="C1764" t="s">
        <v>3587</v>
      </c>
      <c r="D1764">
        <v>0</v>
      </c>
      <c r="E1764" t="s">
        <v>21</v>
      </c>
      <c r="F1764" s="121" t="s">
        <v>264</v>
      </c>
      <c r="G1764" s="103" t="s">
        <v>22</v>
      </c>
      <c r="H1764" s="103" t="s">
        <v>3588</v>
      </c>
    </row>
    <row r="1765" spans="2:8" x14ac:dyDescent="0.25">
      <c r="B1765">
        <v>1763</v>
      </c>
      <c r="C1765" t="s">
        <v>3589</v>
      </c>
      <c r="D1765">
        <v>0</v>
      </c>
      <c r="E1765" t="s">
        <v>9</v>
      </c>
      <c r="F1765" s="121">
        <v>4825</v>
      </c>
      <c r="G1765" s="103">
        <v>1288</v>
      </c>
      <c r="H1765" s="103" t="s">
        <v>3590</v>
      </c>
    </row>
    <row r="1766" spans="2:8" x14ac:dyDescent="0.25">
      <c r="B1766">
        <v>1764</v>
      </c>
      <c r="C1766" t="s">
        <v>3591</v>
      </c>
      <c r="D1766">
        <v>0</v>
      </c>
      <c r="E1766" t="s">
        <v>9</v>
      </c>
      <c r="F1766" s="121">
        <v>1732</v>
      </c>
      <c r="G1766" s="123">
        <v>13</v>
      </c>
      <c r="H1766" s="103" t="s">
        <v>3592</v>
      </c>
    </row>
    <row r="1767" spans="2:8" x14ac:dyDescent="0.25">
      <c r="B1767">
        <v>1765</v>
      </c>
      <c r="C1767" t="s">
        <v>3593</v>
      </c>
      <c r="D1767">
        <v>0</v>
      </c>
      <c r="E1767" t="s">
        <v>9</v>
      </c>
      <c r="F1767" s="121">
        <v>949</v>
      </c>
      <c r="G1767" s="103">
        <v>1288</v>
      </c>
      <c r="H1767" s="103" t="s">
        <v>3594</v>
      </c>
    </row>
    <row r="1768" spans="2:8" x14ac:dyDescent="0.25">
      <c r="B1768">
        <v>1766</v>
      </c>
      <c r="C1768" t="s">
        <v>3595</v>
      </c>
      <c r="D1768">
        <v>0</v>
      </c>
      <c r="E1768" t="s">
        <v>9</v>
      </c>
      <c r="F1768" s="121">
        <v>780</v>
      </c>
      <c r="G1768" s="103">
        <v>1288</v>
      </c>
      <c r="H1768" s="103" t="s">
        <v>3596</v>
      </c>
    </row>
    <row r="1769" spans="2:8" x14ac:dyDescent="0.25">
      <c r="B1769">
        <v>1767</v>
      </c>
      <c r="C1769" t="s">
        <v>3597</v>
      </c>
      <c r="D1769">
        <v>0</v>
      </c>
      <c r="E1769" t="s">
        <v>9</v>
      </c>
      <c r="F1769" s="121">
        <v>4601</v>
      </c>
      <c r="G1769" s="103">
        <v>1288</v>
      </c>
      <c r="H1769" s="103" t="s">
        <v>3598</v>
      </c>
    </row>
    <row r="1770" spans="2:8" x14ac:dyDescent="0.25">
      <c r="B1770">
        <v>1768</v>
      </c>
      <c r="C1770" t="s">
        <v>3599</v>
      </c>
      <c r="D1770">
        <v>0</v>
      </c>
      <c r="E1770" t="s">
        <v>9</v>
      </c>
      <c r="F1770" s="121">
        <v>1367</v>
      </c>
      <c r="G1770" s="103">
        <v>1288</v>
      </c>
      <c r="H1770" s="103" t="s">
        <v>3600</v>
      </c>
    </row>
    <row r="1771" spans="2:8" x14ac:dyDescent="0.25">
      <c r="B1771">
        <v>1769</v>
      </c>
      <c r="C1771" t="s">
        <v>3601</v>
      </c>
      <c r="D1771">
        <v>0</v>
      </c>
      <c r="E1771" t="s">
        <v>9</v>
      </c>
      <c r="F1771" s="121">
        <v>4818</v>
      </c>
      <c r="G1771" s="123">
        <v>13</v>
      </c>
      <c r="H1771" s="103" t="s">
        <v>3602</v>
      </c>
    </row>
    <row r="1772" spans="2:8" x14ac:dyDescent="0.25">
      <c r="B1772">
        <v>1770</v>
      </c>
      <c r="C1772" t="s">
        <v>3603</v>
      </c>
      <c r="D1772" t="s">
        <v>3604</v>
      </c>
      <c r="E1772" t="s">
        <v>9</v>
      </c>
      <c r="F1772" s="121">
        <v>4818</v>
      </c>
      <c r="G1772" s="103">
        <v>1288</v>
      </c>
      <c r="H1772" s="103" t="s">
        <v>3605</v>
      </c>
    </row>
    <row r="1773" spans="2:8" x14ac:dyDescent="0.25">
      <c r="B1773">
        <v>1771</v>
      </c>
      <c r="C1773" t="s">
        <v>3606</v>
      </c>
      <c r="D1773" t="s">
        <v>3607</v>
      </c>
      <c r="E1773" t="s">
        <v>9</v>
      </c>
      <c r="F1773" s="121">
        <v>949</v>
      </c>
      <c r="G1773" s="123">
        <v>13</v>
      </c>
      <c r="H1773" s="103" t="s">
        <v>3608</v>
      </c>
    </row>
    <row r="1774" spans="2:8" x14ac:dyDescent="0.25">
      <c r="B1774">
        <v>1772</v>
      </c>
      <c r="C1774" t="s">
        <v>3609</v>
      </c>
      <c r="D1774">
        <v>0</v>
      </c>
      <c r="E1774" t="s">
        <v>9</v>
      </c>
      <c r="F1774" s="121">
        <v>949</v>
      </c>
      <c r="G1774" s="103">
        <v>1288</v>
      </c>
      <c r="H1774" s="103" t="s">
        <v>3610</v>
      </c>
    </row>
    <row r="1775" spans="2:8" x14ac:dyDescent="0.25">
      <c r="B1775">
        <v>1773</v>
      </c>
      <c r="C1775" t="s">
        <v>3611</v>
      </c>
      <c r="D1775">
        <v>0</v>
      </c>
      <c r="E1775" t="s">
        <v>9</v>
      </c>
      <c r="F1775" s="121">
        <v>4818</v>
      </c>
      <c r="G1775" s="123">
        <v>13</v>
      </c>
      <c r="H1775" s="103" t="s">
        <v>3612</v>
      </c>
    </row>
    <row r="1776" spans="2:8" x14ac:dyDescent="0.25">
      <c r="B1776">
        <v>1774</v>
      </c>
      <c r="C1776" t="s">
        <v>3613</v>
      </c>
      <c r="D1776">
        <v>0</v>
      </c>
      <c r="E1776" t="s">
        <v>9</v>
      </c>
      <c r="F1776" s="121">
        <v>4601</v>
      </c>
      <c r="G1776" s="103">
        <v>1288</v>
      </c>
      <c r="H1776" s="103" t="s">
        <v>3614</v>
      </c>
    </row>
    <row r="1777" spans="2:8" x14ac:dyDescent="0.25">
      <c r="B1777">
        <v>1775</v>
      </c>
      <c r="C1777" t="s">
        <v>3615</v>
      </c>
      <c r="D1777">
        <v>0</v>
      </c>
      <c r="E1777" t="s">
        <v>9</v>
      </c>
      <c r="F1777" s="121">
        <v>4601</v>
      </c>
      <c r="G1777" s="103">
        <v>1288</v>
      </c>
      <c r="H1777" s="103" t="s">
        <v>3616</v>
      </c>
    </row>
    <row r="1778" spans="2:8" x14ac:dyDescent="0.25">
      <c r="B1778">
        <v>1776</v>
      </c>
      <c r="C1778" t="s">
        <v>3617</v>
      </c>
      <c r="D1778" t="s">
        <v>3618</v>
      </c>
      <c r="E1778" t="s">
        <v>9</v>
      </c>
      <c r="F1778" s="121">
        <v>780</v>
      </c>
      <c r="G1778" s="103">
        <v>1288</v>
      </c>
      <c r="H1778" s="103" t="s">
        <v>3619</v>
      </c>
    </row>
    <row r="1779" spans="2:8" x14ac:dyDescent="0.25">
      <c r="B1779">
        <v>1777</v>
      </c>
      <c r="C1779" t="s">
        <v>3620</v>
      </c>
      <c r="D1779">
        <v>0</v>
      </c>
      <c r="E1779" t="s">
        <v>9</v>
      </c>
      <c r="F1779" s="121">
        <v>4601</v>
      </c>
      <c r="G1779" s="123">
        <v>13</v>
      </c>
      <c r="H1779" s="103" t="s">
        <v>3621</v>
      </c>
    </row>
    <row r="1780" spans="2:8" x14ac:dyDescent="0.25">
      <c r="B1780">
        <v>1778</v>
      </c>
      <c r="C1780" t="s">
        <v>3622</v>
      </c>
      <c r="D1780">
        <v>0</v>
      </c>
      <c r="E1780" t="s">
        <v>9</v>
      </c>
      <c r="F1780" s="121">
        <v>4818</v>
      </c>
      <c r="G1780" s="123">
        <v>13</v>
      </c>
      <c r="H1780" s="103" t="s">
        <v>3623</v>
      </c>
    </row>
    <row r="1781" spans="2:8" x14ac:dyDescent="0.25">
      <c r="B1781">
        <v>1779</v>
      </c>
      <c r="C1781" t="s">
        <v>3624</v>
      </c>
      <c r="D1781">
        <v>0</v>
      </c>
      <c r="E1781" t="s">
        <v>9</v>
      </c>
      <c r="F1781" s="121">
        <v>2307</v>
      </c>
      <c r="G1781" s="123">
        <v>13</v>
      </c>
      <c r="H1781" s="103" t="s">
        <v>3625</v>
      </c>
    </row>
    <row r="1782" spans="2:8" x14ac:dyDescent="0.25">
      <c r="B1782">
        <v>1780</v>
      </c>
      <c r="C1782" t="s">
        <v>3626</v>
      </c>
      <c r="D1782">
        <v>0</v>
      </c>
      <c r="E1782" t="s">
        <v>9</v>
      </c>
      <c r="F1782" s="121">
        <v>4825</v>
      </c>
      <c r="G1782" s="123">
        <v>13</v>
      </c>
      <c r="H1782" s="103" t="s">
        <v>3627</v>
      </c>
    </row>
    <row r="1783" spans="2:8" x14ac:dyDescent="0.25">
      <c r="B1783">
        <v>1781</v>
      </c>
      <c r="C1783" t="s">
        <v>3628</v>
      </c>
      <c r="D1783">
        <v>0</v>
      </c>
      <c r="E1783" t="s">
        <v>35</v>
      </c>
      <c r="F1783" s="121" t="s">
        <v>670</v>
      </c>
      <c r="G1783" s="103" t="s">
        <v>37</v>
      </c>
      <c r="H1783" s="103" t="s">
        <v>2956</v>
      </c>
    </row>
    <row r="1784" spans="2:8" x14ac:dyDescent="0.25">
      <c r="B1784">
        <v>1782</v>
      </c>
      <c r="C1784" t="s">
        <v>3629</v>
      </c>
      <c r="D1784">
        <v>0</v>
      </c>
      <c r="E1784" t="s">
        <v>21</v>
      </c>
      <c r="F1784" s="121" t="s">
        <v>431</v>
      </c>
      <c r="G1784" s="103" t="s">
        <v>22</v>
      </c>
      <c r="H1784" s="103" t="s">
        <v>3630</v>
      </c>
    </row>
    <row r="1785" spans="2:8" x14ac:dyDescent="0.25">
      <c r="B1785">
        <v>1783</v>
      </c>
      <c r="C1785" t="s">
        <v>3631</v>
      </c>
      <c r="D1785">
        <v>0</v>
      </c>
      <c r="E1785" t="s">
        <v>21</v>
      </c>
      <c r="F1785" s="121" t="s">
        <v>431</v>
      </c>
      <c r="G1785" s="103" t="s">
        <v>22</v>
      </c>
      <c r="H1785" s="103" t="s">
        <v>3632</v>
      </c>
    </row>
    <row r="1786" spans="2:8" x14ac:dyDescent="0.25">
      <c r="B1786">
        <v>1784</v>
      </c>
      <c r="C1786" t="s">
        <v>1338</v>
      </c>
      <c r="D1786" t="s">
        <v>3633</v>
      </c>
      <c r="E1786" t="s">
        <v>9</v>
      </c>
      <c r="F1786" s="121">
        <v>4825</v>
      </c>
      <c r="G1786" s="123">
        <v>13</v>
      </c>
      <c r="H1786" s="103" t="s">
        <v>1339</v>
      </c>
    </row>
    <row r="1787" spans="2:8" x14ac:dyDescent="0.25">
      <c r="B1787">
        <v>1785</v>
      </c>
      <c r="C1787" t="s">
        <v>3634</v>
      </c>
      <c r="D1787" t="s">
        <v>3635</v>
      </c>
      <c r="E1787" t="s">
        <v>9</v>
      </c>
      <c r="F1787" s="121">
        <v>4825</v>
      </c>
      <c r="G1787" s="123"/>
      <c r="H1787" s="103" t="s">
        <v>3636</v>
      </c>
    </row>
    <row r="1788" spans="2:8" x14ac:dyDescent="0.25">
      <c r="B1788">
        <v>1786</v>
      </c>
      <c r="C1788" t="s">
        <v>3637</v>
      </c>
      <c r="D1788">
        <v>0</v>
      </c>
      <c r="E1788" t="s">
        <v>35</v>
      </c>
      <c r="F1788" s="121" t="s">
        <v>379</v>
      </c>
      <c r="G1788" s="103" t="s">
        <v>37</v>
      </c>
      <c r="H1788" s="103" t="s">
        <v>3638</v>
      </c>
    </row>
    <row r="1789" spans="2:8" x14ac:dyDescent="0.25">
      <c r="B1789">
        <v>1787</v>
      </c>
      <c r="C1789" t="s">
        <v>3639</v>
      </c>
      <c r="D1789" t="s">
        <v>3640</v>
      </c>
      <c r="E1789" t="s">
        <v>21</v>
      </c>
      <c r="F1789" s="121" t="s">
        <v>44</v>
      </c>
      <c r="G1789" s="103" t="s">
        <v>37</v>
      </c>
      <c r="H1789" s="103" t="s">
        <v>3641</v>
      </c>
    </row>
    <row r="1790" spans="2:8" x14ac:dyDescent="0.25">
      <c r="B1790">
        <v>1788</v>
      </c>
      <c r="C1790" t="s">
        <v>3642</v>
      </c>
      <c r="D1790" t="s">
        <v>3643</v>
      </c>
      <c r="E1790" t="s">
        <v>9</v>
      </c>
      <c r="F1790" s="121">
        <v>4825</v>
      </c>
      <c r="G1790" s="123"/>
      <c r="H1790" s="103" t="s">
        <v>3644</v>
      </c>
    </row>
    <row r="1791" spans="2:8" x14ac:dyDescent="0.25">
      <c r="B1791">
        <v>1789</v>
      </c>
      <c r="C1791" t="s">
        <v>3645</v>
      </c>
      <c r="D1791">
        <v>0</v>
      </c>
      <c r="E1791" t="s">
        <v>9</v>
      </c>
      <c r="F1791" s="121">
        <v>4818</v>
      </c>
      <c r="G1791" s="123">
        <v>13</v>
      </c>
      <c r="H1791" s="103" t="s">
        <v>3646</v>
      </c>
    </row>
    <row r="1792" spans="2:8" x14ac:dyDescent="0.25">
      <c r="B1792">
        <v>1790</v>
      </c>
      <c r="C1792" t="s">
        <v>3647</v>
      </c>
      <c r="D1792" t="s">
        <v>3648</v>
      </c>
      <c r="E1792" t="s">
        <v>9</v>
      </c>
      <c r="F1792" s="121">
        <v>4818</v>
      </c>
      <c r="G1792" s="123">
        <v>13</v>
      </c>
      <c r="H1792" s="103" t="s">
        <v>3649</v>
      </c>
    </row>
    <row r="1793" spans="2:8" x14ac:dyDescent="0.25">
      <c r="B1793">
        <v>1791</v>
      </c>
      <c r="C1793" t="s">
        <v>3650</v>
      </c>
      <c r="D1793">
        <v>0</v>
      </c>
      <c r="E1793" t="s">
        <v>9</v>
      </c>
      <c r="F1793" s="121">
        <v>4223</v>
      </c>
      <c r="G1793" s="123">
        <v>13</v>
      </c>
      <c r="H1793" s="103" t="s">
        <v>3651</v>
      </c>
    </row>
    <row r="1794" spans="2:8" x14ac:dyDescent="0.25">
      <c r="B1794">
        <v>1792</v>
      </c>
      <c r="C1794" t="s">
        <v>3652</v>
      </c>
      <c r="D1794">
        <v>0</v>
      </c>
      <c r="E1794" t="s">
        <v>35</v>
      </c>
      <c r="F1794" s="121" t="s">
        <v>36</v>
      </c>
      <c r="G1794" s="103" t="s">
        <v>22</v>
      </c>
      <c r="H1794" s="103" t="s">
        <v>3653</v>
      </c>
    </row>
    <row r="1795" spans="2:8" x14ac:dyDescent="0.25">
      <c r="B1795">
        <v>1793</v>
      </c>
      <c r="C1795" t="s">
        <v>3654</v>
      </c>
      <c r="D1795">
        <v>0</v>
      </c>
      <c r="E1795" t="s">
        <v>9</v>
      </c>
      <c r="F1795" s="121">
        <v>2734</v>
      </c>
      <c r="G1795" s="123">
        <v>13</v>
      </c>
      <c r="H1795" s="103" t="s">
        <v>3655</v>
      </c>
    </row>
    <row r="1796" spans="2:8" x14ac:dyDescent="0.25">
      <c r="B1796">
        <v>1794</v>
      </c>
      <c r="C1796" t="s">
        <v>3656</v>
      </c>
      <c r="D1796" t="s">
        <v>3657</v>
      </c>
      <c r="E1796" t="s">
        <v>9</v>
      </c>
      <c r="F1796" s="121">
        <v>4825</v>
      </c>
      <c r="G1796" s="123"/>
      <c r="H1796" s="103" t="s">
        <v>3658</v>
      </c>
    </row>
    <row r="1797" spans="2:8" x14ac:dyDescent="0.25">
      <c r="B1797">
        <v>1795</v>
      </c>
      <c r="C1797" t="s">
        <v>3659</v>
      </c>
      <c r="D1797">
        <v>0</v>
      </c>
      <c r="E1797" t="s">
        <v>9</v>
      </c>
      <c r="F1797" s="121">
        <v>949</v>
      </c>
      <c r="G1797" s="123">
        <v>23</v>
      </c>
      <c r="H1797" s="103" t="s">
        <v>3660</v>
      </c>
    </row>
    <row r="1798" spans="2:8" x14ac:dyDescent="0.25">
      <c r="B1798">
        <v>1796</v>
      </c>
      <c r="C1798" t="s">
        <v>3661</v>
      </c>
      <c r="D1798">
        <v>0</v>
      </c>
      <c r="E1798" t="s">
        <v>9</v>
      </c>
      <c r="F1798" s="121">
        <v>4825</v>
      </c>
      <c r="G1798" s="103">
        <v>1288</v>
      </c>
      <c r="H1798" s="103" t="s">
        <v>3662</v>
      </c>
    </row>
    <row r="1799" spans="2:8" x14ac:dyDescent="0.25">
      <c r="B1799">
        <v>1797</v>
      </c>
      <c r="C1799" t="s">
        <v>3663</v>
      </c>
      <c r="D1799">
        <v>0</v>
      </c>
      <c r="E1799" t="s">
        <v>9</v>
      </c>
      <c r="F1799" s="121">
        <v>949</v>
      </c>
      <c r="G1799" s="123">
        <v>23</v>
      </c>
      <c r="H1799" s="103" t="s">
        <v>3664</v>
      </c>
    </row>
    <row r="1800" spans="2:8" x14ac:dyDescent="0.25">
      <c r="B1800">
        <v>1798</v>
      </c>
      <c r="C1800" t="s">
        <v>3665</v>
      </c>
      <c r="D1800">
        <v>0</v>
      </c>
      <c r="E1800" t="s">
        <v>9</v>
      </c>
      <c r="F1800" s="121">
        <v>4818</v>
      </c>
      <c r="G1800" s="103">
        <v>1288</v>
      </c>
      <c r="H1800" s="103" t="s">
        <v>3666</v>
      </c>
    </row>
    <row r="1801" spans="2:8" x14ac:dyDescent="0.25">
      <c r="B1801">
        <v>1799</v>
      </c>
      <c r="C1801" t="s">
        <v>3667</v>
      </c>
      <c r="D1801">
        <v>0</v>
      </c>
      <c r="E1801" t="s">
        <v>9</v>
      </c>
      <c r="F1801" s="121">
        <v>4818</v>
      </c>
      <c r="G1801" s="123">
        <v>13</v>
      </c>
      <c r="H1801" s="103" t="s">
        <v>3668</v>
      </c>
    </row>
    <row r="1802" spans="2:8" x14ac:dyDescent="0.25">
      <c r="B1802">
        <v>1800</v>
      </c>
      <c r="C1802" t="s">
        <v>3669</v>
      </c>
      <c r="D1802" t="s">
        <v>3670</v>
      </c>
      <c r="E1802" t="s">
        <v>35</v>
      </c>
      <c r="F1802" s="121" t="s">
        <v>36</v>
      </c>
      <c r="G1802" s="103" t="s">
        <v>37</v>
      </c>
      <c r="H1802" s="103" t="s">
        <v>3671</v>
      </c>
    </row>
    <row r="1803" spans="2:8" x14ac:dyDescent="0.25">
      <c r="B1803">
        <v>1801</v>
      </c>
      <c r="C1803" t="s">
        <v>3672</v>
      </c>
      <c r="D1803" t="s">
        <v>5158</v>
      </c>
      <c r="E1803" t="s">
        <v>35</v>
      </c>
      <c r="F1803" s="121" t="s">
        <v>36</v>
      </c>
      <c r="G1803" s="103" t="s">
        <v>37</v>
      </c>
      <c r="H1803" s="103" t="s">
        <v>1856</v>
      </c>
    </row>
    <row r="1804" spans="2:8" x14ac:dyDescent="0.25">
      <c r="B1804">
        <v>1802</v>
      </c>
      <c r="C1804" t="s">
        <v>1627</v>
      </c>
      <c r="D1804">
        <v>0</v>
      </c>
      <c r="E1804" t="s">
        <v>9</v>
      </c>
      <c r="F1804" s="121">
        <v>4825</v>
      </c>
      <c r="G1804" s="123">
        <v>13</v>
      </c>
      <c r="H1804" s="103" t="s">
        <v>1628</v>
      </c>
    </row>
    <row r="1805" spans="2:8" x14ac:dyDescent="0.25">
      <c r="B1805">
        <v>1803</v>
      </c>
      <c r="C1805" t="s">
        <v>3673</v>
      </c>
      <c r="D1805">
        <v>0</v>
      </c>
      <c r="E1805" t="s">
        <v>21</v>
      </c>
      <c r="F1805" s="121" t="s">
        <v>431</v>
      </c>
      <c r="G1805" s="103" t="s">
        <v>37</v>
      </c>
      <c r="H1805" s="103" t="s">
        <v>3674</v>
      </c>
    </row>
    <row r="1806" spans="2:8" x14ac:dyDescent="0.25">
      <c r="B1806">
        <v>1804</v>
      </c>
      <c r="C1806" t="s">
        <v>3675</v>
      </c>
      <c r="D1806">
        <v>0</v>
      </c>
      <c r="E1806" t="s">
        <v>9</v>
      </c>
      <c r="F1806" s="121">
        <v>4825</v>
      </c>
      <c r="G1806" s="123">
        <v>13</v>
      </c>
      <c r="H1806" s="103" t="s">
        <v>3676</v>
      </c>
    </row>
    <row r="1807" spans="2:8" x14ac:dyDescent="0.25">
      <c r="B1807">
        <v>1805</v>
      </c>
      <c r="C1807" t="s">
        <v>3677</v>
      </c>
      <c r="D1807">
        <v>0</v>
      </c>
      <c r="E1807" t="s">
        <v>9</v>
      </c>
      <c r="F1807" s="121">
        <v>949</v>
      </c>
      <c r="G1807" s="123">
        <v>13</v>
      </c>
      <c r="H1807" s="103" t="s">
        <v>3678</v>
      </c>
    </row>
    <row r="1808" spans="2:8" x14ac:dyDescent="0.25">
      <c r="B1808">
        <v>1806</v>
      </c>
      <c r="C1808" t="s">
        <v>3679</v>
      </c>
      <c r="D1808">
        <v>0</v>
      </c>
      <c r="E1808" t="s">
        <v>9</v>
      </c>
      <c r="F1808" s="121">
        <v>4818</v>
      </c>
      <c r="G1808" s="123">
        <v>13</v>
      </c>
      <c r="H1808" s="103" t="s">
        <v>3680</v>
      </c>
    </row>
    <row r="1809" spans="2:8" x14ac:dyDescent="0.25">
      <c r="B1809">
        <v>1807</v>
      </c>
      <c r="C1809" t="s">
        <v>3681</v>
      </c>
      <c r="D1809">
        <v>0</v>
      </c>
      <c r="E1809" t="s">
        <v>9</v>
      </c>
      <c r="F1809" s="121">
        <v>780</v>
      </c>
      <c r="G1809" s="103">
        <v>1288</v>
      </c>
      <c r="H1809" s="103" t="s">
        <v>3682</v>
      </c>
    </row>
    <row r="1810" spans="2:8" x14ac:dyDescent="0.25">
      <c r="B1810">
        <v>1808</v>
      </c>
      <c r="C1810" t="s">
        <v>3683</v>
      </c>
      <c r="D1810">
        <v>0</v>
      </c>
      <c r="E1810" t="s">
        <v>9</v>
      </c>
      <c r="F1810" s="121">
        <v>949</v>
      </c>
      <c r="G1810" s="103">
        <v>1288</v>
      </c>
      <c r="H1810" s="103" t="s">
        <v>3684</v>
      </c>
    </row>
    <row r="1811" spans="2:8" x14ac:dyDescent="0.25">
      <c r="B1811">
        <v>1809</v>
      </c>
      <c r="C1811" t="s">
        <v>3685</v>
      </c>
      <c r="D1811">
        <v>0</v>
      </c>
      <c r="E1811" t="s">
        <v>9</v>
      </c>
      <c r="F1811" s="121">
        <v>4825</v>
      </c>
      <c r="G1811" s="123">
        <v>13</v>
      </c>
      <c r="H1811" s="103" t="s">
        <v>3686</v>
      </c>
    </row>
    <row r="1812" spans="2:8" x14ac:dyDescent="0.25">
      <c r="B1812">
        <v>1810</v>
      </c>
      <c r="C1812" t="s">
        <v>3687</v>
      </c>
      <c r="D1812">
        <v>0</v>
      </c>
      <c r="E1812" t="s">
        <v>9</v>
      </c>
      <c r="F1812" s="121">
        <v>949</v>
      </c>
      <c r="G1812" s="123">
        <v>13</v>
      </c>
      <c r="H1812" s="103" t="s">
        <v>3149</v>
      </c>
    </row>
    <row r="1813" spans="2:8" x14ac:dyDescent="0.25">
      <c r="B1813">
        <v>1811</v>
      </c>
      <c r="C1813" t="s">
        <v>3688</v>
      </c>
      <c r="D1813">
        <v>0</v>
      </c>
      <c r="E1813" t="s">
        <v>9</v>
      </c>
      <c r="F1813" s="121">
        <v>949</v>
      </c>
      <c r="G1813" s="123">
        <v>23</v>
      </c>
      <c r="H1813" s="103" t="s">
        <v>3689</v>
      </c>
    </row>
    <row r="1814" spans="2:8" x14ac:dyDescent="0.25">
      <c r="B1814">
        <v>1812</v>
      </c>
      <c r="C1814" t="s">
        <v>3690</v>
      </c>
      <c r="D1814">
        <v>0</v>
      </c>
      <c r="E1814" t="s">
        <v>9</v>
      </c>
      <c r="F1814" s="121">
        <v>4825</v>
      </c>
      <c r="G1814" s="103">
        <v>1288</v>
      </c>
      <c r="H1814" s="103" t="s">
        <v>3691</v>
      </c>
    </row>
    <row r="1815" spans="2:8" x14ac:dyDescent="0.25">
      <c r="B1815">
        <v>1813</v>
      </c>
      <c r="C1815" t="s">
        <v>3692</v>
      </c>
      <c r="D1815" t="s">
        <v>3693</v>
      </c>
      <c r="E1815" t="s">
        <v>21</v>
      </c>
      <c r="F1815" s="121" t="s">
        <v>44</v>
      </c>
      <c r="G1815" s="103" t="s">
        <v>37</v>
      </c>
      <c r="H1815" s="103" t="s">
        <v>3694</v>
      </c>
    </row>
    <row r="1816" spans="2:8" x14ac:dyDescent="0.25">
      <c r="B1816">
        <v>1814</v>
      </c>
      <c r="C1816" t="s">
        <v>3695</v>
      </c>
      <c r="D1816">
        <v>0</v>
      </c>
      <c r="E1816" t="s">
        <v>9</v>
      </c>
      <c r="F1816" s="121">
        <v>4379</v>
      </c>
      <c r="G1816" s="103">
        <v>1288</v>
      </c>
      <c r="H1816" s="103" t="s">
        <v>3696</v>
      </c>
    </row>
    <row r="1817" spans="2:8" x14ac:dyDescent="0.25">
      <c r="B1817">
        <v>1815</v>
      </c>
      <c r="C1817" t="s">
        <v>3697</v>
      </c>
      <c r="D1817" t="s">
        <v>3698</v>
      </c>
      <c r="E1817" t="s">
        <v>35</v>
      </c>
      <c r="F1817" s="121" t="s">
        <v>36</v>
      </c>
      <c r="G1817" s="103" t="s">
        <v>37</v>
      </c>
      <c r="H1817" s="103" t="s">
        <v>3699</v>
      </c>
    </row>
    <row r="1818" spans="2:8" x14ac:dyDescent="0.25">
      <c r="B1818">
        <v>1816</v>
      </c>
      <c r="C1818" t="s">
        <v>3700</v>
      </c>
      <c r="D1818" t="s">
        <v>3701</v>
      </c>
      <c r="E1818" t="s">
        <v>9</v>
      </c>
      <c r="F1818" s="121">
        <v>4818</v>
      </c>
      <c r="G1818" s="103">
        <v>1288</v>
      </c>
      <c r="H1818" s="103" t="s">
        <v>3702</v>
      </c>
    </row>
    <row r="1819" spans="2:8" x14ac:dyDescent="0.25">
      <c r="B1819">
        <v>1817</v>
      </c>
      <c r="C1819" t="s">
        <v>3703</v>
      </c>
      <c r="D1819">
        <v>0</v>
      </c>
      <c r="E1819" t="s">
        <v>9</v>
      </c>
      <c r="F1819" s="121">
        <v>4825</v>
      </c>
      <c r="G1819" s="123">
        <v>13</v>
      </c>
      <c r="H1819" s="103" t="s">
        <v>3704</v>
      </c>
    </row>
    <row r="1820" spans="2:8" x14ac:dyDescent="0.25">
      <c r="B1820">
        <v>1818</v>
      </c>
      <c r="C1820" t="s">
        <v>3705</v>
      </c>
      <c r="D1820">
        <v>0</v>
      </c>
      <c r="E1820" t="s">
        <v>9</v>
      </c>
      <c r="F1820" s="121">
        <v>949</v>
      </c>
      <c r="G1820" s="123">
        <v>23</v>
      </c>
      <c r="H1820" s="103" t="s">
        <v>3706</v>
      </c>
    </row>
    <row r="1821" spans="2:8" x14ac:dyDescent="0.25">
      <c r="B1821">
        <v>1819</v>
      </c>
      <c r="C1821" t="s">
        <v>3707</v>
      </c>
      <c r="D1821">
        <v>0</v>
      </c>
      <c r="E1821" t="s">
        <v>21</v>
      </c>
      <c r="F1821" s="121">
        <v>3532</v>
      </c>
      <c r="G1821" s="103" t="s">
        <v>37</v>
      </c>
      <c r="H1821" s="103" t="s">
        <v>3708</v>
      </c>
    </row>
    <row r="1822" spans="2:8" x14ac:dyDescent="0.25">
      <c r="B1822">
        <v>1820</v>
      </c>
      <c r="C1822" t="s">
        <v>3709</v>
      </c>
      <c r="D1822">
        <v>0</v>
      </c>
      <c r="E1822" t="s">
        <v>35</v>
      </c>
      <c r="F1822" s="121" t="s">
        <v>670</v>
      </c>
      <c r="G1822" s="103" t="s">
        <v>37</v>
      </c>
      <c r="H1822" s="103" t="s">
        <v>3710</v>
      </c>
    </row>
    <row r="1823" spans="2:8" x14ac:dyDescent="0.25">
      <c r="B1823">
        <v>1821</v>
      </c>
      <c r="C1823" t="s">
        <v>3711</v>
      </c>
      <c r="D1823">
        <v>0</v>
      </c>
      <c r="E1823" t="s">
        <v>9</v>
      </c>
      <c r="F1823" s="121">
        <v>949</v>
      </c>
      <c r="G1823" s="103">
        <v>1288</v>
      </c>
      <c r="H1823" s="103" t="s">
        <v>3712</v>
      </c>
    </row>
    <row r="1824" spans="2:8" x14ac:dyDescent="0.25">
      <c r="B1824">
        <v>1822</v>
      </c>
      <c r="C1824" t="s">
        <v>3713</v>
      </c>
      <c r="D1824">
        <v>0</v>
      </c>
      <c r="E1824" t="s">
        <v>21</v>
      </c>
      <c r="F1824" s="121">
        <v>3801</v>
      </c>
      <c r="G1824" s="103" t="s">
        <v>37</v>
      </c>
      <c r="H1824" s="103" t="s">
        <v>3714</v>
      </c>
    </row>
    <row r="1825" spans="2:8" x14ac:dyDescent="0.25">
      <c r="B1825">
        <v>1823</v>
      </c>
      <c r="C1825" t="s">
        <v>3715</v>
      </c>
      <c r="D1825">
        <v>0</v>
      </c>
      <c r="E1825" t="s">
        <v>9</v>
      </c>
      <c r="F1825" s="121">
        <v>4825</v>
      </c>
      <c r="G1825" s="103">
        <v>1288</v>
      </c>
      <c r="H1825" s="103" t="s">
        <v>3716</v>
      </c>
    </row>
    <row r="1826" spans="2:8" x14ac:dyDescent="0.25">
      <c r="B1826">
        <v>1824</v>
      </c>
      <c r="C1826" t="s">
        <v>3717</v>
      </c>
      <c r="D1826">
        <v>0</v>
      </c>
      <c r="E1826" t="s">
        <v>35</v>
      </c>
      <c r="F1826" s="121" t="s">
        <v>36</v>
      </c>
      <c r="G1826" s="103" t="s">
        <v>37</v>
      </c>
      <c r="H1826" s="103" t="s">
        <v>3718</v>
      </c>
    </row>
    <row r="1827" spans="2:8" x14ac:dyDescent="0.25">
      <c r="B1827">
        <v>1825</v>
      </c>
      <c r="C1827" t="s">
        <v>3719</v>
      </c>
      <c r="D1827">
        <v>0</v>
      </c>
      <c r="E1827" t="s">
        <v>21</v>
      </c>
      <c r="F1827" s="121">
        <v>3655</v>
      </c>
      <c r="G1827" s="103" t="s">
        <v>37</v>
      </c>
      <c r="H1827" s="103" t="s">
        <v>3720</v>
      </c>
    </row>
    <row r="1828" spans="2:8" x14ac:dyDescent="0.25">
      <c r="B1828">
        <v>1826</v>
      </c>
      <c r="C1828" t="s">
        <v>3721</v>
      </c>
      <c r="D1828">
        <v>0</v>
      </c>
      <c r="E1828" t="s">
        <v>9</v>
      </c>
      <c r="F1828" s="121">
        <v>1086</v>
      </c>
      <c r="G1828" s="123">
        <v>13</v>
      </c>
      <c r="H1828" s="103" t="s">
        <v>3722</v>
      </c>
    </row>
    <row r="1829" spans="2:8" x14ac:dyDescent="0.25">
      <c r="B1829">
        <v>1827</v>
      </c>
      <c r="C1829" t="s">
        <v>3723</v>
      </c>
      <c r="D1829" t="s">
        <v>3724</v>
      </c>
      <c r="E1829" t="s">
        <v>9</v>
      </c>
      <c r="F1829" s="121">
        <v>949</v>
      </c>
      <c r="G1829" s="123">
        <v>13</v>
      </c>
      <c r="H1829" s="103" t="s">
        <v>3725</v>
      </c>
    </row>
    <row r="1830" spans="2:8" x14ac:dyDescent="0.25">
      <c r="B1830">
        <v>1828</v>
      </c>
      <c r="C1830" t="s">
        <v>3726</v>
      </c>
      <c r="D1830">
        <v>0</v>
      </c>
      <c r="E1830" t="s">
        <v>9</v>
      </c>
      <c r="F1830" s="121">
        <v>4825</v>
      </c>
      <c r="G1830" s="123">
        <v>13</v>
      </c>
      <c r="H1830" s="103" t="s">
        <v>3727</v>
      </c>
    </row>
    <row r="1831" spans="2:8" x14ac:dyDescent="0.25">
      <c r="B1831">
        <v>1829</v>
      </c>
      <c r="C1831" t="s">
        <v>3728</v>
      </c>
      <c r="D1831">
        <v>0</v>
      </c>
      <c r="E1831" t="s">
        <v>21</v>
      </c>
      <c r="F1831" s="121">
        <v>3801</v>
      </c>
      <c r="G1831" s="103" t="s">
        <v>37</v>
      </c>
      <c r="H1831" s="103" t="s">
        <v>3729</v>
      </c>
    </row>
    <row r="1832" spans="2:8" x14ac:dyDescent="0.25">
      <c r="B1832">
        <v>1830</v>
      </c>
      <c r="C1832" t="s">
        <v>3730</v>
      </c>
      <c r="D1832">
        <v>0</v>
      </c>
      <c r="E1832" t="s">
        <v>9</v>
      </c>
      <c r="F1832" s="121">
        <v>4825</v>
      </c>
      <c r="G1832" s="103">
        <v>13</v>
      </c>
      <c r="H1832" s="103" t="s">
        <v>3731</v>
      </c>
    </row>
    <row r="1833" spans="2:8" x14ac:dyDescent="0.25">
      <c r="B1833">
        <v>1831</v>
      </c>
      <c r="C1833" t="s">
        <v>3732</v>
      </c>
      <c r="D1833">
        <v>0</v>
      </c>
      <c r="E1833" t="s">
        <v>9</v>
      </c>
      <c r="F1833" s="121">
        <v>2734</v>
      </c>
      <c r="G1833" s="103">
        <v>1288</v>
      </c>
      <c r="H1833" s="103" t="s">
        <v>3733</v>
      </c>
    </row>
    <row r="1834" spans="2:8" x14ac:dyDescent="0.25">
      <c r="B1834">
        <v>1832</v>
      </c>
      <c r="C1834" t="s">
        <v>3734</v>
      </c>
      <c r="D1834" t="s">
        <v>3735</v>
      </c>
      <c r="E1834" t="s">
        <v>9</v>
      </c>
      <c r="F1834" s="121">
        <v>4825</v>
      </c>
      <c r="G1834" s="103">
        <v>1288</v>
      </c>
      <c r="H1834" s="103" t="s">
        <v>3736</v>
      </c>
    </row>
    <row r="1835" spans="2:8" x14ac:dyDescent="0.25">
      <c r="B1835">
        <v>1833</v>
      </c>
      <c r="C1835" t="s">
        <v>1470</v>
      </c>
      <c r="D1835">
        <v>0</v>
      </c>
      <c r="E1835" t="s">
        <v>9</v>
      </c>
      <c r="F1835" s="121">
        <v>4825</v>
      </c>
      <c r="G1835" s="123">
        <v>13</v>
      </c>
      <c r="H1835" s="103" t="s">
        <v>1471</v>
      </c>
    </row>
    <row r="1836" spans="2:8" x14ac:dyDescent="0.25">
      <c r="B1836">
        <v>1834</v>
      </c>
      <c r="C1836" t="s">
        <v>3737</v>
      </c>
      <c r="D1836">
        <v>0</v>
      </c>
      <c r="E1836" t="s">
        <v>9</v>
      </c>
      <c r="F1836" s="121">
        <v>4825</v>
      </c>
      <c r="G1836" s="103">
        <v>1288</v>
      </c>
      <c r="H1836" s="103" t="s">
        <v>3738</v>
      </c>
    </row>
    <row r="1837" spans="2:8" x14ac:dyDescent="0.25">
      <c r="B1837">
        <v>1835</v>
      </c>
      <c r="C1837" t="s">
        <v>3739</v>
      </c>
      <c r="D1837">
        <v>0</v>
      </c>
      <c r="E1837" t="s">
        <v>9</v>
      </c>
      <c r="F1837" s="121">
        <v>4825</v>
      </c>
      <c r="G1837" s="103">
        <v>1288</v>
      </c>
      <c r="H1837" s="103" t="s">
        <v>3740</v>
      </c>
    </row>
    <row r="1838" spans="2:8" x14ac:dyDescent="0.25">
      <c r="B1838">
        <v>1836</v>
      </c>
      <c r="C1838" t="s">
        <v>3741</v>
      </c>
      <c r="D1838">
        <v>0</v>
      </c>
      <c r="E1838" t="s">
        <v>9</v>
      </c>
      <c r="F1838" s="121">
        <v>4132</v>
      </c>
      <c r="G1838" s="123">
        <v>13</v>
      </c>
      <c r="H1838" s="103" t="s">
        <v>3742</v>
      </c>
    </row>
    <row r="1839" spans="2:8" x14ac:dyDescent="0.25">
      <c r="B1839">
        <v>1837</v>
      </c>
      <c r="C1839" t="s">
        <v>3743</v>
      </c>
      <c r="D1839">
        <v>0</v>
      </c>
      <c r="E1839" t="s">
        <v>21</v>
      </c>
      <c r="F1839" s="121">
        <v>2018</v>
      </c>
      <c r="G1839" s="103" t="s">
        <v>37</v>
      </c>
      <c r="H1839" s="103" t="s">
        <v>3744</v>
      </c>
    </row>
    <row r="1840" spans="2:8" x14ac:dyDescent="0.25">
      <c r="B1840">
        <v>1838</v>
      </c>
      <c r="C1840" t="s">
        <v>3745</v>
      </c>
      <c r="D1840">
        <v>0</v>
      </c>
      <c r="E1840" t="s">
        <v>9</v>
      </c>
      <c r="F1840" s="121">
        <v>780</v>
      </c>
      <c r="G1840" s="103">
        <v>1288</v>
      </c>
      <c r="H1840" s="103" t="s">
        <v>3746</v>
      </c>
    </row>
    <row r="1841" spans="2:8" x14ac:dyDescent="0.25">
      <c r="B1841">
        <v>1839</v>
      </c>
      <c r="C1841" t="s">
        <v>3747</v>
      </c>
      <c r="D1841">
        <v>0</v>
      </c>
      <c r="E1841" t="s">
        <v>21</v>
      </c>
      <c r="F1841" s="121">
        <v>3862</v>
      </c>
      <c r="G1841" s="103" t="s">
        <v>22</v>
      </c>
      <c r="H1841" s="103" t="s">
        <v>3748</v>
      </c>
    </row>
    <row r="1842" spans="2:8" x14ac:dyDescent="0.25">
      <c r="B1842">
        <v>1840</v>
      </c>
      <c r="C1842" t="s">
        <v>3749</v>
      </c>
      <c r="D1842">
        <v>0</v>
      </c>
      <c r="E1842" t="s">
        <v>21</v>
      </c>
      <c r="F1842" s="121">
        <v>7320</v>
      </c>
      <c r="G1842" s="103" t="s">
        <v>22</v>
      </c>
      <c r="H1842" s="103" t="s">
        <v>3750</v>
      </c>
    </row>
    <row r="1843" spans="2:8" x14ac:dyDescent="0.25">
      <c r="B1843">
        <v>1841</v>
      </c>
      <c r="C1843" t="s">
        <v>2928</v>
      </c>
      <c r="D1843">
        <v>0</v>
      </c>
      <c r="E1843" t="s">
        <v>21</v>
      </c>
      <c r="F1843" s="121">
        <v>3801</v>
      </c>
      <c r="G1843" s="103" t="s">
        <v>22</v>
      </c>
      <c r="H1843" s="103" t="s">
        <v>2930</v>
      </c>
    </row>
    <row r="1844" spans="2:8" x14ac:dyDescent="0.25">
      <c r="B1844">
        <v>1842</v>
      </c>
      <c r="C1844" t="s">
        <v>3751</v>
      </c>
      <c r="D1844">
        <v>0</v>
      </c>
      <c r="E1844" t="s">
        <v>9</v>
      </c>
      <c r="F1844" s="121">
        <v>4825</v>
      </c>
      <c r="G1844" s="123">
        <v>13</v>
      </c>
      <c r="H1844" s="103" t="s">
        <v>3752</v>
      </c>
    </row>
    <row r="1845" spans="2:8" x14ac:dyDescent="0.25">
      <c r="B1845">
        <v>1843</v>
      </c>
      <c r="C1845" t="s">
        <v>3753</v>
      </c>
      <c r="D1845">
        <v>0</v>
      </c>
      <c r="E1845" t="s">
        <v>35</v>
      </c>
      <c r="F1845" s="121" t="s">
        <v>761</v>
      </c>
      <c r="G1845" s="103" t="s">
        <v>22</v>
      </c>
      <c r="H1845" s="103" t="s">
        <v>3754</v>
      </c>
    </row>
    <row r="1846" spans="2:8" x14ac:dyDescent="0.25">
      <c r="B1846">
        <v>1844</v>
      </c>
      <c r="C1846" t="s">
        <v>3755</v>
      </c>
      <c r="D1846">
        <v>0</v>
      </c>
      <c r="E1846" t="s">
        <v>21</v>
      </c>
      <c r="F1846" s="121">
        <v>3801</v>
      </c>
      <c r="G1846" s="103" t="s">
        <v>37</v>
      </c>
      <c r="H1846" s="103" t="s">
        <v>3756</v>
      </c>
    </row>
    <row r="1847" spans="2:8" x14ac:dyDescent="0.25">
      <c r="B1847">
        <v>1845</v>
      </c>
      <c r="C1847" t="s">
        <v>3757</v>
      </c>
      <c r="D1847">
        <v>0</v>
      </c>
      <c r="E1847" t="s">
        <v>35</v>
      </c>
      <c r="F1847" s="121" t="s">
        <v>36</v>
      </c>
      <c r="G1847" s="103" t="s">
        <v>37</v>
      </c>
      <c r="H1847" s="103" t="s">
        <v>3392</v>
      </c>
    </row>
    <row r="1848" spans="2:8" x14ac:dyDescent="0.25">
      <c r="B1848">
        <v>1846</v>
      </c>
      <c r="C1848" t="s">
        <v>3758</v>
      </c>
      <c r="D1848">
        <v>0</v>
      </c>
      <c r="E1848" t="s">
        <v>9</v>
      </c>
      <c r="F1848" s="121">
        <v>4825</v>
      </c>
      <c r="G1848" s="123">
        <v>13</v>
      </c>
      <c r="H1848" s="103" t="s">
        <v>3759</v>
      </c>
    </row>
    <row r="1849" spans="2:8" x14ac:dyDescent="0.25">
      <c r="B1849">
        <v>1847</v>
      </c>
      <c r="C1849" t="s">
        <v>3760</v>
      </c>
      <c r="D1849">
        <v>0</v>
      </c>
      <c r="E1849" t="s">
        <v>35</v>
      </c>
      <c r="F1849" s="121" t="s">
        <v>36</v>
      </c>
      <c r="G1849" s="103" t="s">
        <v>37</v>
      </c>
      <c r="H1849" s="103" t="s">
        <v>3761</v>
      </c>
    </row>
    <row r="1850" spans="2:8" x14ac:dyDescent="0.25">
      <c r="B1850">
        <v>1848</v>
      </c>
      <c r="C1850" t="s">
        <v>3762</v>
      </c>
      <c r="D1850">
        <v>0</v>
      </c>
      <c r="E1850" t="s">
        <v>35</v>
      </c>
      <c r="F1850" s="121" t="s">
        <v>36</v>
      </c>
      <c r="G1850" s="103" t="s">
        <v>22</v>
      </c>
      <c r="H1850" s="103" t="s">
        <v>3763</v>
      </c>
    </row>
    <row r="1851" spans="2:8" x14ac:dyDescent="0.25">
      <c r="B1851">
        <v>1849</v>
      </c>
      <c r="C1851" t="s">
        <v>3764</v>
      </c>
      <c r="D1851">
        <v>0</v>
      </c>
      <c r="E1851" t="s">
        <v>35</v>
      </c>
      <c r="F1851" s="121" t="s">
        <v>36</v>
      </c>
      <c r="G1851" s="103" t="s">
        <v>37</v>
      </c>
      <c r="H1851" s="103" t="s">
        <v>3765</v>
      </c>
    </row>
    <row r="1852" spans="2:8" x14ac:dyDescent="0.25">
      <c r="B1852">
        <v>1850</v>
      </c>
      <c r="C1852" t="s">
        <v>1144</v>
      </c>
      <c r="D1852">
        <v>0</v>
      </c>
      <c r="E1852" t="s">
        <v>21</v>
      </c>
      <c r="F1852" s="121">
        <v>3801</v>
      </c>
      <c r="G1852" s="103" t="s">
        <v>37</v>
      </c>
      <c r="H1852" s="103" t="s">
        <v>3766</v>
      </c>
    </row>
    <row r="1853" spans="2:8" x14ac:dyDescent="0.25">
      <c r="B1853">
        <v>1851</v>
      </c>
      <c r="C1853" t="s">
        <v>3767</v>
      </c>
      <c r="D1853">
        <v>0</v>
      </c>
      <c r="E1853" t="s">
        <v>21</v>
      </c>
      <c r="F1853" s="121">
        <v>3655</v>
      </c>
      <c r="G1853" s="103" t="s">
        <v>37</v>
      </c>
      <c r="H1853" s="103" t="s">
        <v>3768</v>
      </c>
    </row>
    <row r="1854" spans="2:8" x14ac:dyDescent="0.25">
      <c r="B1854">
        <v>1852</v>
      </c>
      <c r="C1854" t="s">
        <v>3769</v>
      </c>
      <c r="D1854" t="s">
        <v>5154</v>
      </c>
      <c r="E1854" t="s">
        <v>21</v>
      </c>
      <c r="F1854" s="121" t="s">
        <v>44</v>
      </c>
      <c r="H1854" s="103" t="s">
        <v>5116</v>
      </c>
    </row>
    <row r="1855" spans="2:8" x14ac:dyDescent="0.25">
      <c r="B1855">
        <v>1853</v>
      </c>
      <c r="C1855" t="s">
        <v>3771</v>
      </c>
      <c r="D1855">
        <v>0</v>
      </c>
      <c r="E1855" t="s">
        <v>9</v>
      </c>
      <c r="F1855" s="121">
        <v>4825</v>
      </c>
      <c r="G1855" s="123">
        <v>13</v>
      </c>
      <c r="H1855" s="103" t="s">
        <v>3772</v>
      </c>
    </row>
    <row r="1856" spans="2:8" x14ac:dyDescent="0.25">
      <c r="B1856">
        <v>1854</v>
      </c>
      <c r="C1856" t="s">
        <v>3773</v>
      </c>
      <c r="D1856">
        <v>0</v>
      </c>
      <c r="E1856" t="s">
        <v>9</v>
      </c>
      <c r="F1856" s="121">
        <v>4825</v>
      </c>
      <c r="G1856" s="103">
        <v>1288</v>
      </c>
      <c r="H1856" s="103" t="s">
        <v>3774</v>
      </c>
    </row>
    <row r="1857" spans="2:8" x14ac:dyDescent="0.25">
      <c r="B1857">
        <v>1855</v>
      </c>
      <c r="C1857" t="s">
        <v>3775</v>
      </c>
      <c r="D1857">
        <v>0</v>
      </c>
      <c r="E1857" t="s">
        <v>9</v>
      </c>
      <c r="F1857" s="121">
        <v>1168</v>
      </c>
      <c r="G1857" s="123">
        <v>13</v>
      </c>
      <c r="H1857" s="103" t="s">
        <v>3776</v>
      </c>
    </row>
    <row r="1858" spans="2:8" x14ac:dyDescent="0.25">
      <c r="B1858">
        <v>1856</v>
      </c>
      <c r="C1858" t="s">
        <v>3777</v>
      </c>
      <c r="D1858">
        <v>0</v>
      </c>
      <c r="E1858" t="s">
        <v>21</v>
      </c>
      <c r="F1858" s="121">
        <v>3801</v>
      </c>
      <c r="G1858" s="103" t="s">
        <v>37</v>
      </c>
      <c r="H1858" s="103" t="s">
        <v>3778</v>
      </c>
    </row>
    <row r="1859" spans="2:8" x14ac:dyDescent="0.25">
      <c r="B1859">
        <v>1857</v>
      </c>
      <c r="C1859" t="s">
        <v>3779</v>
      </c>
      <c r="D1859">
        <v>0</v>
      </c>
      <c r="E1859" t="s">
        <v>35</v>
      </c>
      <c r="F1859" s="121" t="s">
        <v>36</v>
      </c>
      <c r="G1859" s="103" t="s">
        <v>22</v>
      </c>
      <c r="H1859" s="103" t="s">
        <v>3763</v>
      </c>
    </row>
    <row r="1860" spans="2:8" x14ac:dyDescent="0.25">
      <c r="B1860">
        <v>1858</v>
      </c>
      <c r="C1860" t="s">
        <v>3780</v>
      </c>
      <c r="D1860">
        <v>0</v>
      </c>
      <c r="E1860" t="s">
        <v>21</v>
      </c>
      <c r="F1860" s="121">
        <v>354</v>
      </c>
      <c r="G1860" s="103" t="s">
        <v>37</v>
      </c>
      <c r="H1860" s="103" t="s">
        <v>3781</v>
      </c>
    </row>
    <row r="1861" spans="2:8" x14ac:dyDescent="0.25">
      <c r="B1861">
        <v>1859</v>
      </c>
      <c r="C1861" t="s">
        <v>1306</v>
      </c>
      <c r="D1861">
        <v>0</v>
      </c>
      <c r="E1861" t="s">
        <v>9</v>
      </c>
      <c r="F1861" s="121">
        <v>4825</v>
      </c>
      <c r="G1861" s="103">
        <v>1288</v>
      </c>
      <c r="H1861" s="103" t="s">
        <v>3782</v>
      </c>
    </row>
    <row r="1862" spans="2:8" x14ac:dyDescent="0.25">
      <c r="B1862">
        <v>1860</v>
      </c>
      <c r="C1862" t="s">
        <v>3783</v>
      </c>
      <c r="D1862">
        <v>0</v>
      </c>
      <c r="E1862" t="s">
        <v>9</v>
      </c>
      <c r="F1862" s="121">
        <v>4818</v>
      </c>
      <c r="G1862" s="123">
        <v>13</v>
      </c>
      <c r="H1862" s="103" t="s">
        <v>3784</v>
      </c>
    </row>
    <row r="1863" spans="2:8" x14ac:dyDescent="0.25">
      <c r="B1863">
        <v>1861</v>
      </c>
      <c r="C1863" t="s">
        <v>3785</v>
      </c>
      <c r="D1863">
        <v>0</v>
      </c>
      <c r="E1863" t="s">
        <v>9</v>
      </c>
      <c r="F1863" s="121">
        <v>4818</v>
      </c>
      <c r="G1863" s="123">
        <v>23</v>
      </c>
      <c r="H1863" s="103" t="s">
        <v>2201</v>
      </c>
    </row>
    <row r="1864" spans="2:8" x14ac:dyDescent="0.25">
      <c r="B1864">
        <v>1862</v>
      </c>
      <c r="C1864" t="s">
        <v>3786</v>
      </c>
      <c r="D1864">
        <v>0</v>
      </c>
      <c r="E1864" t="s">
        <v>35</v>
      </c>
      <c r="F1864" s="121" t="s">
        <v>670</v>
      </c>
      <c r="G1864" s="103" t="s">
        <v>37</v>
      </c>
      <c r="H1864" s="103" t="s">
        <v>3787</v>
      </c>
    </row>
    <row r="1865" spans="2:8" x14ac:dyDescent="0.25">
      <c r="B1865">
        <v>1863</v>
      </c>
      <c r="C1865" t="s">
        <v>3788</v>
      </c>
      <c r="D1865">
        <v>0</v>
      </c>
      <c r="E1865" t="s">
        <v>9</v>
      </c>
      <c r="F1865" s="121">
        <v>3280</v>
      </c>
      <c r="G1865" s="123">
        <v>13</v>
      </c>
      <c r="H1865" s="103" t="s">
        <v>3789</v>
      </c>
    </row>
    <row r="1866" spans="2:8" x14ac:dyDescent="0.25">
      <c r="B1866">
        <v>1864</v>
      </c>
      <c r="C1866" t="s">
        <v>3790</v>
      </c>
      <c r="D1866">
        <v>0</v>
      </c>
      <c r="E1866" t="s">
        <v>9</v>
      </c>
      <c r="F1866" s="121">
        <v>4601</v>
      </c>
      <c r="G1866" s="123">
        <v>13</v>
      </c>
      <c r="H1866" s="103" t="s">
        <v>3791</v>
      </c>
    </row>
    <row r="1867" spans="2:8" x14ac:dyDescent="0.25">
      <c r="B1867">
        <v>1865</v>
      </c>
      <c r="C1867" t="s">
        <v>3792</v>
      </c>
      <c r="D1867">
        <v>0</v>
      </c>
      <c r="E1867" t="s">
        <v>9</v>
      </c>
      <c r="F1867" s="121">
        <v>780</v>
      </c>
      <c r="G1867" s="103">
        <v>1288</v>
      </c>
      <c r="H1867" s="103" t="s">
        <v>3793</v>
      </c>
    </row>
    <row r="1868" spans="2:8" x14ac:dyDescent="0.25">
      <c r="B1868">
        <v>1866</v>
      </c>
      <c r="C1868" t="s">
        <v>3794</v>
      </c>
      <c r="D1868" t="s">
        <v>3795</v>
      </c>
      <c r="E1868" t="s">
        <v>9</v>
      </c>
      <c r="F1868" s="121">
        <v>949</v>
      </c>
      <c r="G1868" s="123">
        <v>23</v>
      </c>
      <c r="H1868" s="103" t="s">
        <v>3796</v>
      </c>
    </row>
    <row r="1869" spans="2:8" x14ac:dyDescent="0.25">
      <c r="B1869">
        <v>1867</v>
      </c>
      <c r="C1869" t="s">
        <v>3797</v>
      </c>
      <c r="D1869" t="s">
        <v>3798</v>
      </c>
      <c r="E1869" t="s">
        <v>9</v>
      </c>
      <c r="F1869" s="121">
        <v>4825</v>
      </c>
      <c r="G1869" s="123">
        <v>1288</v>
      </c>
      <c r="H1869" s="103" t="s">
        <v>3799</v>
      </c>
    </row>
    <row r="1870" spans="2:8" x14ac:dyDescent="0.25">
      <c r="B1870">
        <v>1868</v>
      </c>
      <c r="C1870" t="s">
        <v>3800</v>
      </c>
      <c r="D1870">
        <v>0</v>
      </c>
      <c r="E1870" t="s">
        <v>21</v>
      </c>
      <c r="F1870" s="121">
        <v>3871</v>
      </c>
      <c r="G1870" s="103" t="s">
        <v>22</v>
      </c>
      <c r="H1870" s="103" t="s">
        <v>3801</v>
      </c>
    </row>
    <row r="1871" spans="2:8" x14ac:dyDescent="0.25">
      <c r="B1871">
        <v>1869</v>
      </c>
      <c r="C1871" t="s">
        <v>3802</v>
      </c>
      <c r="D1871">
        <v>0</v>
      </c>
      <c r="E1871" t="s">
        <v>21</v>
      </c>
      <c r="F1871" s="121">
        <v>3801</v>
      </c>
      <c r="G1871" s="103" t="s">
        <v>37</v>
      </c>
      <c r="H1871" s="103" t="s">
        <v>3803</v>
      </c>
    </row>
    <row r="1872" spans="2:8" x14ac:dyDescent="0.25">
      <c r="B1872">
        <v>1870</v>
      </c>
      <c r="C1872" t="s">
        <v>3804</v>
      </c>
      <c r="D1872">
        <v>0</v>
      </c>
      <c r="E1872" t="s">
        <v>9</v>
      </c>
      <c r="F1872" s="121">
        <v>4825</v>
      </c>
      <c r="G1872" s="123">
        <v>13</v>
      </c>
      <c r="H1872" s="103" t="s">
        <v>3805</v>
      </c>
    </row>
    <row r="1873" spans="2:8" x14ac:dyDescent="0.25">
      <c r="B1873">
        <v>1871</v>
      </c>
      <c r="C1873" t="s">
        <v>3806</v>
      </c>
      <c r="D1873">
        <v>0</v>
      </c>
      <c r="E1873" t="s">
        <v>9</v>
      </c>
      <c r="F1873" s="121">
        <v>4818</v>
      </c>
      <c r="G1873" s="123">
        <v>13</v>
      </c>
      <c r="H1873" s="103" t="s">
        <v>3807</v>
      </c>
    </row>
    <row r="1874" spans="2:8" x14ac:dyDescent="0.25">
      <c r="B1874">
        <v>1872</v>
      </c>
      <c r="C1874" t="s">
        <v>3808</v>
      </c>
      <c r="D1874">
        <v>0</v>
      </c>
      <c r="E1874" t="s">
        <v>21</v>
      </c>
      <c r="F1874" s="121">
        <v>3532</v>
      </c>
      <c r="G1874" s="103" t="s">
        <v>22</v>
      </c>
      <c r="H1874" s="103" t="s">
        <v>3809</v>
      </c>
    </row>
    <row r="1875" spans="2:8" x14ac:dyDescent="0.25">
      <c r="B1875">
        <v>1873</v>
      </c>
      <c r="C1875" t="s">
        <v>3810</v>
      </c>
      <c r="D1875">
        <v>0</v>
      </c>
      <c r="E1875" t="s">
        <v>9</v>
      </c>
      <c r="F1875" s="121">
        <v>780</v>
      </c>
      <c r="G1875" s="123">
        <v>13</v>
      </c>
      <c r="H1875" s="103" t="s">
        <v>3811</v>
      </c>
    </row>
    <row r="1876" spans="2:8" x14ac:dyDescent="0.25">
      <c r="B1876">
        <v>1874</v>
      </c>
      <c r="C1876" t="s">
        <v>3812</v>
      </c>
      <c r="D1876">
        <v>0</v>
      </c>
      <c r="E1876" t="s">
        <v>9</v>
      </c>
      <c r="F1876" s="121">
        <v>4825</v>
      </c>
      <c r="G1876" s="123">
        <v>13</v>
      </c>
      <c r="H1876" s="103" t="s">
        <v>3813</v>
      </c>
    </row>
    <row r="1877" spans="2:8" x14ac:dyDescent="0.25">
      <c r="B1877">
        <v>1875</v>
      </c>
      <c r="C1877" t="s">
        <v>3814</v>
      </c>
      <c r="D1877" t="s">
        <v>3815</v>
      </c>
      <c r="E1877" t="s">
        <v>9</v>
      </c>
      <c r="F1877" s="121">
        <v>4825</v>
      </c>
      <c r="G1877" s="123">
        <v>13</v>
      </c>
      <c r="H1877" s="103" t="s">
        <v>3816</v>
      </c>
    </row>
    <row r="1878" spans="2:8" x14ac:dyDescent="0.25">
      <c r="B1878">
        <v>1876</v>
      </c>
      <c r="C1878" t="s">
        <v>3817</v>
      </c>
      <c r="D1878">
        <v>0</v>
      </c>
      <c r="E1878" t="s">
        <v>35</v>
      </c>
      <c r="F1878" s="121" t="s">
        <v>36</v>
      </c>
      <c r="G1878" s="103" t="s">
        <v>22</v>
      </c>
      <c r="H1878" s="103" t="s">
        <v>3818</v>
      </c>
    </row>
    <row r="1879" spans="2:8" x14ac:dyDescent="0.25">
      <c r="B1879">
        <v>1877</v>
      </c>
      <c r="C1879" t="s">
        <v>3819</v>
      </c>
      <c r="D1879">
        <v>0</v>
      </c>
      <c r="E1879" t="s">
        <v>9</v>
      </c>
      <c r="F1879" s="121">
        <v>949</v>
      </c>
      <c r="G1879" s="123">
        <v>13</v>
      </c>
      <c r="H1879" s="103" t="s">
        <v>3820</v>
      </c>
    </row>
    <row r="1880" spans="2:8" x14ac:dyDescent="0.25">
      <c r="B1880">
        <v>1878</v>
      </c>
      <c r="C1880" t="s">
        <v>3821</v>
      </c>
      <c r="D1880">
        <v>0</v>
      </c>
      <c r="E1880" t="s">
        <v>21</v>
      </c>
      <c r="F1880" s="121">
        <v>3801</v>
      </c>
      <c r="G1880" s="103" t="s">
        <v>22</v>
      </c>
      <c r="H1880" s="103" t="s">
        <v>3822</v>
      </c>
    </row>
    <row r="1881" spans="2:8" x14ac:dyDescent="0.25">
      <c r="B1881">
        <v>1879</v>
      </c>
      <c r="C1881" t="s">
        <v>3823</v>
      </c>
      <c r="D1881">
        <v>0</v>
      </c>
      <c r="E1881" t="s">
        <v>9</v>
      </c>
      <c r="F1881" s="121">
        <v>4818</v>
      </c>
      <c r="G1881" s="123">
        <v>13</v>
      </c>
      <c r="H1881" s="103" t="s">
        <v>831</v>
      </c>
    </row>
    <row r="1882" spans="2:8" x14ac:dyDescent="0.25">
      <c r="B1882">
        <v>1880</v>
      </c>
      <c r="C1882" t="s">
        <v>3824</v>
      </c>
      <c r="D1882">
        <v>0</v>
      </c>
      <c r="E1882" t="s">
        <v>21</v>
      </c>
      <c r="F1882" s="121">
        <v>3801</v>
      </c>
      <c r="G1882" s="103" t="s">
        <v>37</v>
      </c>
      <c r="H1882" s="103" t="s">
        <v>3825</v>
      </c>
    </row>
    <row r="1883" spans="2:8" x14ac:dyDescent="0.25">
      <c r="B1883">
        <v>1881</v>
      </c>
      <c r="C1883" t="s">
        <v>3826</v>
      </c>
      <c r="D1883">
        <v>0</v>
      </c>
      <c r="E1883" t="s">
        <v>9</v>
      </c>
      <c r="F1883" s="121">
        <v>4825</v>
      </c>
      <c r="G1883" s="123">
        <v>13</v>
      </c>
      <c r="H1883" s="103" t="s">
        <v>3827</v>
      </c>
    </row>
    <row r="1884" spans="2:8" x14ac:dyDescent="0.25">
      <c r="B1884">
        <v>1882</v>
      </c>
      <c r="C1884" t="s">
        <v>3828</v>
      </c>
      <c r="D1884">
        <v>0</v>
      </c>
      <c r="E1884" t="s">
        <v>9</v>
      </c>
      <c r="F1884" s="121">
        <v>2374</v>
      </c>
      <c r="G1884" s="103">
        <v>1288</v>
      </c>
      <c r="H1884" s="103" t="s">
        <v>3829</v>
      </c>
    </row>
    <row r="1885" spans="2:8" x14ac:dyDescent="0.25">
      <c r="B1885">
        <v>1883</v>
      </c>
      <c r="C1885" t="s">
        <v>3830</v>
      </c>
      <c r="D1885">
        <v>0</v>
      </c>
      <c r="E1885" t="s">
        <v>9</v>
      </c>
      <c r="F1885" s="121">
        <v>4818</v>
      </c>
      <c r="G1885" s="123">
        <v>13</v>
      </c>
      <c r="H1885" s="103" t="s">
        <v>3831</v>
      </c>
    </row>
    <row r="1886" spans="2:8" x14ac:dyDescent="0.25">
      <c r="B1886">
        <v>1884</v>
      </c>
      <c r="C1886" t="s">
        <v>612</v>
      </c>
      <c r="D1886">
        <v>0</v>
      </c>
      <c r="E1886" t="s">
        <v>21</v>
      </c>
      <c r="F1886" s="121">
        <v>3801</v>
      </c>
      <c r="G1886" s="103" t="s">
        <v>37</v>
      </c>
      <c r="H1886" s="103" t="s">
        <v>613</v>
      </c>
    </row>
    <row r="1887" spans="2:8" x14ac:dyDescent="0.25">
      <c r="B1887">
        <v>1885</v>
      </c>
      <c r="C1887" t="s">
        <v>3832</v>
      </c>
      <c r="D1887">
        <v>0</v>
      </c>
      <c r="E1887" t="s">
        <v>9</v>
      </c>
      <c r="F1887" s="121">
        <v>780</v>
      </c>
      <c r="G1887" s="123">
        <v>13</v>
      </c>
      <c r="H1887" s="103" t="s">
        <v>3833</v>
      </c>
    </row>
    <row r="1888" spans="2:8" x14ac:dyDescent="0.25">
      <c r="B1888">
        <v>1886</v>
      </c>
      <c r="C1888" t="s">
        <v>3834</v>
      </c>
      <c r="D1888" t="s">
        <v>3835</v>
      </c>
      <c r="E1888" t="s">
        <v>9</v>
      </c>
      <c r="F1888" s="121">
        <v>4535</v>
      </c>
      <c r="G1888" s="123">
        <v>13</v>
      </c>
      <c r="H1888" s="103" t="s">
        <v>3836</v>
      </c>
    </row>
    <row r="1889" spans="2:8" x14ac:dyDescent="0.25">
      <c r="B1889">
        <v>1887</v>
      </c>
      <c r="C1889" t="s">
        <v>3837</v>
      </c>
      <c r="D1889">
        <v>0</v>
      </c>
      <c r="E1889" t="s">
        <v>21</v>
      </c>
      <c r="F1889" s="121">
        <v>3801</v>
      </c>
      <c r="G1889" s="103" t="s">
        <v>37</v>
      </c>
      <c r="H1889" s="103" t="s">
        <v>3838</v>
      </c>
    </row>
    <row r="1890" spans="2:8" x14ac:dyDescent="0.25">
      <c r="B1890">
        <v>1888</v>
      </c>
      <c r="C1890" t="s">
        <v>3839</v>
      </c>
      <c r="D1890">
        <v>0</v>
      </c>
      <c r="E1890" t="s">
        <v>9</v>
      </c>
      <c r="F1890" s="121">
        <v>4825</v>
      </c>
      <c r="G1890" s="103">
        <v>1288</v>
      </c>
      <c r="H1890" s="103" t="s">
        <v>3840</v>
      </c>
    </row>
    <row r="1891" spans="2:8" x14ac:dyDescent="0.25">
      <c r="B1891">
        <v>1889</v>
      </c>
      <c r="C1891" t="s">
        <v>3841</v>
      </c>
      <c r="D1891" t="s">
        <v>5301</v>
      </c>
      <c r="E1891" t="s">
        <v>9</v>
      </c>
      <c r="F1891" s="121">
        <v>4825</v>
      </c>
      <c r="H1891" s="103" t="s">
        <v>3842</v>
      </c>
    </row>
    <row r="1892" spans="2:8" x14ac:dyDescent="0.25">
      <c r="B1892">
        <v>1890</v>
      </c>
      <c r="C1892" t="s">
        <v>3843</v>
      </c>
      <c r="D1892">
        <v>0</v>
      </c>
      <c r="E1892" t="s">
        <v>9</v>
      </c>
      <c r="F1892" s="121">
        <v>4825</v>
      </c>
      <c r="G1892" s="123">
        <v>13</v>
      </c>
      <c r="H1892" s="103" t="s">
        <v>3844</v>
      </c>
    </row>
    <row r="1893" spans="2:8" x14ac:dyDescent="0.25">
      <c r="B1893">
        <v>1891</v>
      </c>
      <c r="C1893" t="s">
        <v>2691</v>
      </c>
      <c r="D1893">
        <v>0</v>
      </c>
      <c r="E1893" t="s">
        <v>9</v>
      </c>
      <c r="F1893" s="121">
        <v>4825</v>
      </c>
      <c r="G1893" s="123">
        <v>13</v>
      </c>
      <c r="H1893" s="103" t="s">
        <v>2692</v>
      </c>
    </row>
    <row r="1894" spans="2:8" x14ac:dyDescent="0.25">
      <c r="B1894">
        <v>1892</v>
      </c>
      <c r="C1894" t="s">
        <v>3845</v>
      </c>
      <c r="D1894">
        <v>0</v>
      </c>
      <c r="E1894" t="s">
        <v>9</v>
      </c>
      <c r="F1894" s="121">
        <v>4825</v>
      </c>
      <c r="G1894" s="123">
        <v>13</v>
      </c>
      <c r="H1894" s="103" t="s">
        <v>3846</v>
      </c>
    </row>
    <row r="1895" spans="2:8" x14ac:dyDescent="0.25">
      <c r="B1895">
        <v>1893</v>
      </c>
      <c r="C1895" t="s">
        <v>3847</v>
      </c>
      <c r="D1895">
        <v>0</v>
      </c>
      <c r="E1895" t="s">
        <v>9</v>
      </c>
      <c r="F1895" s="121">
        <v>2437</v>
      </c>
      <c r="G1895" s="123">
        <v>23</v>
      </c>
      <c r="H1895" s="103" t="s">
        <v>3848</v>
      </c>
    </row>
    <row r="1896" spans="2:8" x14ac:dyDescent="0.25">
      <c r="B1896">
        <v>1894</v>
      </c>
      <c r="C1896" t="s">
        <v>3849</v>
      </c>
      <c r="D1896">
        <v>0</v>
      </c>
      <c r="E1896" t="s">
        <v>9</v>
      </c>
      <c r="F1896" s="121">
        <v>4818</v>
      </c>
      <c r="G1896" s="123">
        <v>13</v>
      </c>
      <c r="H1896" s="103" t="s">
        <v>3850</v>
      </c>
    </row>
    <row r="1897" spans="2:8" x14ac:dyDescent="0.25">
      <c r="B1897">
        <v>1895</v>
      </c>
      <c r="C1897" t="s">
        <v>3851</v>
      </c>
      <c r="D1897">
        <v>0</v>
      </c>
      <c r="E1897" t="s">
        <v>35</v>
      </c>
      <c r="F1897" s="121" t="s">
        <v>36</v>
      </c>
      <c r="G1897" s="103" t="s">
        <v>37</v>
      </c>
      <c r="H1897" s="103" t="s">
        <v>3852</v>
      </c>
    </row>
    <row r="1898" spans="2:8" x14ac:dyDescent="0.25">
      <c r="B1898">
        <v>1896</v>
      </c>
      <c r="C1898" t="s">
        <v>3853</v>
      </c>
      <c r="D1898">
        <v>0</v>
      </c>
      <c r="E1898" t="s">
        <v>9</v>
      </c>
      <c r="F1898" s="121">
        <v>950</v>
      </c>
      <c r="G1898" s="123">
        <v>13</v>
      </c>
      <c r="H1898" s="103" t="s">
        <v>3854</v>
      </c>
    </row>
    <row r="1899" spans="2:8" x14ac:dyDescent="0.25">
      <c r="B1899">
        <v>1897</v>
      </c>
      <c r="C1899" t="s">
        <v>3855</v>
      </c>
      <c r="D1899">
        <v>0</v>
      </c>
      <c r="E1899" t="s">
        <v>9</v>
      </c>
      <c r="F1899" s="121">
        <v>3233</v>
      </c>
      <c r="G1899" s="123">
        <v>13</v>
      </c>
      <c r="H1899" s="103" t="s">
        <v>3856</v>
      </c>
    </row>
    <row r="1900" spans="2:8" x14ac:dyDescent="0.25">
      <c r="B1900">
        <v>1898</v>
      </c>
      <c r="C1900" t="s">
        <v>1712</v>
      </c>
      <c r="D1900">
        <v>0</v>
      </c>
      <c r="E1900" t="s">
        <v>9</v>
      </c>
      <c r="F1900" s="121">
        <v>4825</v>
      </c>
      <c r="G1900" s="103">
        <v>1288</v>
      </c>
      <c r="H1900" s="103" t="s">
        <v>3857</v>
      </c>
    </row>
    <row r="1901" spans="2:8" x14ac:dyDescent="0.25">
      <c r="B1901">
        <v>1899</v>
      </c>
      <c r="C1901" t="s">
        <v>3858</v>
      </c>
      <c r="D1901">
        <v>0</v>
      </c>
      <c r="E1901" t="s">
        <v>9</v>
      </c>
      <c r="F1901" s="121">
        <v>4825</v>
      </c>
      <c r="G1901" s="123">
        <v>13</v>
      </c>
      <c r="H1901" s="103" t="s">
        <v>3859</v>
      </c>
    </row>
    <row r="1902" spans="2:8" x14ac:dyDescent="0.25">
      <c r="B1902">
        <v>1900</v>
      </c>
      <c r="C1902" t="s">
        <v>3860</v>
      </c>
      <c r="D1902">
        <v>0</v>
      </c>
      <c r="E1902" t="s">
        <v>9</v>
      </c>
      <c r="F1902" s="121">
        <v>4825</v>
      </c>
      <c r="G1902" s="123">
        <v>13</v>
      </c>
      <c r="H1902" s="103" t="s">
        <v>3861</v>
      </c>
    </row>
    <row r="1903" spans="2:8" x14ac:dyDescent="0.25">
      <c r="B1903">
        <v>1901</v>
      </c>
      <c r="C1903" t="s">
        <v>3862</v>
      </c>
      <c r="D1903">
        <v>0</v>
      </c>
      <c r="E1903" t="s">
        <v>9</v>
      </c>
      <c r="F1903" s="121">
        <v>4825</v>
      </c>
      <c r="G1903" s="103">
        <v>1288</v>
      </c>
      <c r="H1903" s="103" t="s">
        <v>3863</v>
      </c>
    </row>
    <row r="1904" spans="2:8" x14ac:dyDescent="0.25">
      <c r="B1904">
        <v>1902</v>
      </c>
      <c r="C1904" t="s">
        <v>3864</v>
      </c>
      <c r="D1904">
        <v>0</v>
      </c>
      <c r="E1904" t="s">
        <v>9</v>
      </c>
      <c r="F1904" s="121">
        <v>780</v>
      </c>
      <c r="G1904" s="123">
        <v>13</v>
      </c>
      <c r="H1904" s="103" t="s">
        <v>3865</v>
      </c>
    </row>
    <row r="1905" spans="2:8" x14ac:dyDescent="0.25">
      <c r="B1905">
        <v>1903</v>
      </c>
      <c r="C1905" t="s">
        <v>575</v>
      </c>
      <c r="D1905">
        <v>0</v>
      </c>
      <c r="E1905" t="s">
        <v>9</v>
      </c>
      <c r="F1905" s="121">
        <v>4818</v>
      </c>
      <c r="G1905" s="123">
        <v>13</v>
      </c>
      <c r="H1905" s="103" t="s">
        <v>576</v>
      </c>
    </row>
    <row r="1906" spans="2:8" x14ac:dyDescent="0.25">
      <c r="B1906">
        <v>1904</v>
      </c>
      <c r="C1906" t="s">
        <v>3866</v>
      </c>
      <c r="D1906">
        <v>0</v>
      </c>
      <c r="E1906" t="s">
        <v>9</v>
      </c>
      <c r="F1906" s="121">
        <v>4818</v>
      </c>
      <c r="G1906" s="123">
        <v>13</v>
      </c>
      <c r="H1906" s="103" t="s">
        <v>1858</v>
      </c>
    </row>
    <row r="1907" spans="2:8" x14ac:dyDescent="0.25">
      <c r="B1907">
        <v>1905</v>
      </c>
      <c r="C1907" t="s">
        <v>2839</v>
      </c>
      <c r="D1907">
        <v>0</v>
      </c>
      <c r="E1907" t="s">
        <v>9</v>
      </c>
      <c r="F1907" s="121">
        <v>4825</v>
      </c>
      <c r="G1907" s="123">
        <v>13</v>
      </c>
      <c r="H1907" s="103" t="s">
        <v>2840</v>
      </c>
    </row>
    <row r="1908" spans="2:8" x14ac:dyDescent="0.25">
      <c r="B1908">
        <v>1906</v>
      </c>
      <c r="C1908" t="s">
        <v>3867</v>
      </c>
      <c r="D1908" t="s">
        <v>3868</v>
      </c>
      <c r="E1908" t="s">
        <v>9</v>
      </c>
      <c r="F1908" s="121">
        <v>780</v>
      </c>
      <c r="G1908" s="123"/>
      <c r="H1908" s="103" t="s">
        <v>3869</v>
      </c>
    </row>
    <row r="1909" spans="2:8" x14ac:dyDescent="0.25">
      <c r="B1909">
        <v>1907</v>
      </c>
      <c r="C1909" t="s">
        <v>3870</v>
      </c>
      <c r="D1909">
        <v>0</v>
      </c>
      <c r="E1909" t="s">
        <v>21</v>
      </c>
      <c r="F1909" s="121">
        <v>3871</v>
      </c>
      <c r="G1909" s="103" t="s">
        <v>22</v>
      </c>
      <c r="H1909" s="103" t="s">
        <v>3871</v>
      </c>
    </row>
    <row r="1910" spans="2:8" x14ac:dyDescent="0.25">
      <c r="B1910">
        <v>1908</v>
      </c>
      <c r="C1910" t="s">
        <v>3872</v>
      </c>
      <c r="D1910">
        <v>0</v>
      </c>
      <c r="E1910" t="s">
        <v>21</v>
      </c>
      <c r="F1910" s="121">
        <v>3801</v>
      </c>
      <c r="G1910" s="103" t="s">
        <v>37</v>
      </c>
      <c r="H1910" s="103" t="s">
        <v>2670</v>
      </c>
    </row>
    <row r="1911" spans="2:8" x14ac:dyDescent="0.25">
      <c r="B1911">
        <v>1909</v>
      </c>
      <c r="C1911" t="s">
        <v>3873</v>
      </c>
      <c r="D1911">
        <v>0</v>
      </c>
      <c r="E1911" t="s">
        <v>9</v>
      </c>
      <c r="F1911" s="121">
        <v>4818</v>
      </c>
      <c r="G1911" s="123">
        <v>13</v>
      </c>
      <c r="H1911" s="103" t="s">
        <v>1104</v>
      </c>
    </row>
    <row r="1912" spans="2:8" x14ac:dyDescent="0.25">
      <c r="B1912">
        <v>1910</v>
      </c>
      <c r="C1912" t="s">
        <v>3874</v>
      </c>
      <c r="D1912">
        <v>0</v>
      </c>
      <c r="E1912" t="s">
        <v>9</v>
      </c>
      <c r="F1912" s="121">
        <v>4825</v>
      </c>
      <c r="G1912" s="123">
        <v>13</v>
      </c>
      <c r="H1912" s="103" t="s">
        <v>3875</v>
      </c>
    </row>
    <row r="1913" spans="2:8" x14ac:dyDescent="0.25">
      <c r="B1913">
        <v>1911</v>
      </c>
      <c r="C1913" t="s">
        <v>3876</v>
      </c>
      <c r="D1913">
        <v>0</v>
      </c>
      <c r="E1913" t="s">
        <v>9</v>
      </c>
      <c r="F1913" s="121">
        <v>949</v>
      </c>
      <c r="G1913" s="103">
        <v>1288</v>
      </c>
      <c r="H1913" s="103" t="s">
        <v>3877</v>
      </c>
    </row>
    <row r="1914" spans="2:8" x14ac:dyDescent="0.25">
      <c r="B1914">
        <v>1912</v>
      </c>
      <c r="C1914" t="s">
        <v>3878</v>
      </c>
      <c r="D1914">
        <v>0</v>
      </c>
      <c r="E1914" t="s">
        <v>35</v>
      </c>
      <c r="F1914" s="121" t="s">
        <v>36</v>
      </c>
      <c r="G1914" s="103" t="s">
        <v>37</v>
      </c>
      <c r="H1914" s="103" t="s">
        <v>3879</v>
      </c>
    </row>
    <row r="1915" spans="2:8" x14ac:dyDescent="0.25">
      <c r="B1915">
        <v>1913</v>
      </c>
      <c r="C1915" t="s">
        <v>3880</v>
      </c>
      <c r="D1915">
        <v>0</v>
      </c>
      <c r="E1915" t="s">
        <v>9</v>
      </c>
      <c r="F1915" s="121">
        <v>4825</v>
      </c>
      <c r="G1915" s="123">
        <v>13</v>
      </c>
      <c r="H1915" s="103" t="s">
        <v>3881</v>
      </c>
    </row>
    <row r="1916" spans="2:8" x14ac:dyDescent="0.25">
      <c r="B1916">
        <v>1914</v>
      </c>
      <c r="C1916" t="s">
        <v>1772</v>
      </c>
      <c r="D1916">
        <v>0</v>
      </c>
      <c r="E1916" t="s">
        <v>9</v>
      </c>
      <c r="F1916" s="121">
        <v>4825</v>
      </c>
      <c r="G1916" s="123">
        <v>13</v>
      </c>
      <c r="H1916" s="103" t="s">
        <v>1774</v>
      </c>
    </row>
    <row r="1917" spans="2:8" x14ac:dyDescent="0.25">
      <c r="B1917">
        <v>1915</v>
      </c>
      <c r="C1917" t="s">
        <v>3882</v>
      </c>
      <c r="D1917">
        <v>0</v>
      </c>
      <c r="E1917" t="s">
        <v>9</v>
      </c>
      <c r="F1917" s="121">
        <v>4825</v>
      </c>
      <c r="G1917" s="103">
        <v>1288</v>
      </c>
      <c r="H1917" s="103" t="s">
        <v>3883</v>
      </c>
    </row>
    <row r="1918" spans="2:8" x14ac:dyDescent="0.25">
      <c r="B1918">
        <v>1916</v>
      </c>
      <c r="C1918" t="s">
        <v>3884</v>
      </c>
      <c r="D1918" t="s">
        <v>3885</v>
      </c>
      <c r="E1918" t="s">
        <v>9</v>
      </c>
      <c r="F1918" s="121">
        <v>780</v>
      </c>
      <c r="G1918" s="123">
        <v>13</v>
      </c>
      <c r="H1918" s="103" t="s">
        <v>3886</v>
      </c>
    </row>
    <row r="1919" spans="2:8" x14ac:dyDescent="0.25">
      <c r="B1919">
        <v>1917</v>
      </c>
      <c r="C1919" t="s">
        <v>3887</v>
      </c>
      <c r="D1919">
        <v>0</v>
      </c>
      <c r="E1919" t="s">
        <v>9</v>
      </c>
      <c r="F1919" s="121">
        <v>4825</v>
      </c>
      <c r="G1919" s="103">
        <v>1288</v>
      </c>
      <c r="H1919" s="103" t="s">
        <v>3888</v>
      </c>
    </row>
    <row r="1920" spans="2:8" x14ac:dyDescent="0.25">
      <c r="B1920">
        <v>1918</v>
      </c>
      <c r="C1920" t="s">
        <v>3889</v>
      </c>
      <c r="D1920">
        <v>0</v>
      </c>
      <c r="E1920" t="s">
        <v>21</v>
      </c>
      <c r="F1920" s="121">
        <v>3858</v>
      </c>
      <c r="G1920" s="103" t="s">
        <v>22</v>
      </c>
      <c r="H1920" s="103" t="s">
        <v>3890</v>
      </c>
    </row>
    <row r="1921" spans="2:8" x14ac:dyDescent="0.25">
      <c r="B1921">
        <v>1919</v>
      </c>
      <c r="C1921" t="s">
        <v>3891</v>
      </c>
      <c r="D1921">
        <v>0</v>
      </c>
      <c r="E1921" t="s">
        <v>9</v>
      </c>
      <c r="F1921" s="121">
        <v>4825</v>
      </c>
      <c r="G1921" s="103">
        <v>1288</v>
      </c>
      <c r="H1921" s="103" t="s">
        <v>3892</v>
      </c>
    </row>
    <row r="1922" spans="2:8" x14ac:dyDescent="0.25">
      <c r="B1922">
        <v>1920</v>
      </c>
      <c r="C1922" t="s">
        <v>3893</v>
      </c>
      <c r="D1922">
        <v>0</v>
      </c>
      <c r="E1922" t="s">
        <v>9</v>
      </c>
      <c r="F1922" s="121">
        <v>780</v>
      </c>
      <c r="G1922" s="103">
        <v>1288</v>
      </c>
      <c r="H1922" s="103" t="s">
        <v>3894</v>
      </c>
    </row>
    <row r="1923" spans="2:8" x14ac:dyDescent="0.25">
      <c r="B1923">
        <v>1921</v>
      </c>
      <c r="C1923" t="s">
        <v>3895</v>
      </c>
      <c r="D1923">
        <v>0</v>
      </c>
      <c r="E1923" t="s">
        <v>9</v>
      </c>
      <c r="F1923" s="121">
        <v>949</v>
      </c>
      <c r="G1923" s="103">
        <v>1288</v>
      </c>
      <c r="H1923" s="103" t="s">
        <v>3896</v>
      </c>
    </row>
    <row r="1924" spans="2:8" x14ac:dyDescent="0.25">
      <c r="B1924">
        <v>1922</v>
      </c>
      <c r="C1924" t="s">
        <v>3897</v>
      </c>
      <c r="D1924" t="s">
        <v>3898</v>
      </c>
      <c r="E1924" t="s">
        <v>9</v>
      </c>
      <c r="F1924" s="121">
        <v>4818</v>
      </c>
      <c r="G1924" s="103">
        <v>1288</v>
      </c>
      <c r="H1924" s="103" t="s">
        <v>3899</v>
      </c>
    </row>
    <row r="1925" spans="2:8" x14ac:dyDescent="0.25">
      <c r="B1925">
        <v>1923</v>
      </c>
      <c r="C1925" t="s">
        <v>3900</v>
      </c>
      <c r="D1925">
        <v>0</v>
      </c>
      <c r="E1925" t="s">
        <v>35</v>
      </c>
      <c r="F1925" s="121" t="s">
        <v>36</v>
      </c>
      <c r="G1925" s="103" t="s">
        <v>37</v>
      </c>
      <c r="H1925" s="103" t="s">
        <v>3901</v>
      </c>
    </row>
    <row r="1926" spans="2:8" x14ac:dyDescent="0.25">
      <c r="B1926">
        <v>1924</v>
      </c>
      <c r="C1926" t="s">
        <v>2472</v>
      </c>
      <c r="D1926">
        <v>0</v>
      </c>
      <c r="E1926" t="s">
        <v>9</v>
      </c>
      <c r="F1926" s="121">
        <v>1053</v>
      </c>
      <c r="G1926" s="123">
        <v>13</v>
      </c>
      <c r="H1926" s="103" t="s">
        <v>2473</v>
      </c>
    </row>
    <row r="1927" spans="2:8" x14ac:dyDescent="0.25">
      <c r="B1927">
        <v>1925</v>
      </c>
      <c r="C1927" t="s">
        <v>3902</v>
      </c>
      <c r="D1927">
        <v>0</v>
      </c>
      <c r="E1927" t="s">
        <v>21</v>
      </c>
      <c r="F1927" s="121" t="s">
        <v>44</v>
      </c>
      <c r="G1927" s="103" t="s">
        <v>22</v>
      </c>
      <c r="H1927" s="103" t="s">
        <v>2351</v>
      </c>
    </row>
    <row r="1928" spans="2:8" x14ac:dyDescent="0.25">
      <c r="B1928">
        <v>1926</v>
      </c>
      <c r="C1928" t="s">
        <v>3903</v>
      </c>
      <c r="D1928">
        <v>0</v>
      </c>
      <c r="E1928" t="s">
        <v>21</v>
      </c>
      <c r="F1928" s="121" t="s">
        <v>44</v>
      </c>
      <c r="G1928" s="103" t="s">
        <v>22</v>
      </c>
      <c r="H1928" s="103" t="s">
        <v>3904</v>
      </c>
    </row>
    <row r="1929" spans="2:8" x14ac:dyDescent="0.25">
      <c r="B1929">
        <v>1927</v>
      </c>
      <c r="C1929" t="s">
        <v>3905</v>
      </c>
      <c r="D1929">
        <v>0</v>
      </c>
      <c r="E1929" t="s">
        <v>9</v>
      </c>
      <c r="F1929" s="121">
        <v>4825</v>
      </c>
      <c r="G1929" s="123">
        <v>13</v>
      </c>
      <c r="H1929" s="103" t="s">
        <v>3906</v>
      </c>
    </row>
    <row r="1930" spans="2:8" x14ac:dyDescent="0.25">
      <c r="B1930">
        <v>1928</v>
      </c>
      <c r="C1930" t="s">
        <v>3907</v>
      </c>
      <c r="D1930" t="s">
        <v>3908</v>
      </c>
      <c r="E1930" t="s">
        <v>9</v>
      </c>
      <c r="F1930" s="121">
        <v>4825</v>
      </c>
      <c r="G1930" s="123">
        <v>13</v>
      </c>
      <c r="H1930" s="103" t="s">
        <v>1426</v>
      </c>
    </row>
    <row r="1931" spans="2:8" x14ac:dyDescent="0.25">
      <c r="B1931">
        <v>1929</v>
      </c>
      <c r="C1931" t="s">
        <v>3909</v>
      </c>
      <c r="D1931">
        <v>0</v>
      </c>
      <c r="E1931" t="s">
        <v>35</v>
      </c>
      <c r="F1931" s="121" t="s">
        <v>36</v>
      </c>
      <c r="G1931" s="103" t="s">
        <v>22</v>
      </c>
      <c r="H1931" s="103" t="s">
        <v>3910</v>
      </c>
    </row>
    <row r="1932" spans="2:8" x14ac:dyDescent="0.25">
      <c r="B1932">
        <v>1930</v>
      </c>
      <c r="C1932" t="s">
        <v>3911</v>
      </c>
      <c r="D1932">
        <v>0</v>
      </c>
      <c r="E1932" t="s">
        <v>35</v>
      </c>
      <c r="F1932" s="121" t="s">
        <v>36</v>
      </c>
      <c r="G1932" s="103" t="s">
        <v>37</v>
      </c>
      <c r="H1932" s="103" t="s">
        <v>3912</v>
      </c>
    </row>
    <row r="1933" spans="2:8" x14ac:dyDescent="0.25">
      <c r="B1933">
        <v>1931</v>
      </c>
      <c r="C1933" t="s">
        <v>3913</v>
      </c>
      <c r="D1933">
        <v>0</v>
      </c>
      <c r="E1933" t="s">
        <v>9</v>
      </c>
      <c r="F1933" s="121">
        <v>4694</v>
      </c>
      <c r="G1933" s="123">
        <v>13</v>
      </c>
      <c r="H1933" s="103" t="s">
        <v>3914</v>
      </c>
    </row>
    <row r="1934" spans="2:8" x14ac:dyDescent="0.25">
      <c r="B1934">
        <v>1932</v>
      </c>
      <c r="C1934" t="s">
        <v>3915</v>
      </c>
      <c r="D1934">
        <v>0</v>
      </c>
      <c r="E1934" t="s">
        <v>9</v>
      </c>
      <c r="F1934" s="121">
        <v>783</v>
      </c>
      <c r="G1934" s="103">
        <v>1288</v>
      </c>
      <c r="H1934" s="103" t="s">
        <v>3916</v>
      </c>
    </row>
    <row r="1935" spans="2:8" x14ac:dyDescent="0.25">
      <c r="B1935">
        <v>1933</v>
      </c>
      <c r="C1935" t="s">
        <v>3917</v>
      </c>
      <c r="D1935">
        <v>0</v>
      </c>
      <c r="E1935" t="s">
        <v>35</v>
      </c>
      <c r="F1935" s="121" t="s">
        <v>36</v>
      </c>
      <c r="G1935" s="103" t="s">
        <v>22</v>
      </c>
      <c r="H1935" s="103" t="s">
        <v>3918</v>
      </c>
    </row>
    <row r="1936" spans="2:8" x14ac:dyDescent="0.25">
      <c r="B1936">
        <v>1934</v>
      </c>
      <c r="C1936" t="s">
        <v>3919</v>
      </c>
      <c r="D1936">
        <v>0</v>
      </c>
      <c r="E1936" t="s">
        <v>21</v>
      </c>
      <c r="F1936" s="121" t="s">
        <v>264</v>
      </c>
      <c r="G1936" s="103" t="s">
        <v>22</v>
      </c>
      <c r="H1936" s="103" t="s">
        <v>3920</v>
      </c>
    </row>
    <row r="1937" spans="2:8" x14ac:dyDescent="0.25">
      <c r="B1937">
        <v>1935</v>
      </c>
      <c r="C1937" t="s">
        <v>3921</v>
      </c>
      <c r="D1937" t="s">
        <v>3922</v>
      </c>
      <c r="E1937" t="s">
        <v>21</v>
      </c>
      <c r="F1937" s="121" t="s">
        <v>44</v>
      </c>
      <c r="G1937" s="103" t="s">
        <v>37</v>
      </c>
      <c r="H1937" s="103" t="s">
        <v>3923</v>
      </c>
    </row>
    <row r="1938" spans="2:8" x14ac:dyDescent="0.25">
      <c r="B1938">
        <v>1936</v>
      </c>
      <c r="C1938" t="s">
        <v>3924</v>
      </c>
      <c r="D1938">
        <v>0</v>
      </c>
      <c r="E1938" t="s">
        <v>9</v>
      </c>
      <c r="F1938" s="121">
        <v>4818</v>
      </c>
      <c r="G1938" s="123">
        <v>13</v>
      </c>
      <c r="H1938" s="103" t="s">
        <v>3925</v>
      </c>
    </row>
    <row r="1939" spans="2:8" x14ac:dyDescent="0.25">
      <c r="B1939">
        <v>1937</v>
      </c>
      <c r="C1939" t="s">
        <v>3926</v>
      </c>
      <c r="D1939">
        <v>0</v>
      </c>
      <c r="E1939" t="s">
        <v>35</v>
      </c>
      <c r="F1939" s="121" t="s">
        <v>36</v>
      </c>
      <c r="G1939" s="103" t="s">
        <v>37</v>
      </c>
      <c r="H1939" s="103" t="s">
        <v>3927</v>
      </c>
    </row>
    <row r="1940" spans="2:8" x14ac:dyDescent="0.25">
      <c r="B1940">
        <v>1938</v>
      </c>
      <c r="C1940" t="s">
        <v>3928</v>
      </c>
      <c r="D1940" t="s">
        <v>3929</v>
      </c>
      <c r="E1940" t="s">
        <v>21</v>
      </c>
      <c r="F1940" s="121">
        <v>3943</v>
      </c>
      <c r="G1940" s="103" t="s">
        <v>37</v>
      </c>
      <c r="H1940" s="103" t="s">
        <v>3930</v>
      </c>
    </row>
    <row r="1941" spans="2:8" x14ac:dyDescent="0.25">
      <c r="B1941">
        <v>1939</v>
      </c>
      <c r="C1941" t="s">
        <v>3931</v>
      </c>
      <c r="D1941">
        <v>0</v>
      </c>
      <c r="E1941" t="s">
        <v>9</v>
      </c>
      <c r="F1941" s="121">
        <v>4825</v>
      </c>
      <c r="G1941" s="103">
        <v>1288</v>
      </c>
      <c r="H1941" s="103" t="s">
        <v>3932</v>
      </c>
    </row>
    <row r="1942" spans="2:8" x14ac:dyDescent="0.25">
      <c r="B1942">
        <v>1940</v>
      </c>
      <c r="C1942" t="s">
        <v>3933</v>
      </c>
      <c r="D1942">
        <v>0</v>
      </c>
      <c r="E1942" t="s">
        <v>21</v>
      </c>
      <c r="F1942" s="121">
        <v>3858</v>
      </c>
      <c r="G1942" s="103" t="s">
        <v>22</v>
      </c>
      <c r="H1942" s="103" t="s">
        <v>3934</v>
      </c>
    </row>
    <row r="1943" spans="2:8" x14ac:dyDescent="0.25">
      <c r="B1943">
        <v>1941</v>
      </c>
      <c r="C1943" t="s">
        <v>3935</v>
      </c>
      <c r="D1943">
        <v>0</v>
      </c>
      <c r="E1943" t="s">
        <v>9</v>
      </c>
      <c r="F1943" s="121">
        <v>4601</v>
      </c>
      <c r="G1943" s="123">
        <v>13</v>
      </c>
      <c r="H1943" s="103" t="s">
        <v>3936</v>
      </c>
    </row>
    <row r="1944" spans="2:8" x14ac:dyDescent="0.25">
      <c r="B1944">
        <v>1942</v>
      </c>
      <c r="C1944" t="s">
        <v>3937</v>
      </c>
      <c r="D1944" t="s">
        <v>5300</v>
      </c>
      <c r="E1944" t="s">
        <v>9</v>
      </c>
      <c r="F1944" s="121">
        <v>4825</v>
      </c>
      <c r="G1944" s="103">
        <v>1288</v>
      </c>
      <c r="H1944" s="103" t="s">
        <v>3938</v>
      </c>
    </row>
    <row r="1945" spans="2:8" x14ac:dyDescent="0.25">
      <c r="B1945">
        <v>1943</v>
      </c>
      <c r="C1945" t="s">
        <v>3939</v>
      </c>
      <c r="D1945">
        <v>0</v>
      </c>
      <c r="E1945" t="s">
        <v>9</v>
      </c>
      <c r="F1945" s="121">
        <v>949</v>
      </c>
      <c r="G1945" s="123">
        <v>13</v>
      </c>
      <c r="H1945" s="103" t="s">
        <v>3940</v>
      </c>
    </row>
    <row r="1946" spans="2:8" x14ac:dyDescent="0.25">
      <c r="B1946">
        <v>1944</v>
      </c>
      <c r="C1946" t="s">
        <v>3941</v>
      </c>
      <c r="D1946">
        <v>0</v>
      </c>
      <c r="E1946" t="s">
        <v>35</v>
      </c>
      <c r="F1946" s="121" t="s">
        <v>36</v>
      </c>
      <c r="G1946" s="103" t="s">
        <v>37</v>
      </c>
      <c r="H1946" s="103" t="s">
        <v>3942</v>
      </c>
    </row>
    <row r="1947" spans="2:8" x14ac:dyDescent="0.25">
      <c r="B1947">
        <v>1945</v>
      </c>
      <c r="C1947" t="s">
        <v>3943</v>
      </c>
      <c r="D1947" t="s">
        <v>3944</v>
      </c>
      <c r="E1947" t="s">
        <v>9</v>
      </c>
      <c r="F1947" s="121">
        <v>4818</v>
      </c>
      <c r="G1947" s="123"/>
      <c r="H1947" s="103" t="s">
        <v>3945</v>
      </c>
    </row>
    <row r="1948" spans="2:8" x14ac:dyDescent="0.25">
      <c r="B1948">
        <v>1946</v>
      </c>
      <c r="C1948" t="s">
        <v>3606</v>
      </c>
      <c r="D1948" t="s">
        <v>3607</v>
      </c>
      <c r="E1948" t="s">
        <v>9</v>
      </c>
      <c r="F1948" s="121">
        <v>4818</v>
      </c>
      <c r="G1948" s="123"/>
      <c r="H1948" s="103" t="s">
        <v>3946</v>
      </c>
    </row>
    <row r="1949" spans="2:8" x14ac:dyDescent="0.25">
      <c r="B1949">
        <v>1947</v>
      </c>
      <c r="C1949" t="s">
        <v>3947</v>
      </c>
      <c r="D1949" t="s">
        <v>3948</v>
      </c>
      <c r="E1949" t="s">
        <v>35</v>
      </c>
      <c r="F1949" s="121" t="s">
        <v>36</v>
      </c>
      <c r="G1949" s="123" t="s">
        <v>37</v>
      </c>
      <c r="H1949" s="103" t="s">
        <v>3949</v>
      </c>
    </row>
    <row r="1950" spans="2:8" x14ac:dyDescent="0.25">
      <c r="B1950">
        <v>1948</v>
      </c>
      <c r="C1950" t="s">
        <v>3950</v>
      </c>
      <c r="D1950" t="s">
        <v>3951</v>
      </c>
      <c r="E1950" t="s">
        <v>9</v>
      </c>
      <c r="F1950" s="121">
        <v>4818</v>
      </c>
      <c r="G1950" s="123">
        <v>1288</v>
      </c>
      <c r="H1950" s="103" t="s">
        <v>3952</v>
      </c>
    </row>
    <row r="1951" spans="2:8" x14ac:dyDescent="0.25">
      <c r="B1951">
        <v>1949</v>
      </c>
      <c r="C1951" t="s">
        <v>3953</v>
      </c>
      <c r="D1951" t="s">
        <v>3954</v>
      </c>
      <c r="E1951" t="s">
        <v>9</v>
      </c>
      <c r="F1951" s="121">
        <v>949</v>
      </c>
      <c r="G1951" s="123"/>
      <c r="H1951" s="103" t="s">
        <v>3955</v>
      </c>
    </row>
    <row r="1952" spans="2:8" x14ac:dyDescent="0.25">
      <c r="B1952">
        <v>1950</v>
      </c>
      <c r="C1952" t="s">
        <v>3956</v>
      </c>
      <c r="D1952" t="s">
        <v>3957</v>
      </c>
      <c r="E1952" t="s">
        <v>21</v>
      </c>
      <c r="F1952" s="121" t="s">
        <v>44</v>
      </c>
      <c r="G1952" s="123"/>
      <c r="H1952" s="103" t="s">
        <v>3958</v>
      </c>
    </row>
    <row r="1953" spans="2:8" x14ac:dyDescent="0.25">
      <c r="B1953">
        <v>1951</v>
      </c>
      <c r="C1953" t="s">
        <v>2943</v>
      </c>
      <c r="D1953" t="s">
        <v>3959</v>
      </c>
      <c r="E1953" t="s">
        <v>21</v>
      </c>
      <c r="F1953" s="121" t="s">
        <v>44</v>
      </c>
      <c r="G1953" s="123" t="s">
        <v>37</v>
      </c>
      <c r="H1953" s="103" t="s">
        <v>3904</v>
      </c>
    </row>
    <row r="1954" spans="2:8" x14ac:dyDescent="0.25">
      <c r="B1954">
        <v>1952</v>
      </c>
      <c r="C1954" t="s">
        <v>3960</v>
      </c>
      <c r="D1954" t="s">
        <v>3961</v>
      </c>
      <c r="E1954" t="s">
        <v>9</v>
      </c>
      <c r="F1954" s="121">
        <v>2307</v>
      </c>
      <c r="G1954" s="123">
        <v>13</v>
      </c>
      <c r="H1954" s="103" t="s">
        <v>3962</v>
      </c>
    </row>
    <row r="1955" spans="2:8" x14ac:dyDescent="0.25">
      <c r="B1955">
        <v>1953</v>
      </c>
      <c r="C1955" t="s">
        <v>3963</v>
      </c>
      <c r="D1955" t="s">
        <v>3964</v>
      </c>
      <c r="E1955" t="s">
        <v>9</v>
      </c>
      <c r="F1955" s="121">
        <v>4818</v>
      </c>
      <c r="G1955" s="123"/>
      <c r="H1955" s="103" t="s">
        <v>3965</v>
      </c>
    </row>
    <row r="1956" spans="2:8" x14ac:dyDescent="0.25">
      <c r="B1956">
        <v>1954</v>
      </c>
      <c r="C1956" t="s">
        <v>3966</v>
      </c>
      <c r="D1956" t="s">
        <v>3967</v>
      </c>
      <c r="E1956" t="s">
        <v>9</v>
      </c>
      <c r="F1956" s="121">
        <v>4818</v>
      </c>
      <c r="G1956" s="123">
        <v>13</v>
      </c>
      <c r="H1956" s="103" t="s">
        <v>3968</v>
      </c>
    </row>
    <row r="1957" spans="2:8" x14ac:dyDescent="0.25">
      <c r="B1957">
        <v>1955</v>
      </c>
      <c r="C1957" t="s">
        <v>3969</v>
      </c>
      <c r="D1957" t="s">
        <v>3970</v>
      </c>
      <c r="E1957" t="s">
        <v>9</v>
      </c>
      <c r="F1957" s="121">
        <v>4825</v>
      </c>
      <c r="G1957" s="123" t="s">
        <v>37</v>
      </c>
      <c r="H1957" s="103" t="s">
        <v>3971</v>
      </c>
    </row>
    <row r="1958" spans="2:8" x14ac:dyDescent="0.25">
      <c r="B1958">
        <v>1956</v>
      </c>
      <c r="C1958" t="s">
        <v>3972</v>
      </c>
      <c r="D1958" t="s">
        <v>3973</v>
      </c>
      <c r="E1958" t="s">
        <v>21</v>
      </c>
      <c r="F1958" s="121" t="s">
        <v>44</v>
      </c>
      <c r="G1958" s="123" t="s">
        <v>22</v>
      </c>
      <c r="H1958" s="103" t="s">
        <v>3974</v>
      </c>
    </row>
    <row r="1959" spans="2:8" x14ac:dyDescent="0.25">
      <c r="B1959">
        <v>1957</v>
      </c>
      <c r="C1959" t="s">
        <v>2926</v>
      </c>
      <c r="D1959" t="s">
        <v>3975</v>
      </c>
      <c r="E1959" t="s">
        <v>21</v>
      </c>
      <c r="F1959" s="121">
        <v>3737</v>
      </c>
      <c r="G1959" s="123"/>
      <c r="H1959" s="103" t="s">
        <v>3976</v>
      </c>
    </row>
    <row r="1960" spans="2:8" x14ac:dyDescent="0.25">
      <c r="B1960">
        <v>1958</v>
      </c>
      <c r="C1960" t="s">
        <v>3977</v>
      </c>
      <c r="D1960" t="s">
        <v>3978</v>
      </c>
      <c r="E1960" t="s">
        <v>21</v>
      </c>
      <c r="F1960" s="121">
        <v>3737</v>
      </c>
      <c r="G1960" s="123"/>
      <c r="H1960" s="103" t="s">
        <v>3979</v>
      </c>
    </row>
    <row r="1961" spans="2:8" x14ac:dyDescent="0.25">
      <c r="B1961">
        <v>1959</v>
      </c>
      <c r="C1961" t="s">
        <v>3980</v>
      </c>
      <c r="D1961" t="s">
        <v>3981</v>
      </c>
      <c r="E1961" t="s">
        <v>9</v>
      </c>
      <c r="F1961" s="121">
        <v>2734</v>
      </c>
      <c r="G1961" s="123"/>
      <c r="H1961" s="103" t="s">
        <v>3982</v>
      </c>
    </row>
    <row r="1962" spans="2:8" x14ac:dyDescent="0.25">
      <c r="B1962">
        <v>1960</v>
      </c>
      <c r="C1962" t="s">
        <v>3983</v>
      </c>
      <c r="D1962" t="s">
        <v>3984</v>
      </c>
      <c r="E1962" t="s">
        <v>9</v>
      </c>
      <c r="F1962" s="121">
        <v>4825</v>
      </c>
      <c r="G1962" s="123">
        <v>13</v>
      </c>
      <c r="H1962" s="103" t="s">
        <v>3985</v>
      </c>
    </row>
    <row r="1963" spans="2:8" x14ac:dyDescent="0.25">
      <c r="B1963">
        <v>1961</v>
      </c>
      <c r="C1963" t="s">
        <v>3986</v>
      </c>
      <c r="D1963" t="s">
        <v>3987</v>
      </c>
      <c r="E1963" t="s">
        <v>35</v>
      </c>
      <c r="F1963" s="121" t="s">
        <v>1843</v>
      </c>
      <c r="G1963" s="123" t="s">
        <v>22</v>
      </c>
      <c r="H1963" s="103" t="s">
        <v>3988</v>
      </c>
    </row>
    <row r="1964" spans="2:8" x14ac:dyDescent="0.25">
      <c r="B1964">
        <v>1962</v>
      </c>
      <c r="C1964" t="s">
        <v>3989</v>
      </c>
      <c r="D1964" t="s">
        <v>3990</v>
      </c>
      <c r="E1964" t="s">
        <v>21</v>
      </c>
      <c r="F1964" s="121">
        <v>3905</v>
      </c>
      <c r="G1964" s="123"/>
      <c r="H1964" s="103" t="s">
        <v>3991</v>
      </c>
    </row>
    <row r="1965" spans="2:8" x14ac:dyDescent="0.25">
      <c r="B1965">
        <v>1963</v>
      </c>
      <c r="C1965" t="s">
        <v>3992</v>
      </c>
      <c r="D1965" t="s">
        <v>3993</v>
      </c>
      <c r="E1965" t="s">
        <v>9</v>
      </c>
      <c r="F1965" s="121">
        <v>3880</v>
      </c>
      <c r="G1965" s="123"/>
      <c r="H1965" s="103" t="s">
        <v>3994</v>
      </c>
    </row>
    <row r="1966" spans="2:8" x14ac:dyDescent="0.25">
      <c r="B1966">
        <v>1964</v>
      </c>
      <c r="C1966" t="s">
        <v>3995</v>
      </c>
      <c r="D1966" t="s">
        <v>3996</v>
      </c>
      <c r="E1966" t="s">
        <v>9</v>
      </c>
      <c r="F1966" s="121">
        <v>4825</v>
      </c>
      <c r="G1966" s="123">
        <v>23</v>
      </c>
      <c r="H1966" s="103" t="s">
        <v>3997</v>
      </c>
    </row>
    <row r="1967" spans="2:8" x14ac:dyDescent="0.25">
      <c r="B1967">
        <v>1965</v>
      </c>
      <c r="C1967" t="s">
        <v>3998</v>
      </c>
      <c r="D1967" t="s">
        <v>3999</v>
      </c>
      <c r="E1967" t="s">
        <v>9</v>
      </c>
      <c r="F1967" s="121">
        <v>4825</v>
      </c>
      <c r="G1967" s="123"/>
      <c r="H1967" s="103" t="s">
        <v>4000</v>
      </c>
    </row>
    <row r="1968" spans="2:8" x14ac:dyDescent="0.25">
      <c r="B1968">
        <v>1966</v>
      </c>
      <c r="C1968" t="s">
        <v>4001</v>
      </c>
      <c r="D1968" t="s">
        <v>4002</v>
      </c>
      <c r="E1968" t="s">
        <v>9</v>
      </c>
      <c r="F1968" s="121">
        <v>4825</v>
      </c>
      <c r="G1968" s="123">
        <v>1</v>
      </c>
      <c r="H1968" s="103" t="s">
        <v>4003</v>
      </c>
    </row>
    <row r="1969" spans="2:8" x14ac:dyDescent="0.25">
      <c r="B1969">
        <v>1967</v>
      </c>
      <c r="C1969" t="s">
        <v>4004</v>
      </c>
      <c r="D1969" t="s">
        <v>4005</v>
      </c>
      <c r="E1969" t="s">
        <v>35</v>
      </c>
      <c r="F1969" s="121" t="s">
        <v>532</v>
      </c>
      <c r="G1969" s="123" t="s">
        <v>37</v>
      </c>
      <c r="H1969" s="103" t="s">
        <v>4006</v>
      </c>
    </row>
    <row r="1970" spans="2:8" x14ac:dyDescent="0.25">
      <c r="B1970">
        <v>1968</v>
      </c>
      <c r="C1970" t="s">
        <v>4007</v>
      </c>
      <c r="D1970" t="s">
        <v>4008</v>
      </c>
      <c r="E1970" t="s">
        <v>35</v>
      </c>
      <c r="F1970" s="121" t="s">
        <v>1843</v>
      </c>
      <c r="G1970" s="123"/>
      <c r="H1970" s="103" t="s">
        <v>4009</v>
      </c>
    </row>
    <row r="1971" spans="2:8" x14ac:dyDescent="0.25">
      <c r="B1971">
        <v>1969</v>
      </c>
      <c r="C1971" t="s">
        <v>4010</v>
      </c>
      <c r="D1971" t="s">
        <v>4011</v>
      </c>
      <c r="E1971" t="s">
        <v>9</v>
      </c>
      <c r="F1971" s="121">
        <v>4601</v>
      </c>
      <c r="G1971" s="123">
        <v>13</v>
      </c>
      <c r="H1971" s="103" t="s">
        <v>4012</v>
      </c>
    </row>
    <row r="1972" spans="2:8" x14ac:dyDescent="0.25">
      <c r="B1972">
        <v>1970</v>
      </c>
      <c r="C1972" t="s">
        <v>4013</v>
      </c>
      <c r="D1972" t="s">
        <v>4014</v>
      </c>
      <c r="E1972" t="s">
        <v>9</v>
      </c>
      <c r="F1972" s="121">
        <v>4825</v>
      </c>
      <c r="G1972" s="123"/>
      <c r="H1972" s="103" t="s">
        <v>4015</v>
      </c>
    </row>
    <row r="1973" spans="2:8" x14ac:dyDescent="0.25">
      <c r="B1973">
        <v>1971</v>
      </c>
      <c r="C1973" t="s">
        <v>4016</v>
      </c>
      <c r="D1973" t="s">
        <v>4017</v>
      </c>
      <c r="E1973" t="s">
        <v>9</v>
      </c>
      <c r="F1973" s="121">
        <v>4825</v>
      </c>
      <c r="G1973" s="123">
        <v>13</v>
      </c>
      <c r="H1973" s="103" t="s">
        <v>4018</v>
      </c>
    </row>
    <row r="1974" spans="2:8" x14ac:dyDescent="0.25">
      <c r="B1974">
        <v>1972</v>
      </c>
      <c r="C1974" t="s">
        <v>4019</v>
      </c>
      <c r="D1974" s="125" t="s">
        <v>4020</v>
      </c>
      <c r="E1974" t="s">
        <v>4021</v>
      </c>
      <c r="G1974" s="123"/>
    </row>
    <row r="1975" spans="2:8" x14ac:dyDescent="0.25">
      <c r="B1975">
        <v>1973</v>
      </c>
      <c r="C1975" t="s">
        <v>4022</v>
      </c>
      <c r="D1975" t="s">
        <v>4023</v>
      </c>
      <c r="E1975" t="s">
        <v>9</v>
      </c>
      <c r="F1975" s="121">
        <v>937</v>
      </c>
      <c r="G1975" s="123"/>
      <c r="H1975" s="103" t="s">
        <v>4024</v>
      </c>
    </row>
    <row r="1976" spans="2:8" x14ac:dyDescent="0.25">
      <c r="B1976">
        <v>1974</v>
      </c>
      <c r="C1976" t="s">
        <v>4025</v>
      </c>
      <c r="D1976" t="s">
        <v>4026</v>
      </c>
      <c r="E1976" t="s">
        <v>9</v>
      </c>
      <c r="F1976" s="121">
        <v>3880</v>
      </c>
      <c r="G1976" s="123">
        <v>1288</v>
      </c>
      <c r="H1976" s="103" t="s">
        <v>4027</v>
      </c>
    </row>
    <row r="1977" spans="2:8" x14ac:dyDescent="0.25">
      <c r="B1977">
        <v>1975</v>
      </c>
      <c r="C1977" t="s">
        <v>144</v>
      </c>
      <c r="D1977" t="s">
        <v>4028</v>
      </c>
      <c r="E1977" t="s">
        <v>9</v>
      </c>
      <c r="F1977" s="121">
        <v>4825</v>
      </c>
      <c r="G1977" s="123"/>
      <c r="H1977" s="103" t="s">
        <v>4029</v>
      </c>
    </row>
    <row r="1978" spans="2:8" x14ac:dyDescent="0.25">
      <c r="B1978">
        <v>1976</v>
      </c>
      <c r="C1978" t="s">
        <v>4030</v>
      </c>
      <c r="D1978" t="s">
        <v>4031</v>
      </c>
      <c r="E1978" t="s">
        <v>21</v>
      </c>
      <c r="F1978" s="121">
        <v>3858</v>
      </c>
      <c r="G1978" s="123"/>
      <c r="H1978" s="103" t="s">
        <v>4032</v>
      </c>
    </row>
    <row r="1979" spans="2:8" x14ac:dyDescent="0.25">
      <c r="B1979">
        <v>1977</v>
      </c>
      <c r="C1979" t="s">
        <v>4033</v>
      </c>
      <c r="D1979" t="s">
        <v>4034</v>
      </c>
      <c r="E1979" t="s">
        <v>21</v>
      </c>
      <c r="F1979" s="121">
        <v>3905</v>
      </c>
      <c r="G1979" s="123"/>
      <c r="H1979" s="103" t="s">
        <v>4035</v>
      </c>
    </row>
    <row r="1980" spans="2:8" x14ac:dyDescent="0.25">
      <c r="B1980">
        <v>1978</v>
      </c>
      <c r="C1980" t="s">
        <v>4036</v>
      </c>
      <c r="D1980" t="s">
        <v>4037</v>
      </c>
      <c r="E1980" t="s">
        <v>21</v>
      </c>
      <c r="F1980" s="121">
        <v>3860</v>
      </c>
      <c r="G1980" s="123"/>
      <c r="H1980" s="103" t="s">
        <v>4038</v>
      </c>
    </row>
    <row r="1981" spans="2:8" x14ac:dyDescent="0.25">
      <c r="B1981">
        <v>1979</v>
      </c>
      <c r="C1981" t="s">
        <v>4039</v>
      </c>
      <c r="D1981" t="s">
        <v>4040</v>
      </c>
      <c r="E1981" t="s">
        <v>21</v>
      </c>
      <c r="F1981" s="121">
        <v>3943</v>
      </c>
      <c r="G1981" s="123"/>
      <c r="H1981" s="103" t="s">
        <v>4041</v>
      </c>
    </row>
    <row r="1982" spans="2:8" x14ac:dyDescent="0.25">
      <c r="B1982">
        <v>1980</v>
      </c>
      <c r="C1982" t="s">
        <v>4042</v>
      </c>
      <c r="D1982" t="s">
        <v>4043</v>
      </c>
      <c r="E1982" t="s">
        <v>35</v>
      </c>
      <c r="F1982" s="121" t="s">
        <v>379</v>
      </c>
      <c r="G1982" s="123" t="s">
        <v>37</v>
      </c>
      <c r="H1982" s="103" t="s">
        <v>4044</v>
      </c>
    </row>
    <row r="1983" spans="2:8" x14ac:dyDescent="0.25">
      <c r="B1983">
        <v>1981</v>
      </c>
      <c r="C1983" t="s">
        <v>4045</v>
      </c>
      <c r="D1983" t="s">
        <v>4046</v>
      </c>
      <c r="E1983" t="s">
        <v>21</v>
      </c>
      <c r="F1983" s="121" t="s">
        <v>44</v>
      </c>
      <c r="G1983" s="103" t="s">
        <v>37</v>
      </c>
      <c r="H1983" s="103" t="s">
        <v>4047</v>
      </c>
    </row>
    <row r="1984" spans="2:8" x14ac:dyDescent="0.25">
      <c r="B1984">
        <v>1982</v>
      </c>
      <c r="C1984" t="s">
        <v>4048</v>
      </c>
      <c r="D1984" t="s">
        <v>4049</v>
      </c>
      <c r="E1984" t="s">
        <v>9</v>
      </c>
      <c r="F1984" s="121">
        <v>937</v>
      </c>
      <c r="G1984" s="123"/>
      <c r="H1984" s="103" t="s">
        <v>4050</v>
      </c>
    </row>
    <row r="1985" spans="2:8" x14ac:dyDescent="0.25">
      <c r="B1985">
        <v>1983</v>
      </c>
      <c r="C1985" t="s">
        <v>4051</v>
      </c>
      <c r="D1985" t="s">
        <v>4052</v>
      </c>
      <c r="E1985" t="s">
        <v>9</v>
      </c>
      <c r="F1985" s="121">
        <v>4825</v>
      </c>
      <c r="G1985" s="123">
        <v>13</v>
      </c>
      <c r="H1985" s="103" t="s">
        <v>4053</v>
      </c>
    </row>
    <row r="1986" spans="2:8" x14ac:dyDescent="0.25">
      <c r="B1986">
        <v>1984</v>
      </c>
      <c r="C1986" t="s">
        <v>4054</v>
      </c>
      <c r="D1986" t="s">
        <v>4055</v>
      </c>
      <c r="E1986" t="s">
        <v>9</v>
      </c>
      <c r="F1986" s="121">
        <v>4825</v>
      </c>
      <c r="G1986" s="123"/>
      <c r="H1986" s="103" t="s">
        <v>4056</v>
      </c>
    </row>
    <row r="1987" spans="2:8" x14ac:dyDescent="0.25">
      <c r="B1987">
        <v>1985</v>
      </c>
      <c r="C1987" t="s">
        <v>4057</v>
      </c>
      <c r="D1987" t="s">
        <v>4058</v>
      </c>
      <c r="E1987" t="s">
        <v>9</v>
      </c>
      <c r="F1987" s="121">
        <v>780</v>
      </c>
      <c r="G1987" s="123"/>
      <c r="H1987" s="103" t="s">
        <v>4059</v>
      </c>
    </row>
    <row r="1988" spans="2:8" x14ac:dyDescent="0.25">
      <c r="B1988">
        <v>1986</v>
      </c>
      <c r="C1988" t="s">
        <v>4060</v>
      </c>
      <c r="D1988" t="s">
        <v>4061</v>
      </c>
      <c r="E1988" t="s">
        <v>9</v>
      </c>
      <c r="F1988" s="121">
        <v>4825</v>
      </c>
      <c r="G1988" s="123"/>
      <c r="H1988" s="103" t="s">
        <v>4062</v>
      </c>
    </row>
    <row r="1989" spans="2:8" x14ac:dyDescent="0.25">
      <c r="B1989">
        <v>1987</v>
      </c>
      <c r="C1989" t="s">
        <v>4063</v>
      </c>
      <c r="D1989" t="s">
        <v>4064</v>
      </c>
      <c r="E1989" t="s">
        <v>21</v>
      </c>
      <c r="F1989" s="121">
        <v>3943</v>
      </c>
      <c r="G1989" s="123"/>
      <c r="H1989" s="103" t="s">
        <v>4065</v>
      </c>
    </row>
    <row r="1990" spans="2:8" x14ac:dyDescent="0.25">
      <c r="B1990">
        <v>1988</v>
      </c>
      <c r="C1990" t="s">
        <v>4066</v>
      </c>
      <c r="D1990" t="s">
        <v>4067</v>
      </c>
      <c r="E1990" t="s">
        <v>21</v>
      </c>
      <c r="F1990" s="121">
        <v>3905</v>
      </c>
      <c r="G1990" s="123"/>
      <c r="H1990" s="103" t="s">
        <v>4068</v>
      </c>
    </row>
    <row r="1991" spans="2:8" x14ac:dyDescent="0.25">
      <c r="B1991">
        <v>1989</v>
      </c>
      <c r="C1991" t="s">
        <v>4069</v>
      </c>
      <c r="D1991" t="s">
        <v>4070</v>
      </c>
      <c r="E1991" t="s">
        <v>9</v>
      </c>
      <c r="F1991" s="121">
        <v>4825</v>
      </c>
      <c r="G1991" s="123"/>
      <c r="H1991" s="103" t="s">
        <v>4071</v>
      </c>
    </row>
    <row r="1992" spans="2:8" x14ac:dyDescent="0.25">
      <c r="B1992">
        <v>1990</v>
      </c>
      <c r="C1992" t="s">
        <v>4072</v>
      </c>
      <c r="D1992" t="s">
        <v>4073</v>
      </c>
      <c r="E1992" t="s">
        <v>21</v>
      </c>
      <c r="F1992" s="121" t="s">
        <v>431</v>
      </c>
      <c r="G1992" s="123" t="s">
        <v>37</v>
      </c>
      <c r="H1992" s="103" t="s">
        <v>4074</v>
      </c>
    </row>
    <row r="1993" spans="2:8" x14ac:dyDescent="0.25">
      <c r="B1993">
        <v>1991</v>
      </c>
      <c r="C1993" t="s">
        <v>4075</v>
      </c>
      <c r="D1993" t="s">
        <v>4076</v>
      </c>
      <c r="E1993" t="s">
        <v>9</v>
      </c>
      <c r="F1993" s="121">
        <v>780</v>
      </c>
      <c r="G1993" s="123" t="s">
        <v>720</v>
      </c>
      <c r="H1993" s="103" t="s">
        <v>2152</v>
      </c>
    </row>
    <row r="1994" spans="2:8" x14ac:dyDescent="0.25">
      <c r="B1994">
        <v>1992</v>
      </c>
      <c r="C1994" t="s">
        <v>4077</v>
      </c>
      <c r="D1994" t="s">
        <v>4078</v>
      </c>
      <c r="E1994" t="s">
        <v>9</v>
      </c>
      <c r="F1994" s="121">
        <v>4535</v>
      </c>
      <c r="H1994" s="103" t="s">
        <v>4079</v>
      </c>
    </row>
    <row r="1995" spans="2:8" x14ac:dyDescent="0.25">
      <c r="B1995">
        <v>1993</v>
      </c>
      <c r="C1995" t="s">
        <v>4080</v>
      </c>
      <c r="D1995" t="s">
        <v>4081</v>
      </c>
      <c r="E1995" t="s">
        <v>21</v>
      </c>
      <c r="F1995" s="121" t="s">
        <v>44</v>
      </c>
      <c r="H1995" s="103" t="s">
        <v>4082</v>
      </c>
    </row>
    <row r="1996" spans="2:8" x14ac:dyDescent="0.25">
      <c r="B1996">
        <v>1994</v>
      </c>
      <c r="C1996" t="s">
        <v>4083</v>
      </c>
      <c r="D1996" t="s">
        <v>4084</v>
      </c>
      <c r="E1996" t="s">
        <v>9</v>
      </c>
      <c r="F1996" s="121">
        <v>4825</v>
      </c>
      <c r="H1996" s="103" t="s">
        <v>5115</v>
      </c>
    </row>
    <row r="1997" spans="2:8" x14ac:dyDescent="0.25">
      <c r="B1997">
        <v>1995</v>
      </c>
      <c r="C1997" t="s">
        <v>4085</v>
      </c>
      <c r="D1997" t="s">
        <v>4086</v>
      </c>
      <c r="E1997" t="s">
        <v>9</v>
      </c>
      <c r="F1997" s="121">
        <v>4825</v>
      </c>
      <c r="H1997" s="103" t="s">
        <v>4087</v>
      </c>
    </row>
    <row r="1998" spans="2:8" x14ac:dyDescent="0.25">
      <c r="B1998">
        <v>1996</v>
      </c>
      <c r="C1998" t="s">
        <v>850</v>
      </c>
      <c r="D1998" t="s">
        <v>4088</v>
      </c>
      <c r="E1998" t="s">
        <v>9</v>
      </c>
      <c r="F1998" s="121">
        <v>949</v>
      </c>
      <c r="G1998" s="123">
        <v>13</v>
      </c>
      <c r="H1998" s="103" t="s">
        <v>851</v>
      </c>
    </row>
    <row r="1999" spans="2:8" x14ac:dyDescent="0.25">
      <c r="B1999">
        <v>1997</v>
      </c>
      <c r="C1999" t="s">
        <v>4089</v>
      </c>
      <c r="D1999" t="s">
        <v>4090</v>
      </c>
      <c r="E1999" t="s">
        <v>35</v>
      </c>
      <c r="F1999" s="121" t="s">
        <v>36</v>
      </c>
      <c r="H1999" s="103" t="s">
        <v>4091</v>
      </c>
    </row>
    <row r="2000" spans="2:8" x14ac:dyDescent="0.25">
      <c r="B2000">
        <v>1998</v>
      </c>
      <c r="C2000" t="s">
        <v>4092</v>
      </c>
      <c r="D2000" t="s">
        <v>4093</v>
      </c>
      <c r="E2000" t="s">
        <v>9</v>
      </c>
      <c r="F2000" s="121">
        <v>4825</v>
      </c>
      <c r="G2000" s="123">
        <v>13</v>
      </c>
      <c r="H2000" s="103" t="s">
        <v>1758</v>
      </c>
    </row>
    <row r="2001" spans="2:8" x14ac:dyDescent="0.25">
      <c r="B2001">
        <v>1999</v>
      </c>
      <c r="C2001" t="s">
        <v>4094</v>
      </c>
      <c r="D2001" t="s">
        <v>4095</v>
      </c>
      <c r="E2001" t="s">
        <v>21</v>
      </c>
      <c r="F2001" s="121" t="s">
        <v>264</v>
      </c>
      <c r="G2001" s="103" t="s">
        <v>22</v>
      </c>
      <c r="H2001" s="103" t="s">
        <v>4096</v>
      </c>
    </row>
    <row r="2002" spans="2:8" x14ac:dyDescent="0.25">
      <c r="B2002">
        <v>2000</v>
      </c>
      <c r="C2002" t="s">
        <v>4097</v>
      </c>
      <c r="D2002" t="s">
        <v>4098</v>
      </c>
      <c r="E2002" t="s">
        <v>9</v>
      </c>
      <c r="F2002" s="121">
        <v>3477</v>
      </c>
      <c r="G2002" s="123">
        <v>13</v>
      </c>
      <c r="H2002" s="103" t="s">
        <v>4099</v>
      </c>
    </row>
    <row r="2003" spans="2:8" x14ac:dyDescent="0.25">
      <c r="B2003">
        <v>2001</v>
      </c>
      <c r="C2003" t="s">
        <v>4100</v>
      </c>
      <c r="D2003" t="s">
        <v>4101</v>
      </c>
      <c r="E2003" t="s">
        <v>21</v>
      </c>
      <c r="F2003" s="121">
        <v>7615</v>
      </c>
      <c r="H2003" s="103" t="s">
        <v>4102</v>
      </c>
    </row>
    <row r="2004" spans="2:8" x14ac:dyDescent="0.25">
      <c r="B2004">
        <v>2002</v>
      </c>
      <c r="C2004" t="s">
        <v>4103</v>
      </c>
      <c r="D2004" t="s">
        <v>4104</v>
      </c>
      <c r="E2004" t="s">
        <v>21</v>
      </c>
      <c r="F2004" s="121">
        <v>3871</v>
      </c>
      <c r="H2004" s="103" t="s">
        <v>4105</v>
      </c>
    </row>
    <row r="2005" spans="2:8" x14ac:dyDescent="0.25">
      <c r="B2005">
        <v>2003</v>
      </c>
      <c r="C2005" t="s">
        <v>4106</v>
      </c>
      <c r="D2005"/>
      <c r="E2005" t="s">
        <v>9</v>
      </c>
      <c r="F2005" s="121">
        <v>4825</v>
      </c>
      <c r="H2005" s="103" t="s">
        <v>4107</v>
      </c>
    </row>
    <row r="2006" spans="2:8" x14ac:dyDescent="0.25">
      <c r="B2006">
        <v>2004</v>
      </c>
      <c r="C2006" t="s">
        <v>4108</v>
      </c>
      <c r="D2006" t="s">
        <v>4109</v>
      </c>
      <c r="E2006" t="s">
        <v>9</v>
      </c>
      <c r="F2006" s="121">
        <v>4825</v>
      </c>
      <c r="H2006" s="103" t="s">
        <v>4110</v>
      </c>
    </row>
    <row r="2007" spans="2:8" x14ac:dyDescent="0.25">
      <c r="B2007">
        <v>2005</v>
      </c>
      <c r="C2007" t="s">
        <v>4111</v>
      </c>
      <c r="D2007" t="s">
        <v>4112</v>
      </c>
      <c r="E2007" t="s">
        <v>35</v>
      </c>
      <c r="F2007" s="121" t="s">
        <v>452</v>
      </c>
      <c r="G2007" s="103" t="s">
        <v>22</v>
      </c>
      <c r="H2007" s="103" t="s">
        <v>4113</v>
      </c>
    </row>
    <row r="2008" spans="2:8" x14ac:dyDescent="0.25">
      <c r="B2008">
        <v>2006</v>
      </c>
      <c r="C2008" t="s">
        <v>4114</v>
      </c>
      <c r="D2008" t="s">
        <v>4115</v>
      </c>
      <c r="E2008" t="s">
        <v>9</v>
      </c>
      <c r="F2008" s="121">
        <v>4818</v>
      </c>
      <c r="H2008" s="103" t="s">
        <v>4116</v>
      </c>
    </row>
    <row r="2009" spans="2:8" x14ac:dyDescent="0.25">
      <c r="B2009">
        <v>2007</v>
      </c>
      <c r="C2009" t="s">
        <v>4117</v>
      </c>
      <c r="D2009" t="s">
        <v>4118</v>
      </c>
      <c r="E2009" t="s">
        <v>9</v>
      </c>
      <c r="F2009" s="121">
        <v>4818</v>
      </c>
      <c r="H2009" s="103" t="s">
        <v>4119</v>
      </c>
    </row>
    <row r="2010" spans="2:8" x14ac:dyDescent="0.25">
      <c r="B2010">
        <v>2008</v>
      </c>
      <c r="C2010" t="s">
        <v>4120</v>
      </c>
      <c r="D2010" t="s">
        <v>4121</v>
      </c>
      <c r="E2010" t="s">
        <v>9</v>
      </c>
      <c r="F2010" s="121">
        <v>4825</v>
      </c>
      <c r="H2010" s="103" t="s">
        <v>4122</v>
      </c>
    </row>
    <row r="2011" spans="2:8" x14ac:dyDescent="0.25">
      <c r="B2011">
        <v>2009</v>
      </c>
      <c r="C2011" t="s">
        <v>4123</v>
      </c>
      <c r="D2011" t="s">
        <v>4124</v>
      </c>
      <c r="E2011" t="s">
        <v>9</v>
      </c>
      <c r="F2011" s="121">
        <v>4557</v>
      </c>
      <c r="G2011" s="123">
        <v>13</v>
      </c>
      <c r="H2011" s="103" t="s">
        <v>4125</v>
      </c>
    </row>
    <row r="2012" spans="2:8" x14ac:dyDescent="0.25">
      <c r="B2012">
        <v>2010</v>
      </c>
      <c r="C2012" t="s">
        <v>4126</v>
      </c>
      <c r="D2012" t="s">
        <v>4127</v>
      </c>
      <c r="E2012" t="s">
        <v>21</v>
      </c>
      <c r="F2012" s="121" t="s">
        <v>44</v>
      </c>
      <c r="G2012" s="103" t="s">
        <v>37</v>
      </c>
      <c r="H2012" s="103" t="s">
        <v>4128</v>
      </c>
    </row>
    <row r="2013" spans="2:8" x14ac:dyDescent="0.25">
      <c r="B2013">
        <v>2011</v>
      </c>
      <c r="C2013" t="s">
        <v>259</v>
      </c>
      <c r="D2013" t="s">
        <v>4129</v>
      </c>
      <c r="E2013" t="s">
        <v>9</v>
      </c>
      <c r="F2013" s="121">
        <v>1053</v>
      </c>
      <c r="G2013" s="123">
        <v>13</v>
      </c>
      <c r="H2013" s="103" t="s">
        <v>260</v>
      </c>
    </row>
    <row r="2014" spans="2:8" x14ac:dyDescent="0.25">
      <c r="B2014">
        <v>2012</v>
      </c>
      <c r="C2014" t="s">
        <v>4130</v>
      </c>
      <c r="D2014" t="s">
        <v>4131</v>
      </c>
      <c r="E2014" t="s">
        <v>9</v>
      </c>
      <c r="F2014" s="121">
        <v>4825</v>
      </c>
      <c r="G2014" s="123">
        <v>13</v>
      </c>
      <c r="H2014" s="103" t="s">
        <v>4132</v>
      </c>
    </row>
    <row r="2015" spans="2:8" x14ac:dyDescent="0.25">
      <c r="B2015">
        <v>2013</v>
      </c>
      <c r="C2015" t="s">
        <v>4133</v>
      </c>
      <c r="D2015" t="s">
        <v>4134</v>
      </c>
      <c r="E2015" t="s">
        <v>9</v>
      </c>
      <c r="F2015" s="121">
        <v>2734</v>
      </c>
      <c r="G2015" s="123">
        <v>13</v>
      </c>
      <c r="H2015" s="103" t="s">
        <v>2808</v>
      </c>
    </row>
    <row r="2016" spans="2:8" x14ac:dyDescent="0.25">
      <c r="B2016">
        <v>2014</v>
      </c>
      <c r="C2016" t="s">
        <v>4135</v>
      </c>
      <c r="D2016" t="s">
        <v>4136</v>
      </c>
      <c r="E2016" t="s">
        <v>9</v>
      </c>
      <c r="F2016" s="121">
        <v>566</v>
      </c>
      <c r="G2016" s="123"/>
      <c r="H2016" s="103" t="s">
        <v>4137</v>
      </c>
    </row>
    <row r="2017" spans="2:8" x14ac:dyDescent="0.25">
      <c r="B2017">
        <v>2015</v>
      </c>
      <c r="C2017" t="s">
        <v>4138</v>
      </c>
      <c r="D2017" t="s">
        <v>4139</v>
      </c>
      <c r="E2017" t="s">
        <v>9</v>
      </c>
      <c r="F2017" s="121">
        <v>4825</v>
      </c>
      <c r="G2017" s="123"/>
      <c r="H2017" s="103" t="s">
        <v>4140</v>
      </c>
    </row>
    <row r="2018" spans="2:8" x14ac:dyDescent="0.25">
      <c r="B2018">
        <v>2016</v>
      </c>
      <c r="C2018" t="s">
        <v>4141</v>
      </c>
      <c r="D2018" t="s">
        <v>4142</v>
      </c>
      <c r="E2018" t="s">
        <v>21</v>
      </c>
      <c r="F2018" s="121">
        <v>3943</v>
      </c>
      <c r="G2018" s="123"/>
      <c r="H2018" s="103" t="s">
        <v>4143</v>
      </c>
    </row>
    <row r="2019" spans="2:8" x14ac:dyDescent="0.25">
      <c r="B2019">
        <v>2017</v>
      </c>
      <c r="C2019" t="s">
        <v>4144</v>
      </c>
      <c r="D2019" t="s">
        <v>4145</v>
      </c>
      <c r="E2019" t="s">
        <v>21</v>
      </c>
      <c r="F2019" s="121" t="s">
        <v>4146</v>
      </c>
      <c r="G2019" s="123" t="s">
        <v>37</v>
      </c>
      <c r="H2019" s="103" t="s">
        <v>4147</v>
      </c>
    </row>
    <row r="2020" spans="2:8" x14ac:dyDescent="0.25">
      <c r="B2020">
        <v>2018</v>
      </c>
      <c r="C2020" t="s">
        <v>4148</v>
      </c>
      <c r="D2020" t="s">
        <v>4149</v>
      </c>
      <c r="E2020" t="s">
        <v>9</v>
      </c>
      <c r="F2020" s="121">
        <v>4601</v>
      </c>
      <c r="G2020" s="123"/>
      <c r="H2020" s="103" t="s">
        <v>4150</v>
      </c>
    </row>
    <row r="2021" spans="2:8" x14ac:dyDescent="0.25">
      <c r="B2021">
        <v>2019</v>
      </c>
      <c r="C2021" t="s">
        <v>4151</v>
      </c>
      <c r="D2021" t="s">
        <v>4152</v>
      </c>
      <c r="E2021" t="s">
        <v>9</v>
      </c>
      <c r="F2021" s="121">
        <v>4601</v>
      </c>
      <c r="G2021" s="123"/>
      <c r="H2021" s="103" t="s">
        <v>4153</v>
      </c>
    </row>
    <row r="2022" spans="2:8" x14ac:dyDescent="0.25">
      <c r="B2022">
        <v>2020</v>
      </c>
      <c r="C2022" t="s">
        <v>4154</v>
      </c>
      <c r="D2022" t="s">
        <v>4155</v>
      </c>
      <c r="E2022" t="s">
        <v>9</v>
      </c>
      <c r="F2022" s="121">
        <v>4601</v>
      </c>
      <c r="G2022" s="123">
        <v>13</v>
      </c>
      <c r="H2022" s="103" t="s">
        <v>4156</v>
      </c>
    </row>
    <row r="2023" spans="2:8" x14ac:dyDescent="0.25">
      <c r="B2023">
        <v>2021</v>
      </c>
      <c r="C2023" t="s">
        <v>4157</v>
      </c>
      <c r="D2023" t="s">
        <v>4158</v>
      </c>
      <c r="E2023" t="s">
        <v>21</v>
      </c>
      <c r="F2023" s="121" t="s">
        <v>72</v>
      </c>
      <c r="G2023" s="123" t="s">
        <v>37</v>
      </c>
      <c r="H2023" s="103" t="s">
        <v>4159</v>
      </c>
    </row>
    <row r="2024" spans="2:8" x14ac:dyDescent="0.25">
      <c r="B2024">
        <v>2022</v>
      </c>
      <c r="C2024" t="s">
        <v>4160</v>
      </c>
      <c r="D2024" t="s">
        <v>4161</v>
      </c>
      <c r="E2024" t="s">
        <v>21</v>
      </c>
      <c r="F2024" s="121" t="s">
        <v>72</v>
      </c>
      <c r="G2024" s="123" t="s">
        <v>37</v>
      </c>
      <c r="H2024" s="103" t="s">
        <v>4162</v>
      </c>
    </row>
    <row r="2025" spans="2:8" x14ac:dyDescent="0.25">
      <c r="B2025">
        <v>2023</v>
      </c>
      <c r="C2025" t="s">
        <v>4163</v>
      </c>
      <c r="D2025" t="s">
        <v>4164</v>
      </c>
      <c r="E2025" t="s">
        <v>9</v>
      </c>
      <c r="F2025" s="121">
        <v>4601</v>
      </c>
      <c r="G2025" s="123"/>
      <c r="H2025" s="103" t="s">
        <v>4165</v>
      </c>
    </row>
    <row r="2026" spans="2:8" x14ac:dyDescent="0.25">
      <c r="B2026">
        <v>2024</v>
      </c>
      <c r="C2026" t="s">
        <v>4166</v>
      </c>
      <c r="D2026" t="s">
        <v>4167</v>
      </c>
      <c r="E2026" t="s">
        <v>9</v>
      </c>
      <c r="F2026" s="121">
        <v>780</v>
      </c>
      <c r="G2026" s="123"/>
      <c r="H2026" s="103" t="s">
        <v>4168</v>
      </c>
    </row>
    <row r="2027" spans="2:8" x14ac:dyDescent="0.25">
      <c r="B2027">
        <v>2025</v>
      </c>
      <c r="C2027" t="s">
        <v>4169</v>
      </c>
      <c r="D2027" t="s">
        <v>4170</v>
      </c>
      <c r="E2027" t="s">
        <v>9</v>
      </c>
      <c r="F2027" s="121">
        <v>4601</v>
      </c>
      <c r="G2027" s="123"/>
      <c r="H2027" s="103" t="s">
        <v>4171</v>
      </c>
    </row>
    <row r="2028" spans="2:8" x14ac:dyDescent="0.25">
      <c r="B2028">
        <v>2026</v>
      </c>
      <c r="C2028" t="s">
        <v>4172</v>
      </c>
      <c r="D2028" t="s">
        <v>4173</v>
      </c>
      <c r="E2028" t="s">
        <v>9</v>
      </c>
      <c r="F2028" s="121">
        <v>4601</v>
      </c>
      <c r="G2028" s="123"/>
      <c r="H2028" s="103" t="s">
        <v>4174</v>
      </c>
    </row>
    <row r="2029" spans="2:8" x14ac:dyDescent="0.25">
      <c r="B2029">
        <v>2027</v>
      </c>
      <c r="C2029" t="s">
        <v>4175</v>
      </c>
      <c r="D2029" t="s">
        <v>4176</v>
      </c>
      <c r="E2029" t="s">
        <v>9</v>
      </c>
      <c r="F2029" s="121">
        <v>4601</v>
      </c>
      <c r="G2029" s="123"/>
      <c r="H2029" s="103" t="s">
        <v>4177</v>
      </c>
    </row>
    <row r="2030" spans="2:8" x14ac:dyDescent="0.25">
      <c r="B2030">
        <v>2028</v>
      </c>
      <c r="C2030" t="s">
        <v>4178</v>
      </c>
      <c r="D2030" t="s">
        <v>4179</v>
      </c>
      <c r="E2030" t="s">
        <v>9</v>
      </c>
      <c r="F2030" s="121">
        <v>4601</v>
      </c>
      <c r="G2030" s="123"/>
      <c r="H2030" s="103" t="s">
        <v>4180</v>
      </c>
    </row>
    <row r="2031" spans="2:8" x14ac:dyDescent="0.25">
      <c r="B2031">
        <v>2029</v>
      </c>
      <c r="C2031" t="s">
        <v>4181</v>
      </c>
      <c r="D2031" t="s">
        <v>4182</v>
      </c>
      <c r="E2031" t="s">
        <v>9</v>
      </c>
      <c r="F2031" s="121">
        <v>4601</v>
      </c>
      <c r="H2031" s="103" t="s">
        <v>4183</v>
      </c>
    </row>
    <row r="2032" spans="2:8" x14ac:dyDescent="0.25">
      <c r="B2032">
        <v>2030</v>
      </c>
      <c r="C2032" t="s">
        <v>4184</v>
      </c>
      <c r="D2032" t="s">
        <v>4185</v>
      </c>
      <c r="E2032" t="s">
        <v>9</v>
      </c>
      <c r="F2032" s="121">
        <v>4601</v>
      </c>
      <c r="H2032" s="103" t="s">
        <v>4186</v>
      </c>
    </row>
    <row r="2033" spans="2:8" x14ac:dyDescent="0.25">
      <c r="B2033">
        <v>2031</v>
      </c>
      <c r="C2033" t="s">
        <v>4187</v>
      </c>
      <c r="D2033" t="s">
        <v>4188</v>
      </c>
      <c r="E2033" t="s">
        <v>9</v>
      </c>
      <c r="F2033" s="121">
        <v>4601</v>
      </c>
      <c r="H2033" s="103" t="s">
        <v>4189</v>
      </c>
    </row>
    <row r="2034" spans="2:8" x14ac:dyDescent="0.25">
      <c r="B2034">
        <v>2032</v>
      </c>
      <c r="C2034" t="s">
        <v>4190</v>
      </c>
      <c r="D2034" t="s">
        <v>4191</v>
      </c>
      <c r="E2034" t="s">
        <v>9</v>
      </c>
      <c r="F2034" s="121">
        <v>4601</v>
      </c>
      <c r="H2034" s="103" t="s">
        <v>4192</v>
      </c>
    </row>
    <row r="2035" spans="2:8" x14ac:dyDescent="0.25">
      <c r="B2035">
        <v>2033</v>
      </c>
      <c r="C2035" t="s">
        <v>4193</v>
      </c>
      <c r="D2035" t="s">
        <v>4194</v>
      </c>
      <c r="E2035" t="s">
        <v>9</v>
      </c>
      <c r="F2035" s="121">
        <v>4601</v>
      </c>
      <c r="H2035" s="103" t="s">
        <v>4195</v>
      </c>
    </row>
    <row r="2036" spans="2:8" x14ac:dyDescent="0.25">
      <c r="B2036">
        <v>2034</v>
      </c>
      <c r="C2036" t="s">
        <v>4196</v>
      </c>
      <c r="D2036" t="s">
        <v>4197</v>
      </c>
      <c r="E2036" t="s">
        <v>9</v>
      </c>
      <c r="F2036" s="121">
        <v>780</v>
      </c>
      <c r="H2036" s="103" t="s">
        <v>4198</v>
      </c>
    </row>
    <row r="2037" spans="2:8" x14ac:dyDescent="0.25">
      <c r="B2037">
        <v>2035</v>
      </c>
      <c r="C2037" t="s">
        <v>4199</v>
      </c>
      <c r="D2037" t="s">
        <v>4200</v>
      </c>
      <c r="E2037" t="s">
        <v>9</v>
      </c>
      <c r="F2037" s="121">
        <v>4825</v>
      </c>
      <c r="H2037" s="103" t="s">
        <v>4201</v>
      </c>
    </row>
    <row r="2038" spans="2:8" x14ac:dyDescent="0.25">
      <c r="B2038">
        <v>2036</v>
      </c>
      <c r="C2038" t="s">
        <v>4202</v>
      </c>
      <c r="D2038" t="s">
        <v>4203</v>
      </c>
      <c r="E2038" t="s">
        <v>9</v>
      </c>
      <c r="F2038" s="121">
        <v>4825</v>
      </c>
      <c r="H2038" s="103" t="s">
        <v>4204</v>
      </c>
    </row>
    <row r="2039" spans="2:8" x14ac:dyDescent="0.25">
      <c r="B2039">
        <v>2037</v>
      </c>
      <c r="C2039" t="s">
        <v>4205</v>
      </c>
      <c r="D2039" t="s">
        <v>4206</v>
      </c>
      <c r="E2039" t="s">
        <v>9</v>
      </c>
      <c r="F2039" s="121">
        <v>4825</v>
      </c>
      <c r="H2039" s="103" t="s">
        <v>4207</v>
      </c>
    </row>
    <row r="2040" spans="2:8" x14ac:dyDescent="0.25">
      <c r="B2040">
        <v>2038</v>
      </c>
      <c r="C2040" t="s">
        <v>4208</v>
      </c>
      <c r="D2040" t="s">
        <v>4209</v>
      </c>
      <c r="E2040" t="s">
        <v>21</v>
      </c>
      <c r="F2040" s="121">
        <v>3943</v>
      </c>
      <c r="H2040" s="103" t="s">
        <v>4210</v>
      </c>
    </row>
    <row r="2041" spans="2:8" x14ac:dyDescent="0.25">
      <c r="B2041">
        <v>2039</v>
      </c>
      <c r="C2041" t="s">
        <v>4211</v>
      </c>
      <c r="D2041" t="s">
        <v>4212</v>
      </c>
      <c r="E2041" t="s">
        <v>9</v>
      </c>
      <c r="F2041" s="121">
        <v>4825</v>
      </c>
      <c r="H2041" s="103" t="s">
        <v>4213</v>
      </c>
    </row>
    <row r="2042" spans="2:8" x14ac:dyDescent="0.25">
      <c r="B2042">
        <v>2040</v>
      </c>
      <c r="C2042" t="s">
        <v>4214</v>
      </c>
      <c r="D2042" t="s">
        <v>4215</v>
      </c>
      <c r="E2042" t="s">
        <v>35</v>
      </c>
      <c r="F2042" s="121" t="s">
        <v>36</v>
      </c>
      <c r="G2042" s="103" t="s">
        <v>22</v>
      </c>
      <c r="H2042" s="103" t="s">
        <v>4216</v>
      </c>
    </row>
    <row r="2043" spans="2:8" x14ac:dyDescent="0.25">
      <c r="B2043">
        <v>2041</v>
      </c>
      <c r="C2043" t="s">
        <v>4217</v>
      </c>
      <c r="D2043" t="s">
        <v>4218</v>
      </c>
      <c r="E2043" t="s">
        <v>35</v>
      </c>
      <c r="F2043" s="121" t="s">
        <v>36</v>
      </c>
      <c r="G2043" s="103" t="s">
        <v>37</v>
      </c>
      <c r="H2043" s="103" t="s">
        <v>4219</v>
      </c>
    </row>
    <row r="2044" spans="2:8" x14ac:dyDescent="0.25">
      <c r="B2044">
        <v>2042</v>
      </c>
      <c r="C2044" t="s">
        <v>4220</v>
      </c>
      <c r="D2044" t="s">
        <v>4221</v>
      </c>
      <c r="E2044" t="s">
        <v>21</v>
      </c>
      <c r="F2044" s="121" t="s">
        <v>264</v>
      </c>
      <c r="G2044" s="103" t="s">
        <v>37</v>
      </c>
      <c r="H2044" s="103" t="s">
        <v>3578</v>
      </c>
    </row>
    <row r="2045" spans="2:8" x14ac:dyDescent="0.25">
      <c r="B2045">
        <v>2043</v>
      </c>
      <c r="C2045" t="s">
        <v>3992</v>
      </c>
      <c r="D2045" t="s">
        <v>3993</v>
      </c>
      <c r="E2045" t="s">
        <v>9</v>
      </c>
      <c r="F2045" s="121">
        <v>3880</v>
      </c>
      <c r="H2045" s="103" t="s">
        <v>3994</v>
      </c>
    </row>
    <row r="2046" spans="2:8" x14ac:dyDescent="0.25">
      <c r="B2046">
        <v>2044</v>
      </c>
      <c r="C2046" t="s">
        <v>4222</v>
      </c>
      <c r="D2046" t="s">
        <v>4223</v>
      </c>
      <c r="E2046" t="s">
        <v>9</v>
      </c>
      <c r="F2046" s="121">
        <v>2055</v>
      </c>
      <c r="G2046" s="123">
        <v>13</v>
      </c>
      <c r="H2046" s="103" t="s">
        <v>4224</v>
      </c>
    </row>
    <row r="2047" spans="2:8" x14ac:dyDescent="0.25">
      <c r="B2047">
        <v>2045</v>
      </c>
      <c r="C2047" t="s">
        <v>4225</v>
      </c>
      <c r="D2047" t="s">
        <v>4226</v>
      </c>
      <c r="E2047" t="s">
        <v>9</v>
      </c>
      <c r="F2047" s="121">
        <v>4825</v>
      </c>
      <c r="G2047" s="123">
        <v>13</v>
      </c>
      <c r="H2047" s="103" t="s">
        <v>4227</v>
      </c>
    </row>
    <row r="2048" spans="2:8" x14ac:dyDescent="0.25">
      <c r="B2048">
        <v>2046</v>
      </c>
      <c r="C2048" t="s">
        <v>4228</v>
      </c>
      <c r="D2048" t="s">
        <v>4229</v>
      </c>
      <c r="E2048" t="s">
        <v>9</v>
      </c>
      <c r="F2048" s="121">
        <v>780</v>
      </c>
      <c r="G2048" s="123"/>
      <c r="H2048" s="103" t="s">
        <v>4230</v>
      </c>
    </row>
    <row r="2049" spans="2:8" x14ac:dyDescent="0.25">
      <c r="B2049">
        <v>2047</v>
      </c>
      <c r="C2049" t="s">
        <v>4231</v>
      </c>
      <c r="D2049" t="s">
        <v>4232</v>
      </c>
      <c r="E2049" t="s">
        <v>21</v>
      </c>
      <c r="F2049" s="121">
        <v>3871</v>
      </c>
      <c r="G2049" s="123"/>
      <c r="H2049" s="103" t="s">
        <v>4233</v>
      </c>
    </row>
    <row r="2050" spans="2:8" x14ac:dyDescent="0.25">
      <c r="B2050">
        <v>2048</v>
      </c>
      <c r="C2050" t="s">
        <v>793</v>
      </c>
      <c r="D2050" t="s">
        <v>4234</v>
      </c>
      <c r="E2050" t="s">
        <v>9</v>
      </c>
      <c r="F2050" s="121">
        <v>4825</v>
      </c>
      <c r="G2050" s="123">
        <v>13</v>
      </c>
      <c r="H2050" s="103" t="s">
        <v>794</v>
      </c>
    </row>
    <row r="2051" spans="2:8" x14ac:dyDescent="0.25">
      <c r="B2051">
        <v>2049</v>
      </c>
      <c r="C2051" t="s">
        <v>4235</v>
      </c>
      <c r="D2051" t="s">
        <v>4236</v>
      </c>
      <c r="E2051" t="s">
        <v>9</v>
      </c>
      <c r="F2051" s="121">
        <v>4601</v>
      </c>
      <c r="G2051" s="123"/>
      <c r="H2051" s="103" t="s">
        <v>4237</v>
      </c>
    </row>
    <row r="2052" spans="2:8" x14ac:dyDescent="0.25">
      <c r="B2052">
        <v>2050</v>
      </c>
      <c r="C2052" t="s">
        <v>4238</v>
      </c>
      <c r="D2052" t="s">
        <v>4239</v>
      </c>
      <c r="E2052" t="s">
        <v>9</v>
      </c>
      <c r="F2052" s="121">
        <v>4825</v>
      </c>
      <c r="G2052" s="123"/>
      <c r="H2052" s="103" t="s">
        <v>4240</v>
      </c>
    </row>
    <row r="2053" spans="2:8" x14ac:dyDescent="0.25">
      <c r="B2053">
        <v>2051</v>
      </c>
      <c r="C2053" t="s">
        <v>4241</v>
      </c>
      <c r="D2053" t="s">
        <v>4242</v>
      </c>
      <c r="E2053" t="s">
        <v>9</v>
      </c>
      <c r="F2053" s="121">
        <v>4825</v>
      </c>
      <c r="G2053" s="123"/>
      <c r="H2053" s="103" t="s">
        <v>4243</v>
      </c>
    </row>
    <row r="2054" spans="2:8" x14ac:dyDescent="0.25">
      <c r="B2054">
        <v>2052</v>
      </c>
      <c r="C2054" t="s">
        <v>4244</v>
      </c>
      <c r="D2054" t="s">
        <v>4245</v>
      </c>
      <c r="E2054" t="s">
        <v>9</v>
      </c>
      <c r="F2054" s="121">
        <v>780</v>
      </c>
      <c r="G2054" s="123"/>
      <c r="H2054" s="103" t="s">
        <v>4246</v>
      </c>
    </row>
    <row r="2055" spans="2:8" x14ac:dyDescent="0.25">
      <c r="B2055">
        <v>2053</v>
      </c>
      <c r="C2055" t="s">
        <v>4247</v>
      </c>
      <c r="D2055" t="s">
        <v>4248</v>
      </c>
      <c r="E2055" t="s">
        <v>9</v>
      </c>
      <c r="F2055" s="121">
        <v>4825</v>
      </c>
      <c r="G2055" s="123"/>
      <c r="H2055" s="103" t="s">
        <v>4249</v>
      </c>
    </row>
    <row r="2056" spans="2:8" x14ac:dyDescent="0.25">
      <c r="B2056">
        <v>2054</v>
      </c>
      <c r="C2056" t="s">
        <v>3339</v>
      </c>
      <c r="D2056" t="s">
        <v>4250</v>
      </c>
      <c r="E2056" t="s">
        <v>21</v>
      </c>
      <c r="F2056" s="121" t="s">
        <v>44</v>
      </c>
      <c r="G2056" s="123" t="s">
        <v>37</v>
      </c>
      <c r="H2056" s="103" t="s">
        <v>3340</v>
      </c>
    </row>
    <row r="2057" spans="2:8" x14ac:dyDescent="0.25">
      <c r="B2057">
        <v>2055</v>
      </c>
      <c r="C2057" t="s">
        <v>4251</v>
      </c>
      <c r="D2057"/>
      <c r="E2057" t="s">
        <v>9</v>
      </c>
      <c r="F2057" s="121">
        <v>4601</v>
      </c>
      <c r="G2057" s="123">
        <v>13</v>
      </c>
      <c r="H2057" s="103" t="s">
        <v>4252</v>
      </c>
    </row>
    <row r="2058" spans="2:8" x14ac:dyDescent="0.25">
      <c r="B2058">
        <v>2056</v>
      </c>
      <c r="C2058" t="s">
        <v>4253</v>
      </c>
      <c r="D2058" t="s">
        <v>4254</v>
      </c>
      <c r="E2058" t="s">
        <v>9</v>
      </c>
      <c r="F2058" s="121">
        <v>2307</v>
      </c>
      <c r="G2058" s="123"/>
      <c r="H2058" s="103" t="s">
        <v>4255</v>
      </c>
    </row>
    <row r="2059" spans="2:8" x14ac:dyDescent="0.25">
      <c r="B2059">
        <v>2057</v>
      </c>
      <c r="C2059" t="s">
        <v>4256</v>
      </c>
      <c r="D2059" t="s">
        <v>4257</v>
      </c>
      <c r="E2059" t="s">
        <v>35</v>
      </c>
      <c r="F2059" s="121" t="s">
        <v>36</v>
      </c>
      <c r="G2059" s="123" t="s">
        <v>22</v>
      </c>
      <c r="H2059" s="103" t="s">
        <v>4258</v>
      </c>
    </row>
    <row r="2060" spans="2:8" x14ac:dyDescent="0.25">
      <c r="B2060">
        <v>2058</v>
      </c>
      <c r="C2060" t="s">
        <v>564</v>
      </c>
      <c r="D2060" t="s">
        <v>4259</v>
      </c>
      <c r="E2060" t="s">
        <v>9</v>
      </c>
      <c r="F2060" s="121">
        <v>2734</v>
      </c>
      <c r="G2060" s="123"/>
      <c r="H2060" s="103" t="s">
        <v>4260</v>
      </c>
    </row>
    <row r="2061" spans="2:8" x14ac:dyDescent="0.25">
      <c r="B2061">
        <v>2059</v>
      </c>
      <c r="C2061" t="s">
        <v>4261</v>
      </c>
      <c r="D2061" t="s">
        <v>4262</v>
      </c>
      <c r="E2061" t="s">
        <v>21</v>
      </c>
      <c r="F2061" s="121">
        <v>3862</v>
      </c>
      <c r="H2061" s="103" t="s">
        <v>4263</v>
      </c>
    </row>
    <row r="2062" spans="2:8" x14ac:dyDescent="0.25">
      <c r="B2062">
        <v>2060</v>
      </c>
      <c r="C2062" t="s">
        <v>4264</v>
      </c>
      <c r="D2062" t="s">
        <v>4265</v>
      </c>
      <c r="E2062" t="s">
        <v>9</v>
      </c>
      <c r="F2062" s="121">
        <v>4825</v>
      </c>
      <c r="H2062" s="103" t="s">
        <v>4266</v>
      </c>
    </row>
    <row r="2063" spans="2:8" x14ac:dyDescent="0.25">
      <c r="B2063">
        <v>2061</v>
      </c>
      <c r="C2063" t="s">
        <v>4267</v>
      </c>
      <c r="D2063" t="s">
        <v>4268</v>
      </c>
      <c r="E2063" t="s">
        <v>21</v>
      </c>
      <c r="F2063" s="121">
        <v>3944</v>
      </c>
      <c r="H2063" s="103" t="s">
        <v>4269</v>
      </c>
    </row>
    <row r="2064" spans="2:8" x14ac:dyDescent="0.25">
      <c r="B2064">
        <v>2062</v>
      </c>
      <c r="C2064" t="s">
        <v>4270</v>
      </c>
      <c r="D2064" t="s">
        <v>4271</v>
      </c>
      <c r="E2064" t="s">
        <v>9</v>
      </c>
      <c r="F2064" s="121">
        <v>4825</v>
      </c>
      <c r="H2064" s="103" t="s">
        <v>4272</v>
      </c>
    </row>
    <row r="2065" spans="2:8" x14ac:dyDescent="0.25">
      <c r="B2065">
        <v>2063</v>
      </c>
      <c r="C2065" t="s">
        <v>4273</v>
      </c>
      <c r="D2065"/>
      <c r="E2065" t="s">
        <v>35</v>
      </c>
      <c r="F2065" s="121" t="s">
        <v>379</v>
      </c>
      <c r="G2065" s="103" t="s">
        <v>37</v>
      </c>
      <c r="H2065" s="103" t="s">
        <v>4274</v>
      </c>
    </row>
    <row r="2066" spans="2:8" x14ac:dyDescent="0.25">
      <c r="B2066">
        <v>2064</v>
      </c>
      <c r="C2066" t="s">
        <v>4275</v>
      </c>
      <c r="D2066" t="s">
        <v>4276</v>
      </c>
      <c r="E2066" t="s">
        <v>9</v>
      </c>
      <c r="F2066" s="121">
        <v>4601</v>
      </c>
      <c r="H2066" s="103" t="s">
        <v>4277</v>
      </c>
    </row>
    <row r="2067" spans="2:8" x14ac:dyDescent="0.25">
      <c r="B2067">
        <v>2065</v>
      </c>
      <c r="C2067" t="s">
        <v>4278</v>
      </c>
      <c r="D2067" t="s">
        <v>4279</v>
      </c>
      <c r="E2067" t="s">
        <v>9</v>
      </c>
      <c r="F2067" s="121">
        <v>780</v>
      </c>
      <c r="G2067" s="123">
        <v>13</v>
      </c>
      <c r="H2067" s="103" t="s">
        <v>4280</v>
      </c>
    </row>
    <row r="2068" spans="2:8" x14ac:dyDescent="0.25">
      <c r="B2068">
        <v>2066</v>
      </c>
      <c r="C2068" t="s">
        <v>4281</v>
      </c>
      <c r="D2068" t="s">
        <v>4282</v>
      </c>
      <c r="E2068" t="s">
        <v>9</v>
      </c>
      <c r="F2068" s="121">
        <v>4601</v>
      </c>
      <c r="H2068" s="103" t="s">
        <v>4283</v>
      </c>
    </row>
    <row r="2069" spans="2:8" x14ac:dyDescent="0.25">
      <c r="B2069">
        <v>2067</v>
      </c>
      <c r="C2069" t="s">
        <v>4284</v>
      </c>
      <c r="D2069" t="s">
        <v>4285</v>
      </c>
      <c r="E2069" t="s">
        <v>21</v>
      </c>
      <c r="F2069" s="121" t="s">
        <v>72</v>
      </c>
      <c r="G2069" s="103" t="s">
        <v>22</v>
      </c>
      <c r="H2069" s="103" t="s">
        <v>4286</v>
      </c>
    </row>
    <row r="2070" spans="2:8" x14ac:dyDescent="0.25">
      <c r="B2070">
        <v>2068</v>
      </c>
      <c r="C2070" t="s">
        <v>4287</v>
      </c>
      <c r="D2070" t="s">
        <v>4288</v>
      </c>
      <c r="E2070" t="s">
        <v>9</v>
      </c>
      <c r="F2070" s="121">
        <v>4825</v>
      </c>
      <c r="H2070" s="103" t="s">
        <v>4289</v>
      </c>
    </row>
    <row r="2071" spans="2:8" x14ac:dyDescent="0.25">
      <c r="B2071">
        <v>2069</v>
      </c>
      <c r="C2071" t="s">
        <v>4290</v>
      </c>
      <c r="D2071" t="s">
        <v>4291</v>
      </c>
      <c r="E2071" t="s">
        <v>9</v>
      </c>
      <c r="F2071" s="121">
        <v>3880</v>
      </c>
      <c r="H2071" s="103" t="s">
        <v>4292</v>
      </c>
    </row>
    <row r="2072" spans="2:8" x14ac:dyDescent="0.25">
      <c r="B2072">
        <v>2070</v>
      </c>
      <c r="C2072" t="s">
        <v>4293</v>
      </c>
      <c r="D2072" t="s">
        <v>4294</v>
      </c>
      <c r="E2072" t="s">
        <v>9</v>
      </c>
      <c r="F2072" s="121">
        <v>3880</v>
      </c>
      <c r="G2072" s="103">
        <v>1288</v>
      </c>
      <c r="H2072" s="103" t="s">
        <v>4295</v>
      </c>
    </row>
    <row r="2073" spans="2:8" x14ac:dyDescent="0.25">
      <c r="B2073">
        <v>2071</v>
      </c>
      <c r="C2073" t="s">
        <v>4296</v>
      </c>
      <c r="D2073" t="s">
        <v>4297</v>
      </c>
      <c r="E2073" t="s">
        <v>9</v>
      </c>
      <c r="F2073" s="121">
        <v>128</v>
      </c>
      <c r="G2073" s="103">
        <v>13</v>
      </c>
      <c r="H2073" s="103" t="s">
        <v>4298</v>
      </c>
    </row>
    <row r="2074" spans="2:8" x14ac:dyDescent="0.25">
      <c r="B2074">
        <v>2072</v>
      </c>
      <c r="C2074" t="s">
        <v>4299</v>
      </c>
      <c r="D2074" t="s">
        <v>4300</v>
      </c>
      <c r="E2074" t="s">
        <v>21</v>
      </c>
      <c r="F2074" s="121" t="s">
        <v>44</v>
      </c>
      <c r="G2074" s="103" t="s">
        <v>22</v>
      </c>
      <c r="H2074" s="103" t="s">
        <v>4301</v>
      </c>
    </row>
    <row r="2075" spans="2:8" x14ac:dyDescent="0.25">
      <c r="B2075">
        <v>2073</v>
      </c>
      <c r="C2075" t="s">
        <v>4302</v>
      </c>
      <c r="D2075" t="s">
        <v>4303</v>
      </c>
      <c r="E2075" t="s">
        <v>9</v>
      </c>
      <c r="F2075" s="121">
        <v>4601</v>
      </c>
      <c r="G2075" s="103">
        <v>13</v>
      </c>
      <c r="H2075" s="103" t="s">
        <v>4304</v>
      </c>
    </row>
    <row r="2076" spans="2:8" x14ac:dyDescent="0.25">
      <c r="B2076">
        <v>2074</v>
      </c>
      <c r="C2076" t="s">
        <v>4305</v>
      </c>
      <c r="D2076" t="s">
        <v>4306</v>
      </c>
      <c r="E2076" t="s">
        <v>9</v>
      </c>
      <c r="F2076" s="121">
        <v>4601</v>
      </c>
      <c r="G2076" s="103">
        <v>13</v>
      </c>
      <c r="H2076" s="103" t="s">
        <v>4307</v>
      </c>
    </row>
    <row r="2077" spans="2:8" x14ac:dyDescent="0.25">
      <c r="B2077">
        <v>2075</v>
      </c>
      <c r="C2077" t="s">
        <v>4308</v>
      </c>
      <c r="D2077" t="s">
        <v>4309</v>
      </c>
      <c r="E2077" t="s">
        <v>21</v>
      </c>
      <c r="F2077" s="121" t="s">
        <v>72</v>
      </c>
      <c r="G2077" s="103" t="s">
        <v>37</v>
      </c>
      <c r="H2077" s="103" t="s">
        <v>4310</v>
      </c>
    </row>
    <row r="2078" spans="2:8" x14ac:dyDescent="0.25">
      <c r="B2078">
        <v>2076</v>
      </c>
      <c r="C2078" t="s">
        <v>4311</v>
      </c>
      <c r="D2078" t="s">
        <v>4312</v>
      </c>
      <c r="E2078" t="s">
        <v>9</v>
      </c>
      <c r="F2078" s="121">
        <v>4601</v>
      </c>
      <c r="H2078" s="103" t="s">
        <v>4313</v>
      </c>
    </row>
    <row r="2079" spans="2:8" x14ac:dyDescent="0.25">
      <c r="B2079">
        <v>2077</v>
      </c>
      <c r="C2079" t="s">
        <v>4314</v>
      </c>
      <c r="D2079" t="s">
        <v>4315</v>
      </c>
      <c r="E2079" t="s">
        <v>9</v>
      </c>
      <c r="F2079" s="121">
        <v>780</v>
      </c>
      <c r="H2079" s="103" t="s">
        <v>4316</v>
      </c>
    </row>
    <row r="2080" spans="2:8" x14ac:dyDescent="0.25">
      <c r="B2080">
        <v>2078</v>
      </c>
      <c r="C2080" t="s">
        <v>2941</v>
      </c>
      <c r="D2080" t="s">
        <v>4317</v>
      </c>
      <c r="E2080" t="s">
        <v>21</v>
      </c>
      <c r="F2080" s="121" t="s">
        <v>44</v>
      </c>
      <c r="G2080" s="103" t="s">
        <v>37</v>
      </c>
      <c r="H2080" s="103" t="s">
        <v>4318</v>
      </c>
    </row>
    <row r="2081" spans="2:8" x14ac:dyDescent="0.25">
      <c r="B2081">
        <v>2079</v>
      </c>
      <c r="C2081" t="s">
        <v>4319</v>
      </c>
      <c r="D2081" t="s">
        <v>4320</v>
      </c>
      <c r="E2081" t="s">
        <v>9</v>
      </c>
      <c r="F2081" s="121">
        <v>4818</v>
      </c>
      <c r="H2081" s="103" t="s">
        <v>4321</v>
      </c>
    </row>
    <row r="2082" spans="2:8" x14ac:dyDescent="0.25">
      <c r="B2082">
        <v>2080</v>
      </c>
      <c r="C2082" t="s">
        <v>4322</v>
      </c>
      <c r="D2082" t="s">
        <v>4323</v>
      </c>
      <c r="E2082" t="s">
        <v>9</v>
      </c>
      <c r="F2082" s="121">
        <v>3280</v>
      </c>
      <c r="H2082" s="103" t="s">
        <v>4324</v>
      </c>
    </row>
    <row r="2083" spans="2:8" x14ac:dyDescent="0.25">
      <c r="B2083">
        <v>2081</v>
      </c>
      <c r="C2083" t="s">
        <v>4325</v>
      </c>
      <c r="D2083" t="s">
        <v>4326</v>
      </c>
      <c r="E2083" t="s">
        <v>21</v>
      </c>
      <c r="F2083" s="121" t="s">
        <v>44</v>
      </c>
      <c r="H2083" s="103" t="s">
        <v>4327</v>
      </c>
    </row>
    <row r="2084" spans="2:8" x14ac:dyDescent="0.25">
      <c r="B2084">
        <v>2082</v>
      </c>
      <c r="C2084" t="s">
        <v>4328</v>
      </c>
      <c r="D2084" t="s">
        <v>4329</v>
      </c>
      <c r="E2084" t="s">
        <v>9</v>
      </c>
      <c r="F2084" s="121">
        <v>780</v>
      </c>
      <c r="H2084" s="103" t="s">
        <v>4330</v>
      </c>
    </row>
    <row r="2085" spans="2:8" x14ac:dyDescent="0.25">
      <c r="B2085">
        <v>2083</v>
      </c>
      <c r="C2085" t="s">
        <v>4331</v>
      </c>
      <c r="D2085" t="s">
        <v>4332</v>
      </c>
      <c r="E2085" t="s">
        <v>9</v>
      </c>
      <c r="F2085" s="121">
        <v>4818</v>
      </c>
      <c r="G2085" s="103">
        <v>13</v>
      </c>
      <c r="H2085" s="103" t="s">
        <v>3807</v>
      </c>
    </row>
    <row r="2086" spans="2:8" x14ac:dyDescent="0.25">
      <c r="B2086">
        <v>2084</v>
      </c>
      <c r="C2086" t="s">
        <v>4333</v>
      </c>
      <c r="D2086" t="s">
        <v>4334</v>
      </c>
      <c r="E2086" t="s">
        <v>35</v>
      </c>
      <c r="F2086" s="121" t="s">
        <v>36</v>
      </c>
      <c r="G2086" s="103" t="s">
        <v>37</v>
      </c>
      <c r="H2086" s="103" t="s">
        <v>182</v>
      </c>
    </row>
    <row r="2087" spans="2:8" x14ac:dyDescent="0.25">
      <c r="B2087">
        <v>2085</v>
      </c>
      <c r="C2087" t="s">
        <v>4335</v>
      </c>
      <c r="D2087" t="s">
        <v>4336</v>
      </c>
      <c r="E2087" t="s">
        <v>21</v>
      </c>
      <c r="F2087" s="121" t="s">
        <v>264</v>
      </c>
      <c r="G2087" s="103" t="s">
        <v>37</v>
      </c>
      <c r="H2087" s="103" t="s">
        <v>4337</v>
      </c>
    </row>
    <row r="2088" spans="2:8" x14ac:dyDescent="0.25">
      <c r="B2088">
        <v>2086</v>
      </c>
      <c r="C2088" t="s">
        <v>4338</v>
      </c>
      <c r="D2088" t="s">
        <v>4339</v>
      </c>
      <c r="E2088" t="s">
        <v>9</v>
      </c>
      <c r="F2088" s="121">
        <v>4818</v>
      </c>
      <c r="G2088" s="103">
        <v>13</v>
      </c>
      <c r="H2088" s="103" t="s">
        <v>4340</v>
      </c>
    </row>
    <row r="2089" spans="2:8" x14ac:dyDescent="0.25">
      <c r="B2089">
        <v>2087</v>
      </c>
      <c r="C2089" t="s">
        <v>4341</v>
      </c>
      <c r="D2089" t="s">
        <v>4342</v>
      </c>
      <c r="E2089" t="s">
        <v>9</v>
      </c>
      <c r="F2089" s="121">
        <v>4825</v>
      </c>
      <c r="G2089" s="103">
        <v>13</v>
      </c>
      <c r="H2089" s="103" t="s">
        <v>4343</v>
      </c>
    </row>
    <row r="2090" spans="2:8" x14ac:dyDescent="0.25">
      <c r="B2090">
        <v>2088</v>
      </c>
      <c r="C2090" t="s">
        <v>4344</v>
      </c>
      <c r="D2090" t="s">
        <v>4345</v>
      </c>
      <c r="E2090" t="s">
        <v>9</v>
      </c>
      <c r="F2090" s="121">
        <v>4825</v>
      </c>
      <c r="H2090" s="103" t="s">
        <v>4346</v>
      </c>
    </row>
    <row r="2091" spans="2:8" x14ac:dyDescent="0.25">
      <c r="B2091">
        <v>2089</v>
      </c>
      <c r="C2091" t="s">
        <v>4347</v>
      </c>
      <c r="D2091" t="s">
        <v>4348</v>
      </c>
      <c r="E2091" t="s">
        <v>21</v>
      </c>
      <c r="F2091" s="121">
        <v>5798</v>
      </c>
      <c r="G2091" s="103" t="s">
        <v>22</v>
      </c>
      <c r="H2091" s="103" t="s">
        <v>4349</v>
      </c>
    </row>
    <row r="2092" spans="2:8" x14ac:dyDescent="0.25">
      <c r="B2092">
        <v>2090</v>
      </c>
      <c r="C2092" t="s">
        <v>4350</v>
      </c>
      <c r="D2092" t="s">
        <v>4351</v>
      </c>
      <c r="E2092" t="s">
        <v>21</v>
      </c>
      <c r="F2092" s="121" t="s">
        <v>44</v>
      </c>
      <c r="G2092" s="103" t="s">
        <v>37</v>
      </c>
      <c r="H2092" s="103" t="s">
        <v>4352</v>
      </c>
    </row>
    <row r="2093" spans="2:8" x14ac:dyDescent="0.25">
      <c r="B2093">
        <v>2091</v>
      </c>
      <c r="C2093" t="s">
        <v>4353</v>
      </c>
      <c r="D2093" t="s">
        <v>4354</v>
      </c>
      <c r="E2093" t="s">
        <v>21</v>
      </c>
      <c r="F2093" s="121" t="s">
        <v>4146</v>
      </c>
      <c r="G2093" s="103" t="s">
        <v>37</v>
      </c>
      <c r="H2093" s="103" t="s">
        <v>4355</v>
      </c>
    </row>
    <row r="2094" spans="2:8" x14ac:dyDescent="0.25">
      <c r="B2094">
        <v>2092</v>
      </c>
      <c r="C2094" t="s">
        <v>4356</v>
      </c>
      <c r="D2094" t="s">
        <v>4357</v>
      </c>
      <c r="E2094" t="s">
        <v>9</v>
      </c>
      <c r="F2094" s="121">
        <v>4825</v>
      </c>
      <c r="H2094" s="103" t="s">
        <v>4358</v>
      </c>
    </row>
    <row r="2095" spans="2:8" x14ac:dyDescent="0.25">
      <c r="B2095">
        <v>2093</v>
      </c>
      <c r="C2095" t="s">
        <v>4359</v>
      </c>
      <c r="D2095" t="s">
        <v>4360</v>
      </c>
      <c r="E2095" t="s">
        <v>9</v>
      </c>
      <c r="F2095" s="121">
        <v>4825</v>
      </c>
      <c r="H2095" s="103" t="s">
        <v>4361</v>
      </c>
    </row>
    <row r="2096" spans="2:8" x14ac:dyDescent="0.25">
      <c r="B2096">
        <v>2094</v>
      </c>
      <c r="C2096" t="s">
        <v>4362</v>
      </c>
      <c r="D2096" t="s">
        <v>4363</v>
      </c>
      <c r="E2096" t="s">
        <v>21</v>
      </c>
      <c r="F2096" s="121">
        <v>3801</v>
      </c>
      <c r="H2096" s="103" t="s">
        <v>4364</v>
      </c>
    </row>
    <row r="2097" spans="2:8" x14ac:dyDescent="0.25">
      <c r="B2097">
        <v>2095</v>
      </c>
      <c r="C2097" t="s">
        <v>4365</v>
      </c>
      <c r="D2097" t="s">
        <v>4366</v>
      </c>
      <c r="E2097" t="s">
        <v>9</v>
      </c>
      <c r="F2097" s="121">
        <v>2734</v>
      </c>
      <c r="H2097" s="103" t="s">
        <v>4367</v>
      </c>
    </row>
    <row r="2098" spans="2:8" x14ac:dyDescent="0.25">
      <c r="B2098">
        <v>2096</v>
      </c>
      <c r="C2098" t="s">
        <v>4368</v>
      </c>
      <c r="D2098" t="s">
        <v>4369</v>
      </c>
      <c r="E2098" t="s">
        <v>9</v>
      </c>
      <c r="F2098" s="121">
        <v>4825</v>
      </c>
      <c r="H2098" s="103" t="s">
        <v>4370</v>
      </c>
    </row>
    <row r="2099" spans="2:8" x14ac:dyDescent="0.25">
      <c r="B2099">
        <v>2097</v>
      </c>
      <c r="C2099" t="s">
        <v>4371</v>
      </c>
      <c r="D2099" t="s">
        <v>4372</v>
      </c>
      <c r="E2099" t="s">
        <v>9</v>
      </c>
      <c r="F2099" s="121">
        <v>812</v>
      </c>
      <c r="H2099" s="103" t="s">
        <v>4373</v>
      </c>
    </row>
    <row r="2100" spans="2:8" x14ac:dyDescent="0.25">
      <c r="B2100">
        <v>2098</v>
      </c>
      <c r="C2100" t="s">
        <v>4374</v>
      </c>
      <c r="D2100" t="s">
        <v>4375</v>
      </c>
      <c r="E2100" t="s">
        <v>9</v>
      </c>
      <c r="F2100" s="121">
        <v>4601</v>
      </c>
      <c r="H2100" s="103" t="s">
        <v>4376</v>
      </c>
    </row>
    <row r="2101" spans="2:8" x14ac:dyDescent="0.25">
      <c r="B2101">
        <v>2099</v>
      </c>
      <c r="C2101" t="s">
        <v>4377</v>
      </c>
      <c r="D2101" t="s">
        <v>4378</v>
      </c>
      <c r="E2101" t="s">
        <v>21</v>
      </c>
      <c r="F2101" s="121" t="s">
        <v>44</v>
      </c>
      <c r="G2101" s="103" t="s">
        <v>37</v>
      </c>
      <c r="H2101" s="103" t="s">
        <v>4379</v>
      </c>
    </row>
    <row r="2102" spans="2:8" x14ac:dyDescent="0.25">
      <c r="B2102">
        <v>2100</v>
      </c>
      <c r="C2102" t="s">
        <v>4380</v>
      </c>
      <c r="D2102" t="s">
        <v>4381</v>
      </c>
      <c r="E2102" t="s">
        <v>9</v>
      </c>
      <c r="F2102" s="121">
        <v>4825</v>
      </c>
      <c r="H2102" s="103" t="s">
        <v>4382</v>
      </c>
    </row>
    <row r="2103" spans="2:8" x14ac:dyDescent="0.25">
      <c r="B2103">
        <v>2101</v>
      </c>
      <c r="C2103" t="s">
        <v>4383</v>
      </c>
      <c r="D2103" t="s">
        <v>4384</v>
      </c>
      <c r="E2103" t="s">
        <v>9</v>
      </c>
      <c r="F2103" s="121">
        <v>4825</v>
      </c>
      <c r="H2103" s="103" t="s">
        <v>4385</v>
      </c>
    </row>
    <row r="2104" spans="2:8" x14ac:dyDescent="0.25">
      <c r="B2104">
        <v>2102</v>
      </c>
      <c r="C2104" t="s">
        <v>4386</v>
      </c>
      <c r="D2104" t="s">
        <v>4387</v>
      </c>
      <c r="E2104" t="s">
        <v>9</v>
      </c>
      <c r="F2104" s="121">
        <v>3880</v>
      </c>
      <c r="H2104" s="103" t="s">
        <v>4388</v>
      </c>
    </row>
    <row r="2105" spans="2:8" x14ac:dyDescent="0.25">
      <c r="B2105">
        <v>2103</v>
      </c>
      <c r="C2105" t="s">
        <v>4389</v>
      </c>
      <c r="D2105" t="s">
        <v>4390</v>
      </c>
      <c r="E2105" t="s">
        <v>35</v>
      </c>
      <c r="F2105" s="121" t="s">
        <v>36</v>
      </c>
      <c r="G2105" s="103" t="s">
        <v>22</v>
      </c>
      <c r="H2105" s="103" t="s">
        <v>4391</v>
      </c>
    </row>
    <row r="2106" spans="2:8" x14ac:dyDescent="0.25">
      <c r="B2106">
        <v>2104</v>
      </c>
      <c r="C2106" s="150" t="s">
        <v>4392</v>
      </c>
      <c r="D2106" t="s">
        <v>4393</v>
      </c>
      <c r="E2106" t="s">
        <v>9</v>
      </c>
      <c r="F2106" s="121">
        <v>4601</v>
      </c>
      <c r="H2106" s="103" t="s">
        <v>4394</v>
      </c>
    </row>
    <row r="2107" spans="2:8" x14ac:dyDescent="0.25">
      <c r="B2107">
        <v>2105</v>
      </c>
      <c r="C2107" t="s">
        <v>4395</v>
      </c>
      <c r="D2107" t="s">
        <v>4396</v>
      </c>
      <c r="E2107" t="s">
        <v>21</v>
      </c>
      <c r="F2107" s="121" t="s">
        <v>44</v>
      </c>
      <c r="G2107" s="103" t="s">
        <v>37</v>
      </c>
      <c r="H2107" s="103" t="s">
        <v>4397</v>
      </c>
    </row>
    <row r="2108" spans="2:8" x14ac:dyDescent="0.25">
      <c r="B2108">
        <v>2106</v>
      </c>
      <c r="C2108" t="s">
        <v>4398</v>
      </c>
      <c r="D2108" t="s">
        <v>4399</v>
      </c>
      <c r="E2108" t="s">
        <v>21</v>
      </c>
      <c r="F2108" s="121">
        <v>3980</v>
      </c>
      <c r="H2108" s="103" t="s">
        <v>4400</v>
      </c>
    </row>
    <row r="2109" spans="2:8" x14ac:dyDescent="0.25">
      <c r="B2109">
        <v>2107</v>
      </c>
      <c r="C2109" t="s">
        <v>4401</v>
      </c>
      <c r="D2109" t="s">
        <v>4402</v>
      </c>
      <c r="E2109" t="s">
        <v>9</v>
      </c>
      <c r="F2109" s="121">
        <v>4825</v>
      </c>
      <c r="H2109" s="103" t="s">
        <v>4403</v>
      </c>
    </row>
    <row r="2110" spans="2:8" x14ac:dyDescent="0.25">
      <c r="B2110">
        <v>2108</v>
      </c>
      <c r="C2110" t="s">
        <v>4404</v>
      </c>
      <c r="D2110" t="s">
        <v>4405</v>
      </c>
      <c r="E2110" t="s">
        <v>21</v>
      </c>
      <c r="F2110" s="121" t="s">
        <v>44</v>
      </c>
      <c r="H2110" s="103" t="s">
        <v>4406</v>
      </c>
    </row>
    <row r="2111" spans="2:8" x14ac:dyDescent="0.25">
      <c r="B2111">
        <v>2109</v>
      </c>
      <c r="C2111" t="s">
        <v>4407</v>
      </c>
      <c r="D2111" t="s">
        <v>4408</v>
      </c>
      <c r="E2111" t="s">
        <v>9</v>
      </c>
      <c r="F2111" s="121">
        <v>4825</v>
      </c>
      <c r="H2111" s="103" t="s">
        <v>4409</v>
      </c>
    </row>
    <row r="2112" spans="2:8" x14ac:dyDescent="0.25">
      <c r="B2112">
        <v>2110</v>
      </c>
      <c r="C2112" t="s">
        <v>4410</v>
      </c>
      <c r="D2112" t="s">
        <v>4411</v>
      </c>
      <c r="E2112" t="s">
        <v>9</v>
      </c>
      <c r="F2112" s="121">
        <v>4818</v>
      </c>
      <c r="H2112" s="103" t="s">
        <v>4412</v>
      </c>
    </row>
    <row r="2113" spans="2:8" x14ac:dyDescent="0.25">
      <c r="B2113">
        <v>2111</v>
      </c>
      <c r="C2113" t="s">
        <v>4413</v>
      </c>
      <c r="D2113" t="s">
        <v>4414</v>
      </c>
      <c r="E2113" t="s">
        <v>9</v>
      </c>
      <c r="F2113" s="121">
        <v>3880</v>
      </c>
      <c r="G2113" s="103">
        <v>1288</v>
      </c>
      <c r="H2113" s="103" t="s">
        <v>4415</v>
      </c>
    </row>
    <row r="2114" spans="2:8" x14ac:dyDescent="0.25">
      <c r="B2114">
        <v>2112</v>
      </c>
      <c r="C2114" t="s">
        <v>4416</v>
      </c>
      <c r="D2114" t="s">
        <v>4417</v>
      </c>
      <c r="E2114" t="s">
        <v>9</v>
      </c>
      <c r="F2114" s="121">
        <v>4825</v>
      </c>
      <c r="G2114" s="103">
        <v>13</v>
      </c>
      <c r="H2114" s="103" t="s">
        <v>4418</v>
      </c>
    </row>
    <row r="2115" spans="2:8" x14ac:dyDescent="0.25">
      <c r="B2115">
        <v>2113</v>
      </c>
      <c r="C2115" t="s">
        <v>4419</v>
      </c>
      <c r="D2115" t="s">
        <v>4420</v>
      </c>
      <c r="E2115" t="s">
        <v>21</v>
      </c>
      <c r="F2115" s="121" t="s">
        <v>44</v>
      </c>
      <c r="H2115" s="103" t="s">
        <v>4421</v>
      </c>
    </row>
    <row r="2116" spans="2:8" x14ac:dyDescent="0.25">
      <c r="B2116">
        <v>2114</v>
      </c>
      <c r="C2116" t="s">
        <v>1103</v>
      </c>
      <c r="D2116" t="s">
        <v>4422</v>
      </c>
      <c r="E2116" t="s">
        <v>9</v>
      </c>
      <c r="F2116" s="121">
        <v>4818</v>
      </c>
      <c r="H2116" s="103" t="s">
        <v>4423</v>
      </c>
    </row>
    <row r="2117" spans="2:8" x14ac:dyDescent="0.25">
      <c r="B2117">
        <v>2115</v>
      </c>
      <c r="C2117" t="s">
        <v>4424</v>
      </c>
      <c r="D2117" t="s">
        <v>4425</v>
      </c>
      <c r="E2117" t="s">
        <v>9</v>
      </c>
      <c r="F2117" s="121">
        <v>4601</v>
      </c>
      <c r="H2117" s="103" t="s">
        <v>4426</v>
      </c>
    </row>
    <row r="2118" spans="2:8" x14ac:dyDescent="0.25">
      <c r="B2118">
        <v>2116</v>
      </c>
      <c r="C2118" t="s">
        <v>4427</v>
      </c>
      <c r="D2118"/>
      <c r="E2118" t="s">
        <v>21</v>
      </c>
      <c r="F2118" s="121">
        <v>3943</v>
      </c>
      <c r="H2118" s="103" t="s">
        <v>4428</v>
      </c>
    </row>
    <row r="2119" spans="2:8" x14ac:dyDescent="0.25">
      <c r="B2119">
        <v>2117</v>
      </c>
      <c r="C2119" t="s">
        <v>4429</v>
      </c>
      <c r="D2119" t="s">
        <v>4430</v>
      </c>
      <c r="E2119" t="s">
        <v>9</v>
      </c>
      <c r="F2119" s="121">
        <v>4601</v>
      </c>
      <c r="H2119" s="103" t="s">
        <v>4431</v>
      </c>
    </row>
    <row r="2120" spans="2:8" x14ac:dyDescent="0.25">
      <c r="B2120">
        <v>2118</v>
      </c>
      <c r="C2120" t="s">
        <v>4432</v>
      </c>
      <c r="D2120" t="s">
        <v>4433</v>
      </c>
      <c r="E2120" t="s">
        <v>9</v>
      </c>
      <c r="F2120" s="121">
        <v>4825</v>
      </c>
      <c r="H2120" s="103" t="s">
        <v>4434</v>
      </c>
    </row>
    <row r="2121" spans="2:8" x14ac:dyDescent="0.25">
      <c r="B2121">
        <v>2119</v>
      </c>
      <c r="C2121" t="s">
        <v>4435</v>
      </c>
      <c r="D2121" t="s">
        <v>4436</v>
      </c>
      <c r="E2121" t="s">
        <v>9</v>
      </c>
      <c r="F2121" s="121">
        <v>3880</v>
      </c>
      <c r="H2121" s="103" t="s">
        <v>4437</v>
      </c>
    </row>
    <row r="2122" spans="2:8" x14ac:dyDescent="0.25">
      <c r="B2122">
        <v>2120</v>
      </c>
      <c r="C2122" t="s">
        <v>4438</v>
      </c>
      <c r="D2122" t="s">
        <v>4439</v>
      </c>
      <c r="E2122" t="s">
        <v>21</v>
      </c>
      <c r="F2122" s="121" t="s">
        <v>44</v>
      </c>
      <c r="H2122" s="103" t="s">
        <v>4440</v>
      </c>
    </row>
    <row r="2123" spans="2:8" x14ac:dyDescent="0.25">
      <c r="B2123">
        <v>2121</v>
      </c>
      <c r="C2123" t="s">
        <v>4441</v>
      </c>
      <c r="D2123" t="s">
        <v>4442</v>
      </c>
      <c r="E2123" t="s">
        <v>21</v>
      </c>
      <c r="F2123" s="121" t="s">
        <v>3337</v>
      </c>
      <c r="H2123" s="103" t="s">
        <v>4443</v>
      </c>
    </row>
    <row r="2124" spans="2:8" x14ac:dyDescent="0.25">
      <c r="B2124">
        <v>2122</v>
      </c>
      <c r="C2124" t="s">
        <v>4444</v>
      </c>
      <c r="D2124"/>
      <c r="E2124" t="s">
        <v>9</v>
      </c>
      <c r="F2124" s="121">
        <v>4825</v>
      </c>
      <c r="G2124" s="103">
        <v>13</v>
      </c>
      <c r="H2124" s="103" t="s">
        <v>4445</v>
      </c>
    </row>
    <row r="2125" spans="2:8" x14ac:dyDescent="0.25">
      <c r="B2125">
        <v>2123</v>
      </c>
      <c r="C2125" t="s">
        <v>4446</v>
      </c>
      <c r="D2125"/>
      <c r="E2125" t="s">
        <v>9</v>
      </c>
      <c r="F2125" s="121">
        <v>4825</v>
      </c>
      <c r="H2125" s="103" t="s">
        <v>4447</v>
      </c>
    </row>
    <row r="2126" spans="2:8" x14ac:dyDescent="0.25">
      <c r="B2126">
        <v>2124</v>
      </c>
      <c r="C2126" t="s">
        <v>4448</v>
      </c>
      <c r="D2126"/>
      <c r="E2126" t="s">
        <v>9</v>
      </c>
      <c r="F2126" s="121">
        <v>4825</v>
      </c>
      <c r="H2126" s="103" t="s">
        <v>4449</v>
      </c>
    </row>
    <row r="2127" spans="2:8" x14ac:dyDescent="0.25">
      <c r="B2127">
        <v>2125</v>
      </c>
      <c r="C2127" t="s">
        <v>4450</v>
      </c>
      <c r="D2127"/>
      <c r="E2127" t="s">
        <v>21</v>
      </c>
      <c r="F2127" s="121" t="s">
        <v>44</v>
      </c>
      <c r="H2127" s="103" t="s">
        <v>4451</v>
      </c>
    </row>
    <row r="2128" spans="2:8" x14ac:dyDescent="0.25">
      <c r="B2128">
        <v>2126</v>
      </c>
      <c r="C2128" t="s">
        <v>4452</v>
      </c>
      <c r="D2128" t="s">
        <v>4453</v>
      </c>
      <c r="E2128" t="s">
        <v>9</v>
      </c>
      <c r="F2128" s="121">
        <v>780</v>
      </c>
      <c r="H2128" s="103" t="s">
        <v>4454</v>
      </c>
    </row>
    <row r="2129" spans="2:8" x14ac:dyDescent="0.25">
      <c r="B2129">
        <v>2127</v>
      </c>
      <c r="C2129" t="s">
        <v>627</v>
      </c>
      <c r="D2129" t="s">
        <v>4455</v>
      </c>
      <c r="E2129" t="s">
        <v>21</v>
      </c>
      <c r="F2129" s="121" t="s">
        <v>44</v>
      </c>
      <c r="H2129" s="103" t="s">
        <v>628</v>
      </c>
    </row>
    <row r="2130" spans="2:8" x14ac:dyDescent="0.25">
      <c r="B2130">
        <v>2128</v>
      </c>
      <c r="C2130" t="s">
        <v>4456</v>
      </c>
      <c r="D2130" t="s">
        <v>4457</v>
      </c>
      <c r="E2130" t="s">
        <v>21</v>
      </c>
      <c r="F2130" s="121">
        <v>6176</v>
      </c>
      <c r="H2130" s="103" t="s">
        <v>4458</v>
      </c>
    </row>
    <row r="2131" spans="2:8" x14ac:dyDescent="0.25">
      <c r="B2131">
        <v>2129</v>
      </c>
      <c r="C2131" t="s">
        <v>4459</v>
      </c>
      <c r="D2131" t="s">
        <v>4460</v>
      </c>
      <c r="E2131" t="s">
        <v>9</v>
      </c>
      <c r="F2131" s="121">
        <v>566</v>
      </c>
      <c r="H2131" s="103" t="s">
        <v>4461</v>
      </c>
    </row>
    <row r="2132" spans="2:8" x14ac:dyDescent="0.25">
      <c r="B2132">
        <v>2130</v>
      </c>
      <c r="C2132" t="s">
        <v>4462</v>
      </c>
      <c r="D2132" t="s">
        <v>4463</v>
      </c>
      <c r="E2132" t="s">
        <v>9</v>
      </c>
      <c r="F2132" s="121">
        <v>4825</v>
      </c>
      <c r="G2132" s="103">
        <v>1288</v>
      </c>
      <c r="H2132" s="103" t="s">
        <v>4464</v>
      </c>
    </row>
    <row r="2133" spans="2:8" x14ac:dyDescent="0.25">
      <c r="B2133">
        <v>2131</v>
      </c>
      <c r="C2133" t="s">
        <v>4465</v>
      </c>
      <c r="D2133" t="s">
        <v>4466</v>
      </c>
      <c r="E2133" t="s">
        <v>9</v>
      </c>
      <c r="F2133" s="121">
        <v>4825</v>
      </c>
      <c r="H2133" s="103" t="s">
        <v>4467</v>
      </c>
    </row>
    <row r="2134" spans="2:8" x14ac:dyDescent="0.25">
      <c r="B2134">
        <v>2132</v>
      </c>
      <c r="C2134" t="s">
        <v>4468</v>
      </c>
      <c r="D2134"/>
      <c r="E2134" t="s">
        <v>9</v>
      </c>
      <c r="F2134" s="121">
        <v>4825</v>
      </c>
      <c r="H2134" s="103" t="s">
        <v>4469</v>
      </c>
    </row>
    <row r="2135" spans="2:8" x14ac:dyDescent="0.25">
      <c r="B2135">
        <v>2133</v>
      </c>
      <c r="C2135" t="s">
        <v>4470</v>
      </c>
      <c r="D2135" t="s">
        <v>4471</v>
      </c>
      <c r="E2135" t="s">
        <v>9</v>
      </c>
      <c r="F2135" s="121">
        <v>4825</v>
      </c>
      <c r="H2135" s="103" t="s">
        <v>4472</v>
      </c>
    </row>
    <row r="2136" spans="2:8" x14ac:dyDescent="0.25">
      <c r="B2136">
        <v>2134</v>
      </c>
      <c r="C2136" t="s">
        <v>4473</v>
      </c>
      <c r="D2136" t="s">
        <v>4474</v>
      </c>
      <c r="E2136" t="s">
        <v>21</v>
      </c>
      <c r="F2136" s="121" t="s">
        <v>44</v>
      </c>
      <c r="H2136" s="103" t="s">
        <v>4475</v>
      </c>
    </row>
    <row r="2137" spans="2:8" x14ac:dyDescent="0.25">
      <c r="B2137">
        <v>2135</v>
      </c>
      <c r="C2137" t="s">
        <v>4476</v>
      </c>
      <c r="D2137" t="s">
        <v>4477</v>
      </c>
      <c r="E2137" t="s">
        <v>9</v>
      </c>
      <c r="F2137" s="121">
        <v>128</v>
      </c>
      <c r="H2137" s="103" t="s">
        <v>5098</v>
      </c>
    </row>
    <row r="2138" spans="2:8" x14ac:dyDescent="0.25">
      <c r="B2138">
        <v>2136</v>
      </c>
      <c r="C2138" t="s">
        <v>4478</v>
      </c>
      <c r="D2138" t="s">
        <v>4479</v>
      </c>
      <c r="E2138" t="s">
        <v>21</v>
      </c>
      <c r="F2138" s="121" t="s">
        <v>44</v>
      </c>
      <c r="H2138" s="103" t="s">
        <v>4480</v>
      </c>
    </row>
    <row r="2139" spans="2:8" x14ac:dyDescent="0.25">
      <c r="B2139">
        <v>2137</v>
      </c>
      <c r="C2139" t="s">
        <v>4481</v>
      </c>
      <c r="D2139" t="s">
        <v>5315</v>
      </c>
      <c r="E2139" t="s">
        <v>9</v>
      </c>
      <c r="F2139" s="121">
        <v>4825</v>
      </c>
      <c r="H2139" s="103" t="s">
        <v>4482</v>
      </c>
    </row>
    <row r="2140" spans="2:8" x14ac:dyDescent="0.25">
      <c r="B2140">
        <v>2138</v>
      </c>
      <c r="C2140" t="s">
        <v>4483</v>
      </c>
      <c r="D2140" t="s">
        <v>4484</v>
      </c>
      <c r="E2140" t="s">
        <v>35</v>
      </c>
      <c r="F2140" s="121" t="s">
        <v>379</v>
      </c>
      <c r="H2140" s="103" t="s">
        <v>4485</v>
      </c>
    </row>
    <row r="2141" spans="2:8" x14ac:dyDescent="0.25">
      <c r="B2141">
        <v>2139</v>
      </c>
      <c r="C2141" t="s">
        <v>4486</v>
      </c>
      <c r="D2141" t="s">
        <v>4487</v>
      </c>
      <c r="E2141" t="s">
        <v>35</v>
      </c>
      <c r="F2141" s="121" t="s">
        <v>36</v>
      </c>
      <c r="H2141" s="103" t="s">
        <v>4488</v>
      </c>
    </row>
    <row r="2142" spans="2:8" x14ac:dyDescent="0.25">
      <c r="B2142">
        <v>2140</v>
      </c>
      <c r="C2142" t="s">
        <v>4489</v>
      </c>
      <c r="D2142"/>
      <c r="E2142" t="s">
        <v>9</v>
      </c>
      <c r="F2142" s="121">
        <v>4825</v>
      </c>
      <c r="G2142" s="103">
        <v>13</v>
      </c>
      <c r="H2142" s="103" t="s">
        <v>4490</v>
      </c>
    </row>
    <row r="2143" spans="2:8" x14ac:dyDescent="0.25">
      <c r="B2143">
        <v>2141</v>
      </c>
      <c r="C2143" t="s">
        <v>4491</v>
      </c>
      <c r="D2143" t="s">
        <v>4492</v>
      </c>
      <c r="E2143" t="s">
        <v>9</v>
      </c>
      <c r="F2143" s="121">
        <v>3204</v>
      </c>
      <c r="H2143" s="103" t="s">
        <v>4493</v>
      </c>
    </row>
    <row r="2144" spans="2:8" x14ac:dyDescent="0.25">
      <c r="B2144">
        <v>2142</v>
      </c>
      <c r="C2144" t="s">
        <v>4494</v>
      </c>
      <c r="D2144" t="s">
        <v>4495</v>
      </c>
      <c r="E2144" t="s">
        <v>9</v>
      </c>
      <c r="F2144" s="121">
        <v>4825</v>
      </c>
      <c r="H2144" s="103" t="s">
        <v>4496</v>
      </c>
    </row>
    <row r="2145" spans="2:8" x14ac:dyDescent="0.25">
      <c r="B2145">
        <v>2143</v>
      </c>
      <c r="C2145" t="s">
        <v>4497</v>
      </c>
      <c r="D2145" t="s">
        <v>4498</v>
      </c>
      <c r="E2145" t="s">
        <v>9</v>
      </c>
      <c r="F2145" s="121">
        <v>949</v>
      </c>
      <c r="G2145" s="103">
        <v>13</v>
      </c>
      <c r="H2145" s="103" t="s">
        <v>4499</v>
      </c>
    </row>
    <row r="2146" spans="2:8" x14ac:dyDescent="0.25">
      <c r="B2146">
        <v>2144</v>
      </c>
      <c r="C2146" t="s">
        <v>4500</v>
      </c>
      <c r="D2146" t="s">
        <v>4501</v>
      </c>
      <c r="E2146" t="s">
        <v>9</v>
      </c>
      <c r="F2146" s="121">
        <v>4818</v>
      </c>
      <c r="H2146" s="103" t="s">
        <v>4502</v>
      </c>
    </row>
    <row r="2147" spans="2:8" x14ac:dyDescent="0.25">
      <c r="B2147">
        <v>2145</v>
      </c>
      <c r="C2147" t="s">
        <v>4503</v>
      </c>
      <c r="D2147" t="s">
        <v>4504</v>
      </c>
      <c r="E2147" t="s">
        <v>21</v>
      </c>
      <c r="F2147" s="121" t="s">
        <v>72</v>
      </c>
      <c r="H2147" s="103" t="s">
        <v>4505</v>
      </c>
    </row>
    <row r="2148" spans="2:8" x14ac:dyDescent="0.25">
      <c r="B2148">
        <v>2146</v>
      </c>
      <c r="C2148" t="s">
        <v>4506</v>
      </c>
      <c r="D2148"/>
      <c r="E2148" t="s">
        <v>9</v>
      </c>
      <c r="F2148" s="121">
        <v>4825</v>
      </c>
      <c r="G2148" s="103">
        <v>1288</v>
      </c>
      <c r="H2148" s="103" t="s">
        <v>4507</v>
      </c>
    </row>
    <row r="2149" spans="2:8" x14ac:dyDescent="0.25">
      <c r="B2149">
        <v>2147</v>
      </c>
      <c r="C2149" t="s">
        <v>2143</v>
      </c>
      <c r="D2149" t="s">
        <v>4508</v>
      </c>
      <c r="E2149" t="s">
        <v>9</v>
      </c>
      <c r="F2149" s="121">
        <v>4825</v>
      </c>
      <c r="H2149" s="103" t="s">
        <v>4509</v>
      </c>
    </row>
    <row r="2150" spans="2:8" x14ac:dyDescent="0.25">
      <c r="B2150">
        <v>2148</v>
      </c>
      <c r="C2150" t="s">
        <v>4510</v>
      </c>
      <c r="D2150" t="s">
        <v>4511</v>
      </c>
      <c r="E2150" t="s">
        <v>21</v>
      </c>
      <c r="F2150" s="121" t="s">
        <v>44</v>
      </c>
      <c r="G2150" s="103" t="s">
        <v>37</v>
      </c>
      <c r="H2150" s="103" t="s">
        <v>2532</v>
      </c>
    </row>
    <row r="2151" spans="2:8" x14ac:dyDescent="0.25">
      <c r="B2151">
        <v>2149</v>
      </c>
      <c r="C2151" t="s">
        <v>4512</v>
      </c>
      <c r="D2151" t="s">
        <v>4513</v>
      </c>
      <c r="E2151" t="s">
        <v>35</v>
      </c>
      <c r="F2151" s="121" t="s">
        <v>670</v>
      </c>
      <c r="H2151" s="103" t="s">
        <v>4514</v>
      </c>
    </row>
    <row r="2152" spans="2:8" x14ac:dyDescent="0.25">
      <c r="B2152">
        <v>2150</v>
      </c>
      <c r="C2152" t="s">
        <v>4515</v>
      </c>
      <c r="D2152" t="s">
        <v>4516</v>
      </c>
      <c r="E2152" t="s">
        <v>9</v>
      </c>
      <c r="F2152" s="121">
        <v>4825</v>
      </c>
      <c r="H2152" s="103" t="s">
        <v>4517</v>
      </c>
    </row>
    <row r="2153" spans="2:8" x14ac:dyDescent="0.25">
      <c r="B2153">
        <v>2151</v>
      </c>
      <c r="C2153" t="s">
        <v>4518</v>
      </c>
      <c r="D2153" t="s">
        <v>4519</v>
      </c>
      <c r="E2153" t="s">
        <v>35</v>
      </c>
      <c r="F2153" s="121" t="s">
        <v>379</v>
      </c>
      <c r="G2153" s="103" t="s">
        <v>37</v>
      </c>
      <c r="H2153" s="103" t="s">
        <v>4520</v>
      </c>
    </row>
    <row r="2154" spans="2:8" x14ac:dyDescent="0.25">
      <c r="B2154">
        <v>2152</v>
      </c>
      <c r="C2154" t="s">
        <v>4521</v>
      </c>
      <c r="D2154" t="s">
        <v>4522</v>
      </c>
      <c r="E2154" t="s">
        <v>9</v>
      </c>
      <c r="F2154" s="121">
        <v>4818</v>
      </c>
      <c r="H2154" s="103" t="s">
        <v>5305</v>
      </c>
    </row>
    <row r="2155" spans="2:8" x14ac:dyDescent="0.25">
      <c r="B2155">
        <v>2153</v>
      </c>
      <c r="C2155" t="s">
        <v>401</v>
      </c>
      <c r="D2155" t="s">
        <v>4523</v>
      </c>
      <c r="E2155" t="s">
        <v>9</v>
      </c>
      <c r="F2155" s="121">
        <v>4825</v>
      </c>
      <c r="H2155" s="103" t="s">
        <v>4524</v>
      </c>
    </row>
    <row r="2156" spans="2:8" x14ac:dyDescent="0.25">
      <c r="B2156">
        <v>2154</v>
      </c>
      <c r="C2156" t="s">
        <v>4525</v>
      </c>
      <c r="D2156"/>
      <c r="E2156" t="s">
        <v>21</v>
      </c>
      <c r="F2156" s="121" t="s">
        <v>44</v>
      </c>
      <c r="H2156" s="103" t="s">
        <v>4526</v>
      </c>
    </row>
    <row r="2157" spans="2:8" x14ac:dyDescent="0.25">
      <c r="B2157">
        <v>2155</v>
      </c>
      <c r="C2157" t="s">
        <v>4527</v>
      </c>
      <c r="D2157" t="s">
        <v>4528</v>
      </c>
      <c r="E2157" t="s">
        <v>9</v>
      </c>
      <c r="F2157" s="121">
        <v>4825</v>
      </c>
      <c r="H2157" s="103" t="s">
        <v>4529</v>
      </c>
    </row>
    <row r="2158" spans="2:8" x14ac:dyDescent="0.25">
      <c r="B2158">
        <v>2156</v>
      </c>
      <c r="C2158" t="s">
        <v>4530</v>
      </c>
      <c r="D2158" t="s">
        <v>4531</v>
      </c>
      <c r="E2158" t="s">
        <v>9</v>
      </c>
      <c r="F2158" s="121">
        <v>3880</v>
      </c>
      <c r="G2158" s="103">
        <v>1288</v>
      </c>
      <c r="H2158" s="103" t="s">
        <v>4532</v>
      </c>
    </row>
    <row r="2159" spans="2:8" x14ac:dyDescent="0.25">
      <c r="B2159">
        <v>2157</v>
      </c>
      <c r="C2159" t="s">
        <v>4533</v>
      </c>
      <c r="D2159" t="s">
        <v>4534</v>
      </c>
      <c r="E2159" t="s">
        <v>9</v>
      </c>
      <c r="F2159" s="121">
        <v>3880</v>
      </c>
      <c r="G2159" s="103">
        <v>1288</v>
      </c>
      <c r="H2159" s="103" t="s">
        <v>4535</v>
      </c>
    </row>
    <row r="2160" spans="2:8" x14ac:dyDescent="0.25">
      <c r="B2160">
        <v>2158</v>
      </c>
      <c r="C2160" t="s">
        <v>4536</v>
      </c>
      <c r="D2160"/>
      <c r="E2160" t="s">
        <v>9</v>
      </c>
      <c r="F2160" s="121">
        <v>3880</v>
      </c>
      <c r="G2160" s="103">
        <v>1288</v>
      </c>
      <c r="H2160" s="103" t="s">
        <v>4537</v>
      </c>
    </row>
    <row r="2161" spans="2:8" x14ac:dyDescent="0.25">
      <c r="B2161">
        <v>2159</v>
      </c>
      <c r="C2161" t="s">
        <v>4538</v>
      </c>
      <c r="D2161" t="s">
        <v>4539</v>
      </c>
      <c r="E2161" t="s">
        <v>35</v>
      </c>
      <c r="F2161" s="121" t="s">
        <v>36</v>
      </c>
      <c r="H2161" s="103" t="s">
        <v>4540</v>
      </c>
    </row>
    <row r="2162" spans="2:8" x14ac:dyDescent="0.25">
      <c r="B2162">
        <v>2160</v>
      </c>
      <c r="C2162" t="s">
        <v>4541</v>
      </c>
      <c r="D2162" t="s">
        <v>4542</v>
      </c>
      <c r="E2162" t="s">
        <v>9</v>
      </c>
      <c r="F2162" s="121">
        <v>2734</v>
      </c>
      <c r="H2162" s="103" t="s">
        <v>4543</v>
      </c>
    </row>
    <row r="2163" spans="2:8" x14ac:dyDescent="0.25">
      <c r="B2163">
        <v>2161</v>
      </c>
      <c r="C2163" t="s">
        <v>4544</v>
      </c>
      <c r="D2163" t="s">
        <v>4545</v>
      </c>
      <c r="E2163" t="s">
        <v>21</v>
      </c>
      <c r="F2163" s="121" t="s">
        <v>44</v>
      </c>
      <c r="H2163" s="103" t="s">
        <v>4546</v>
      </c>
    </row>
    <row r="2164" spans="2:8" x14ac:dyDescent="0.25">
      <c r="B2164">
        <v>2162</v>
      </c>
      <c r="C2164" t="s">
        <v>4547</v>
      </c>
      <c r="D2164" t="s">
        <v>4548</v>
      </c>
      <c r="E2164" t="s">
        <v>9</v>
      </c>
      <c r="F2164" s="121">
        <v>3880</v>
      </c>
      <c r="G2164" s="103">
        <v>1288</v>
      </c>
      <c r="H2164" s="103" t="s">
        <v>4549</v>
      </c>
    </row>
    <row r="2165" spans="2:8" x14ac:dyDescent="0.25">
      <c r="B2165">
        <v>2163</v>
      </c>
      <c r="C2165" t="s">
        <v>4550</v>
      </c>
      <c r="D2165" t="s">
        <v>4551</v>
      </c>
      <c r="E2165" t="s">
        <v>9</v>
      </c>
      <c r="F2165" s="121">
        <v>128</v>
      </c>
      <c r="G2165" s="103">
        <v>13</v>
      </c>
      <c r="H2165" s="103" t="s">
        <v>4552</v>
      </c>
    </row>
    <row r="2166" spans="2:8" x14ac:dyDescent="0.25">
      <c r="B2166">
        <v>2164</v>
      </c>
      <c r="C2166" t="s">
        <v>4553</v>
      </c>
      <c r="D2166" t="s">
        <v>4554</v>
      </c>
      <c r="E2166" t="s">
        <v>21</v>
      </c>
      <c r="F2166" s="121">
        <v>3899</v>
      </c>
      <c r="H2166" s="103" t="s">
        <v>4555</v>
      </c>
    </row>
    <row r="2167" spans="2:8" x14ac:dyDescent="0.25">
      <c r="B2167">
        <v>2165</v>
      </c>
      <c r="C2167" t="s">
        <v>4556</v>
      </c>
      <c r="D2167" t="s">
        <v>5252</v>
      </c>
      <c r="E2167" t="s">
        <v>9</v>
      </c>
      <c r="F2167" s="121">
        <v>412</v>
      </c>
      <c r="G2167" s="103">
        <v>13</v>
      </c>
      <c r="H2167" s="103" t="s">
        <v>4557</v>
      </c>
    </row>
    <row r="2168" spans="2:8" x14ac:dyDescent="0.25">
      <c r="B2168">
        <v>2166</v>
      </c>
      <c r="C2168" t="s">
        <v>4558</v>
      </c>
      <c r="D2168" t="s">
        <v>4559</v>
      </c>
      <c r="E2168" t="s">
        <v>9</v>
      </c>
      <c r="F2168" s="121">
        <v>4825</v>
      </c>
      <c r="H2168" s="103" t="s">
        <v>4560</v>
      </c>
    </row>
    <row r="2169" spans="2:8" x14ac:dyDescent="0.25">
      <c r="B2169">
        <v>2167</v>
      </c>
      <c r="C2169" t="s">
        <v>4561</v>
      </c>
      <c r="D2169" t="s">
        <v>4562</v>
      </c>
      <c r="E2169" t="s">
        <v>21</v>
      </c>
      <c r="F2169" s="121">
        <v>3801</v>
      </c>
      <c r="H2169" s="103" t="s">
        <v>4563</v>
      </c>
    </row>
    <row r="2170" spans="2:8" x14ac:dyDescent="0.25">
      <c r="B2170">
        <v>2168</v>
      </c>
      <c r="C2170" t="s">
        <v>4564</v>
      </c>
      <c r="D2170" t="s">
        <v>4565</v>
      </c>
      <c r="E2170" t="s">
        <v>9</v>
      </c>
      <c r="F2170" s="121">
        <v>4825</v>
      </c>
      <c r="H2170" s="103" t="s">
        <v>4566</v>
      </c>
    </row>
    <row r="2171" spans="2:8" x14ac:dyDescent="0.25">
      <c r="B2171">
        <v>2169</v>
      </c>
      <c r="C2171" t="s">
        <v>4567</v>
      </c>
      <c r="D2171"/>
      <c r="E2171" t="s">
        <v>9</v>
      </c>
      <c r="F2171" s="121">
        <v>4825</v>
      </c>
      <c r="G2171" s="103">
        <v>13</v>
      </c>
      <c r="H2171" s="103" t="s">
        <v>4568</v>
      </c>
    </row>
    <row r="2172" spans="2:8" x14ac:dyDescent="0.25">
      <c r="B2172">
        <v>2170</v>
      </c>
      <c r="C2172" t="s">
        <v>4569</v>
      </c>
      <c r="D2172" t="s">
        <v>4570</v>
      </c>
      <c r="E2172" t="s">
        <v>9</v>
      </c>
      <c r="F2172" s="121">
        <v>3880</v>
      </c>
      <c r="H2172" s="103" t="s">
        <v>4571</v>
      </c>
    </row>
    <row r="2173" spans="2:8" x14ac:dyDescent="0.25">
      <c r="B2173">
        <v>2171</v>
      </c>
      <c r="C2173" t="s">
        <v>4572</v>
      </c>
      <c r="D2173" t="s">
        <v>4573</v>
      </c>
      <c r="E2173" t="s">
        <v>9</v>
      </c>
      <c r="F2173" s="121">
        <v>780</v>
      </c>
      <c r="G2173" s="103">
        <v>23</v>
      </c>
      <c r="H2173" s="103" t="s">
        <v>4574</v>
      </c>
    </row>
    <row r="2174" spans="2:8" x14ac:dyDescent="0.25">
      <c r="B2174">
        <v>2172</v>
      </c>
      <c r="C2174" t="s">
        <v>4575</v>
      </c>
      <c r="D2174" t="s">
        <v>4576</v>
      </c>
      <c r="E2174" t="s">
        <v>21</v>
      </c>
      <c r="F2174" s="121">
        <v>3801</v>
      </c>
      <c r="H2174" s="103" t="s">
        <v>4577</v>
      </c>
    </row>
    <row r="2175" spans="2:8" x14ac:dyDescent="0.25">
      <c r="B2175">
        <v>2173</v>
      </c>
      <c r="C2175" t="s">
        <v>4578</v>
      </c>
      <c r="D2175" t="s">
        <v>4579</v>
      </c>
      <c r="E2175" t="s">
        <v>21</v>
      </c>
      <c r="F2175" s="121">
        <v>3860</v>
      </c>
      <c r="H2175" s="103" t="s">
        <v>4580</v>
      </c>
    </row>
    <row r="2176" spans="2:8" x14ac:dyDescent="0.25">
      <c r="B2176">
        <v>2174</v>
      </c>
      <c r="C2176" t="s">
        <v>4581</v>
      </c>
      <c r="D2176" t="s">
        <v>4582</v>
      </c>
      <c r="E2176" t="s">
        <v>9</v>
      </c>
      <c r="F2176" s="121">
        <v>4694</v>
      </c>
      <c r="H2176" s="103" t="s">
        <v>4583</v>
      </c>
    </row>
    <row r="2177" spans="2:8" x14ac:dyDescent="0.25">
      <c r="B2177">
        <v>2175</v>
      </c>
      <c r="C2177" t="s">
        <v>4584</v>
      </c>
      <c r="D2177" t="s">
        <v>4585</v>
      </c>
      <c r="E2177" t="s">
        <v>9</v>
      </c>
      <c r="F2177" s="121">
        <v>3880</v>
      </c>
      <c r="G2177" s="103">
        <v>1288</v>
      </c>
      <c r="H2177" s="103" t="s">
        <v>4586</v>
      </c>
    </row>
    <row r="2178" spans="2:8" x14ac:dyDescent="0.25">
      <c r="B2178">
        <v>2176</v>
      </c>
      <c r="C2178" t="s">
        <v>4587</v>
      </c>
      <c r="D2178" t="s">
        <v>4588</v>
      </c>
      <c r="E2178" t="s">
        <v>9</v>
      </c>
      <c r="F2178" s="121">
        <v>4601</v>
      </c>
      <c r="H2178" s="103" t="s">
        <v>4589</v>
      </c>
    </row>
    <row r="2179" spans="2:8" x14ac:dyDescent="0.25">
      <c r="B2179">
        <v>2177</v>
      </c>
      <c r="C2179" t="s">
        <v>4590</v>
      </c>
      <c r="D2179" t="s">
        <v>4591</v>
      </c>
      <c r="E2179" t="s">
        <v>9</v>
      </c>
      <c r="F2179" s="121">
        <v>780</v>
      </c>
      <c r="H2179" s="103" t="s">
        <v>4592</v>
      </c>
    </row>
    <row r="2180" spans="2:8" x14ac:dyDescent="0.25">
      <c r="B2180">
        <v>2178</v>
      </c>
      <c r="C2180" t="s">
        <v>4593</v>
      </c>
      <c r="D2180" t="s">
        <v>4594</v>
      </c>
      <c r="E2180" t="s">
        <v>9</v>
      </c>
      <c r="F2180" s="121">
        <v>972</v>
      </c>
      <c r="H2180" s="103" t="s">
        <v>4595</v>
      </c>
    </row>
    <row r="2181" spans="2:8" x14ac:dyDescent="0.25">
      <c r="B2181">
        <v>2179</v>
      </c>
      <c r="C2181" t="s">
        <v>4596</v>
      </c>
      <c r="D2181" t="s">
        <v>4597</v>
      </c>
      <c r="E2181" t="s">
        <v>21</v>
      </c>
      <c r="F2181" s="121" t="s">
        <v>44</v>
      </c>
      <c r="G2181" s="103" t="s">
        <v>37</v>
      </c>
      <c r="H2181" s="103" t="s">
        <v>4598</v>
      </c>
    </row>
    <row r="2182" spans="2:8" x14ac:dyDescent="0.25">
      <c r="B2182">
        <v>2180</v>
      </c>
      <c r="C2182" t="s">
        <v>4599</v>
      </c>
      <c r="D2182" t="s">
        <v>4600</v>
      </c>
      <c r="E2182" t="s">
        <v>35</v>
      </c>
      <c r="F2182" s="121" t="s">
        <v>379</v>
      </c>
      <c r="H2182" s="103" t="s">
        <v>4601</v>
      </c>
    </row>
    <row r="2183" spans="2:8" x14ac:dyDescent="0.25">
      <c r="B2183">
        <v>2181</v>
      </c>
      <c r="C2183" t="s">
        <v>4602</v>
      </c>
      <c r="D2183" t="s">
        <v>4603</v>
      </c>
      <c r="E2183" t="s">
        <v>9</v>
      </c>
      <c r="F2183" s="121">
        <v>780</v>
      </c>
      <c r="H2183" s="103" t="s">
        <v>4604</v>
      </c>
    </row>
    <row r="2184" spans="2:8" x14ac:dyDescent="0.25">
      <c r="B2184">
        <v>2182</v>
      </c>
      <c r="C2184" t="s">
        <v>4605</v>
      </c>
      <c r="D2184" t="s">
        <v>4606</v>
      </c>
      <c r="E2184" t="s">
        <v>9</v>
      </c>
      <c r="F2184" s="121">
        <v>143</v>
      </c>
      <c r="G2184" s="103">
        <v>13</v>
      </c>
      <c r="H2184" s="103" t="s">
        <v>4607</v>
      </c>
    </row>
    <row r="2185" spans="2:8" x14ac:dyDescent="0.25">
      <c r="B2185">
        <v>2183</v>
      </c>
      <c r="C2185" t="s">
        <v>4608</v>
      </c>
      <c r="D2185" t="s">
        <v>4609</v>
      </c>
      <c r="E2185" t="s">
        <v>21</v>
      </c>
      <c r="F2185" s="121">
        <v>3905</v>
      </c>
      <c r="H2185" s="103" t="s">
        <v>4610</v>
      </c>
    </row>
    <row r="2186" spans="2:8" x14ac:dyDescent="0.25">
      <c r="B2186">
        <v>2184</v>
      </c>
      <c r="C2186" t="s">
        <v>4611</v>
      </c>
      <c r="D2186" t="s">
        <v>4612</v>
      </c>
      <c r="E2186" t="s">
        <v>9</v>
      </c>
      <c r="F2186" s="121">
        <v>4825</v>
      </c>
      <c r="H2186" s="103" t="s">
        <v>4613</v>
      </c>
    </row>
    <row r="2187" spans="2:8" x14ac:dyDescent="0.25">
      <c r="B2187">
        <v>2185</v>
      </c>
      <c r="C2187" t="s">
        <v>4614</v>
      </c>
      <c r="D2187" t="s">
        <v>4615</v>
      </c>
      <c r="E2187" t="s">
        <v>21</v>
      </c>
      <c r="F2187" s="121" t="s">
        <v>4616</v>
      </c>
      <c r="G2187" s="103" t="s">
        <v>37</v>
      </c>
      <c r="H2187" s="103" t="s">
        <v>4617</v>
      </c>
    </row>
    <row r="2188" spans="2:8" x14ac:dyDescent="0.25">
      <c r="B2188">
        <v>2186</v>
      </c>
      <c r="C2188" t="s">
        <v>4618</v>
      </c>
      <c r="D2188" t="s">
        <v>4619</v>
      </c>
      <c r="E2188" t="s">
        <v>9</v>
      </c>
      <c r="F2188" s="121">
        <v>4825</v>
      </c>
      <c r="H2188" s="103" t="s">
        <v>4620</v>
      </c>
    </row>
    <row r="2189" spans="2:8" x14ac:dyDescent="0.25">
      <c r="B2189">
        <v>2187</v>
      </c>
      <c r="C2189" t="s">
        <v>4621</v>
      </c>
      <c r="D2189" t="s">
        <v>4622</v>
      </c>
      <c r="E2189" t="s">
        <v>9</v>
      </c>
      <c r="F2189" s="121">
        <v>4825</v>
      </c>
      <c r="H2189" s="103" t="s">
        <v>4623</v>
      </c>
    </row>
    <row r="2190" spans="2:8" x14ac:dyDescent="0.25">
      <c r="B2190">
        <v>2188</v>
      </c>
      <c r="C2190" t="s">
        <v>4624</v>
      </c>
      <c r="D2190" t="s">
        <v>4625</v>
      </c>
      <c r="E2190" t="s">
        <v>35</v>
      </c>
      <c r="F2190" s="121" t="s">
        <v>4626</v>
      </c>
      <c r="H2190" s="103" t="s">
        <v>4627</v>
      </c>
    </row>
    <row r="2191" spans="2:8" x14ac:dyDescent="0.25">
      <c r="B2191">
        <v>2189</v>
      </c>
      <c r="C2191" t="s">
        <v>1288</v>
      </c>
      <c r="D2191" t="s">
        <v>4628</v>
      </c>
      <c r="E2191" t="s">
        <v>9</v>
      </c>
      <c r="F2191" s="121">
        <v>4818</v>
      </c>
      <c r="H2191" s="103" t="s">
        <v>4629</v>
      </c>
    </row>
    <row r="2192" spans="2:8" x14ac:dyDescent="0.25">
      <c r="B2192">
        <v>2190</v>
      </c>
      <c r="C2192" t="s">
        <v>4630</v>
      </c>
      <c r="D2192"/>
      <c r="E2192" t="s">
        <v>21</v>
      </c>
      <c r="F2192" s="121">
        <v>3905</v>
      </c>
      <c r="H2192" s="103" t="s">
        <v>4631</v>
      </c>
    </row>
    <row r="2193" spans="2:8" x14ac:dyDescent="0.25">
      <c r="B2193">
        <v>2191</v>
      </c>
      <c r="C2193" t="s">
        <v>4632</v>
      </c>
      <c r="D2193" t="s">
        <v>4633</v>
      </c>
      <c r="E2193" t="s">
        <v>9</v>
      </c>
      <c r="F2193" s="121">
        <v>2734</v>
      </c>
      <c r="G2193" s="103">
        <v>13</v>
      </c>
      <c r="H2193" s="103" t="s">
        <v>4634</v>
      </c>
    </row>
    <row r="2194" spans="2:8" x14ac:dyDescent="0.25">
      <c r="B2194">
        <v>2192</v>
      </c>
      <c r="C2194" t="s">
        <v>4635</v>
      </c>
      <c r="D2194" t="s">
        <v>4636</v>
      </c>
      <c r="E2194" t="s">
        <v>21</v>
      </c>
      <c r="F2194" s="121">
        <v>3738</v>
      </c>
      <c r="H2194" s="103" t="s">
        <v>4637</v>
      </c>
    </row>
    <row r="2195" spans="2:8" x14ac:dyDescent="0.25">
      <c r="B2195">
        <v>2193</v>
      </c>
      <c r="C2195" t="s">
        <v>3496</v>
      </c>
      <c r="D2195" t="s">
        <v>4638</v>
      </c>
      <c r="E2195" t="s">
        <v>9</v>
      </c>
      <c r="F2195" s="121">
        <v>4818</v>
      </c>
      <c r="H2195" s="103" t="s">
        <v>4639</v>
      </c>
    </row>
    <row r="2196" spans="2:8" x14ac:dyDescent="0.25">
      <c r="B2196">
        <v>2194</v>
      </c>
      <c r="C2196" t="s">
        <v>4640</v>
      </c>
      <c r="D2196" t="s">
        <v>4641</v>
      </c>
      <c r="E2196" t="s">
        <v>35</v>
      </c>
      <c r="F2196" s="121" t="s">
        <v>36</v>
      </c>
      <c r="G2196" s="103" t="s">
        <v>37</v>
      </c>
      <c r="H2196" s="103" t="s">
        <v>4642</v>
      </c>
    </row>
    <row r="2197" spans="2:8" x14ac:dyDescent="0.25">
      <c r="B2197">
        <v>2195</v>
      </c>
      <c r="C2197" t="s">
        <v>4643</v>
      </c>
      <c r="D2197" t="s">
        <v>4644</v>
      </c>
      <c r="E2197" t="s">
        <v>9</v>
      </c>
      <c r="F2197" s="121">
        <v>3880</v>
      </c>
      <c r="G2197" s="103">
        <v>1288</v>
      </c>
      <c r="H2197" s="103" t="s">
        <v>4645</v>
      </c>
    </row>
    <row r="2198" spans="2:8" x14ac:dyDescent="0.25">
      <c r="B2198">
        <v>2196</v>
      </c>
      <c r="C2198" t="s">
        <v>4646</v>
      </c>
      <c r="D2198" t="s">
        <v>4647</v>
      </c>
      <c r="E2198" t="s">
        <v>9</v>
      </c>
      <c r="F2198" s="121">
        <v>949</v>
      </c>
      <c r="G2198" s="103">
        <v>23</v>
      </c>
      <c r="H2198" s="103" t="s">
        <v>4648</v>
      </c>
    </row>
    <row r="2199" spans="2:8" x14ac:dyDescent="0.25">
      <c r="B2199">
        <v>2197</v>
      </c>
      <c r="C2199" t="s">
        <v>4649</v>
      </c>
      <c r="D2199"/>
      <c r="E2199" t="s">
        <v>9</v>
      </c>
      <c r="F2199" s="121">
        <v>4777</v>
      </c>
      <c r="G2199" s="103">
        <v>13</v>
      </c>
      <c r="H2199" s="103" t="s">
        <v>4650</v>
      </c>
    </row>
    <row r="2200" spans="2:8" x14ac:dyDescent="0.25">
      <c r="B2200">
        <v>2198</v>
      </c>
      <c r="C2200" t="s">
        <v>4651</v>
      </c>
      <c r="D2200" t="s">
        <v>4652</v>
      </c>
      <c r="E2200" t="s">
        <v>21</v>
      </c>
      <c r="F2200" s="121">
        <v>3862</v>
      </c>
      <c r="H2200" s="103" t="s">
        <v>4653</v>
      </c>
    </row>
    <row r="2201" spans="2:8" x14ac:dyDescent="0.25">
      <c r="B2201">
        <v>2199</v>
      </c>
      <c r="C2201" t="s">
        <v>4654</v>
      </c>
      <c r="D2201" t="s">
        <v>4655</v>
      </c>
      <c r="E2201" t="s">
        <v>21</v>
      </c>
      <c r="F2201" s="121">
        <v>3943</v>
      </c>
      <c r="H2201" s="103" t="s">
        <v>4656</v>
      </c>
    </row>
    <row r="2202" spans="2:8" x14ac:dyDescent="0.25">
      <c r="B2202">
        <v>2200</v>
      </c>
      <c r="C2202" t="s">
        <v>4657</v>
      </c>
      <c r="D2202" t="s">
        <v>4658</v>
      </c>
      <c r="E2202" t="s">
        <v>9</v>
      </c>
      <c r="F2202" s="121">
        <v>4825</v>
      </c>
      <c r="H2202" s="103" t="s">
        <v>4659</v>
      </c>
    </row>
    <row r="2203" spans="2:8" x14ac:dyDescent="0.25">
      <c r="B2203">
        <v>2201</v>
      </c>
      <c r="C2203" t="s">
        <v>4660</v>
      </c>
      <c r="D2203" t="s">
        <v>4661</v>
      </c>
      <c r="E2203" t="s">
        <v>35</v>
      </c>
      <c r="F2203" s="121" t="s">
        <v>36</v>
      </c>
      <c r="H2203" s="103" t="s">
        <v>4662</v>
      </c>
    </row>
    <row r="2204" spans="2:8" x14ac:dyDescent="0.25">
      <c r="B2204">
        <v>2202</v>
      </c>
      <c r="C2204" t="s">
        <v>4663</v>
      </c>
      <c r="D2204" t="s">
        <v>4664</v>
      </c>
      <c r="E2204" t="s">
        <v>9</v>
      </c>
      <c r="F2204" s="121">
        <v>4818</v>
      </c>
      <c r="H2204" s="103" t="s">
        <v>4665</v>
      </c>
    </row>
    <row r="2205" spans="2:8" x14ac:dyDescent="0.25">
      <c r="B2205">
        <v>2203</v>
      </c>
      <c r="C2205" t="s">
        <v>4666</v>
      </c>
      <c r="D2205" t="s">
        <v>4667</v>
      </c>
      <c r="E2205" t="s">
        <v>21</v>
      </c>
      <c r="F2205" s="121" t="s">
        <v>4668</v>
      </c>
      <c r="H2205" s="103" t="s">
        <v>4669</v>
      </c>
    </row>
    <row r="2206" spans="2:8" x14ac:dyDescent="0.25">
      <c r="B2206">
        <v>2204</v>
      </c>
      <c r="C2206" t="s">
        <v>4670</v>
      </c>
      <c r="D2206" t="s">
        <v>4671</v>
      </c>
      <c r="E2206" t="s">
        <v>21</v>
      </c>
      <c r="F2206" s="121">
        <v>3738</v>
      </c>
      <c r="H2206" s="103">
        <v>5232899</v>
      </c>
    </row>
    <row r="2207" spans="2:8" x14ac:dyDescent="0.25">
      <c r="B2207">
        <v>2205</v>
      </c>
      <c r="C2207" t="s">
        <v>4672</v>
      </c>
      <c r="D2207" t="s">
        <v>4673</v>
      </c>
      <c r="E2207" t="s">
        <v>35</v>
      </c>
      <c r="F2207" s="121" t="s">
        <v>1843</v>
      </c>
      <c r="H2207" s="103" t="s">
        <v>4674</v>
      </c>
    </row>
    <row r="2208" spans="2:8" x14ac:dyDescent="0.25">
      <c r="B2208">
        <v>2206</v>
      </c>
      <c r="C2208" t="s">
        <v>3106</v>
      </c>
      <c r="D2208" t="s">
        <v>4675</v>
      </c>
      <c r="E2208" t="s">
        <v>9</v>
      </c>
      <c r="F2208" s="121">
        <v>4825</v>
      </c>
      <c r="H2208" s="103" t="s">
        <v>4676</v>
      </c>
    </row>
    <row r="2209" spans="2:8" x14ac:dyDescent="0.25">
      <c r="B2209">
        <v>2207</v>
      </c>
      <c r="C2209" t="s">
        <v>4677</v>
      </c>
      <c r="D2209" t="s">
        <v>4678</v>
      </c>
      <c r="E2209" t="s">
        <v>9</v>
      </c>
      <c r="F2209" s="121">
        <v>4825</v>
      </c>
      <c r="H2209" s="103" t="s">
        <v>4679</v>
      </c>
    </row>
    <row r="2210" spans="2:8" x14ac:dyDescent="0.25">
      <c r="B2210">
        <v>2208</v>
      </c>
      <c r="C2210" t="s">
        <v>4680</v>
      </c>
      <c r="D2210" t="s">
        <v>4681</v>
      </c>
      <c r="E2210" t="s">
        <v>21</v>
      </c>
      <c r="F2210" s="121">
        <v>3943</v>
      </c>
      <c r="G2210" s="103" t="s">
        <v>22</v>
      </c>
      <c r="H2210" s="103" t="s">
        <v>4682</v>
      </c>
    </row>
    <row r="2211" spans="2:8" x14ac:dyDescent="0.25">
      <c r="B2211">
        <v>2209</v>
      </c>
      <c r="C2211" t="s">
        <v>4683</v>
      </c>
      <c r="D2211" t="s">
        <v>4684</v>
      </c>
      <c r="E2211" t="s">
        <v>9</v>
      </c>
      <c r="F2211" s="121">
        <v>780</v>
      </c>
      <c r="G2211" s="103" t="s">
        <v>37</v>
      </c>
      <c r="H2211" s="103" t="s">
        <v>4685</v>
      </c>
    </row>
    <row r="2212" spans="2:8" x14ac:dyDescent="0.25">
      <c r="B2212">
        <v>2210</v>
      </c>
      <c r="C2212" t="s">
        <v>4686</v>
      </c>
      <c r="D2212" t="s">
        <v>4687</v>
      </c>
      <c r="E2212" t="s">
        <v>21</v>
      </c>
      <c r="F2212" s="121" t="s">
        <v>4668</v>
      </c>
      <c r="G2212" s="103" t="s">
        <v>37</v>
      </c>
      <c r="H2212" s="103">
        <v>167932</v>
      </c>
    </row>
    <row r="2213" spans="2:8" x14ac:dyDescent="0.25">
      <c r="B2213">
        <v>2211</v>
      </c>
      <c r="C2213" t="s">
        <v>4688</v>
      </c>
      <c r="D2213" t="s">
        <v>4689</v>
      </c>
      <c r="E2213" t="s">
        <v>9</v>
      </c>
      <c r="F2213" s="121">
        <v>143</v>
      </c>
      <c r="G2213" s="103" t="s">
        <v>37</v>
      </c>
      <c r="H2213" s="103" t="s">
        <v>4690</v>
      </c>
    </row>
    <row r="2214" spans="2:8" x14ac:dyDescent="0.25">
      <c r="B2214">
        <v>2212</v>
      </c>
      <c r="C2214" t="s">
        <v>4691</v>
      </c>
      <c r="D2214" t="s">
        <v>4692</v>
      </c>
      <c r="E2214" t="s">
        <v>9</v>
      </c>
      <c r="F2214" s="121">
        <v>2022</v>
      </c>
      <c r="G2214" s="103" t="s">
        <v>37</v>
      </c>
      <c r="H2214" s="103" t="s">
        <v>4693</v>
      </c>
    </row>
    <row r="2215" spans="2:8" x14ac:dyDescent="0.25">
      <c r="B2215">
        <v>2213</v>
      </c>
      <c r="C2215" t="s">
        <v>4694</v>
      </c>
      <c r="D2215" t="s">
        <v>4695</v>
      </c>
      <c r="E2215" t="s">
        <v>35</v>
      </c>
      <c r="F2215" s="121" t="s">
        <v>4696</v>
      </c>
      <c r="G2215" s="103" t="s">
        <v>22</v>
      </c>
      <c r="H2215" s="103" t="s">
        <v>4697</v>
      </c>
    </row>
    <row r="2216" spans="2:8" x14ac:dyDescent="0.25">
      <c r="B2216">
        <v>2214</v>
      </c>
      <c r="C2216" t="s">
        <v>4698</v>
      </c>
      <c r="D2216" t="s">
        <v>4699</v>
      </c>
      <c r="E2216" t="s">
        <v>9</v>
      </c>
      <c r="F2216" s="121">
        <v>4825</v>
      </c>
      <c r="G2216" s="103" t="s">
        <v>37</v>
      </c>
      <c r="H2216" s="103" t="s">
        <v>4700</v>
      </c>
    </row>
    <row r="2217" spans="2:8" x14ac:dyDescent="0.25">
      <c r="B2217">
        <v>2215</v>
      </c>
      <c r="C2217" t="s">
        <v>4701</v>
      </c>
      <c r="D2217"/>
      <c r="E2217" t="s">
        <v>9</v>
      </c>
      <c r="F2217" s="121">
        <v>3880</v>
      </c>
      <c r="G2217" s="103">
        <v>1288</v>
      </c>
      <c r="H2217" s="103" t="s">
        <v>4702</v>
      </c>
    </row>
    <row r="2218" spans="2:8" x14ac:dyDescent="0.25">
      <c r="B2218">
        <v>2216</v>
      </c>
      <c r="C2218" t="s">
        <v>4703</v>
      </c>
      <c r="D2218"/>
      <c r="E2218" t="s">
        <v>9</v>
      </c>
      <c r="F2218" s="121">
        <v>3880</v>
      </c>
      <c r="G2218" s="103" t="s">
        <v>37</v>
      </c>
      <c r="H2218" s="103" t="s">
        <v>4704</v>
      </c>
    </row>
    <row r="2219" spans="2:8" x14ac:dyDescent="0.25">
      <c r="B2219">
        <v>2217</v>
      </c>
      <c r="C2219" t="s">
        <v>4705</v>
      </c>
      <c r="D2219" t="s">
        <v>4706</v>
      </c>
      <c r="E2219" t="s">
        <v>9</v>
      </c>
      <c r="F2219" s="121">
        <v>4825</v>
      </c>
      <c r="H2219" s="103" t="s">
        <v>4707</v>
      </c>
    </row>
    <row r="2220" spans="2:8" x14ac:dyDescent="0.25">
      <c r="B2220">
        <v>2218</v>
      </c>
      <c r="C2220" t="s">
        <v>2380</v>
      </c>
      <c r="D2220" t="s">
        <v>4708</v>
      </c>
      <c r="E2220" t="s">
        <v>9</v>
      </c>
      <c r="F2220" s="121">
        <v>780</v>
      </c>
      <c r="H2220" s="103" t="s">
        <v>4709</v>
      </c>
    </row>
    <row r="2221" spans="2:8" x14ac:dyDescent="0.25">
      <c r="B2221">
        <v>2219</v>
      </c>
      <c r="C2221" t="s">
        <v>4710</v>
      </c>
      <c r="D2221" t="s">
        <v>4711</v>
      </c>
      <c r="E2221" t="s">
        <v>9</v>
      </c>
      <c r="F2221" s="121">
        <v>4818</v>
      </c>
      <c r="H2221" s="103" t="s">
        <v>4712</v>
      </c>
    </row>
    <row r="2222" spans="2:8" x14ac:dyDescent="0.25">
      <c r="B2222">
        <v>2220</v>
      </c>
      <c r="C2222" t="s">
        <v>4713</v>
      </c>
      <c r="D2222" t="s">
        <v>4714</v>
      </c>
      <c r="E2222" t="s">
        <v>9</v>
      </c>
      <c r="F2222" s="121">
        <v>4818</v>
      </c>
      <c r="H2222" s="103" t="s">
        <v>4715</v>
      </c>
    </row>
    <row r="2223" spans="2:8" x14ac:dyDescent="0.25">
      <c r="B2223">
        <v>2221</v>
      </c>
      <c r="C2223" t="s">
        <v>4716</v>
      </c>
      <c r="D2223" t="s">
        <v>4717</v>
      </c>
      <c r="E2223" t="s">
        <v>9</v>
      </c>
      <c r="F2223" s="121">
        <v>4818</v>
      </c>
      <c r="H2223" s="103" t="s">
        <v>4718</v>
      </c>
    </row>
    <row r="2224" spans="2:8" x14ac:dyDescent="0.25">
      <c r="B2224">
        <v>2222</v>
      </c>
      <c r="C2224" t="s">
        <v>4719</v>
      </c>
      <c r="D2224" t="s">
        <v>4720</v>
      </c>
      <c r="E2224" t="s">
        <v>9</v>
      </c>
      <c r="F2224" s="121">
        <v>2307</v>
      </c>
      <c r="H2224" s="103" t="s">
        <v>4721</v>
      </c>
    </row>
    <row r="2225" spans="2:8" x14ac:dyDescent="0.25">
      <c r="B2225">
        <v>2223</v>
      </c>
      <c r="C2225" t="s">
        <v>4722</v>
      </c>
      <c r="D2225" t="s">
        <v>4723</v>
      </c>
      <c r="E2225" t="s">
        <v>35</v>
      </c>
      <c r="F2225" s="121" t="s">
        <v>36</v>
      </c>
      <c r="G2225" s="103" t="s">
        <v>22</v>
      </c>
      <c r="H2225" s="103" t="s">
        <v>4724</v>
      </c>
    </row>
    <row r="2226" spans="2:8" x14ac:dyDescent="0.25">
      <c r="B2226">
        <v>2224</v>
      </c>
      <c r="C2226" t="s">
        <v>4725</v>
      </c>
      <c r="D2226" t="s">
        <v>4726</v>
      </c>
      <c r="E2226" t="s">
        <v>9</v>
      </c>
      <c r="F2226" s="121">
        <v>4825</v>
      </c>
      <c r="H2226" s="103" t="s">
        <v>4727</v>
      </c>
    </row>
    <row r="2227" spans="2:8" x14ac:dyDescent="0.25">
      <c r="B2227">
        <v>2225</v>
      </c>
      <c r="C2227" t="s">
        <v>4728</v>
      </c>
      <c r="D2227" t="s">
        <v>4729</v>
      </c>
      <c r="E2227" t="s">
        <v>21</v>
      </c>
      <c r="F2227" s="121" t="s">
        <v>44</v>
      </c>
      <c r="G2227" s="103" t="s">
        <v>37</v>
      </c>
      <c r="H2227" s="103" t="s">
        <v>2536</v>
      </c>
    </row>
    <row r="2228" spans="2:8" x14ac:dyDescent="0.25">
      <c r="B2228">
        <v>2226</v>
      </c>
      <c r="C2228" t="s">
        <v>4730</v>
      </c>
      <c r="D2228" t="s">
        <v>4731</v>
      </c>
      <c r="E2228" t="s">
        <v>21</v>
      </c>
      <c r="F2228" s="121" t="s">
        <v>44</v>
      </c>
      <c r="G2228" s="103" t="s">
        <v>37</v>
      </c>
      <c r="H2228" s="103" t="s">
        <v>4732</v>
      </c>
    </row>
    <row r="2229" spans="2:8" x14ac:dyDescent="0.25">
      <c r="B2229">
        <v>2227</v>
      </c>
      <c r="C2229" t="s">
        <v>4733</v>
      </c>
      <c r="D2229" t="s">
        <v>4734</v>
      </c>
      <c r="E2229" t="s">
        <v>9</v>
      </c>
      <c r="F2229" s="121">
        <v>4825</v>
      </c>
      <c r="H2229" s="103" t="s">
        <v>4735</v>
      </c>
    </row>
    <row r="2230" spans="2:8" x14ac:dyDescent="0.25">
      <c r="B2230">
        <v>2228</v>
      </c>
      <c r="C2230" t="s">
        <v>4736</v>
      </c>
      <c r="D2230" t="s">
        <v>4737</v>
      </c>
      <c r="E2230" t="s">
        <v>21</v>
      </c>
      <c r="F2230" s="121">
        <v>3943</v>
      </c>
      <c r="H2230" s="103" t="s">
        <v>4738</v>
      </c>
    </row>
    <row r="2231" spans="2:8" x14ac:dyDescent="0.25">
      <c r="B2231">
        <v>2229</v>
      </c>
      <c r="C2231" t="s">
        <v>4739</v>
      </c>
      <c r="D2231" t="s">
        <v>4740</v>
      </c>
      <c r="E2231" t="s">
        <v>9</v>
      </c>
      <c r="F2231" s="121">
        <v>4825</v>
      </c>
      <c r="H2231" s="103" t="s">
        <v>4741</v>
      </c>
    </row>
    <row r="2232" spans="2:8" x14ac:dyDescent="0.25">
      <c r="B2232">
        <v>2230</v>
      </c>
      <c r="C2232" t="s">
        <v>4742</v>
      </c>
      <c r="D2232" t="s">
        <v>4743</v>
      </c>
      <c r="E2232" t="s">
        <v>9</v>
      </c>
      <c r="F2232" s="121">
        <v>4825</v>
      </c>
      <c r="H2232" s="103" t="s">
        <v>4744</v>
      </c>
    </row>
    <row r="2233" spans="2:8" x14ac:dyDescent="0.25">
      <c r="B2233">
        <v>2231</v>
      </c>
      <c r="C2233" t="s">
        <v>4745</v>
      </c>
      <c r="D2233" t="s">
        <v>4746</v>
      </c>
      <c r="E2233" t="s">
        <v>21</v>
      </c>
      <c r="F2233" s="121" t="s">
        <v>72</v>
      </c>
      <c r="G2233" s="103" t="s">
        <v>22</v>
      </c>
      <c r="H2233" s="103" t="s">
        <v>4747</v>
      </c>
    </row>
    <row r="2234" spans="2:8" x14ac:dyDescent="0.25">
      <c r="B2234">
        <v>2232</v>
      </c>
      <c r="C2234" t="s">
        <v>4748</v>
      </c>
      <c r="D2234" t="s">
        <v>4749</v>
      </c>
      <c r="E2234" t="s">
        <v>9</v>
      </c>
      <c r="F2234" s="121">
        <v>780</v>
      </c>
      <c r="H2234" s="103" t="s">
        <v>4750</v>
      </c>
    </row>
    <row r="2235" spans="2:8" x14ac:dyDescent="0.25">
      <c r="B2235">
        <v>2233</v>
      </c>
      <c r="C2235" t="s">
        <v>4751</v>
      </c>
      <c r="D2235" t="s">
        <v>4752</v>
      </c>
      <c r="E2235" t="s">
        <v>9</v>
      </c>
      <c r="F2235" s="121">
        <v>4096</v>
      </c>
      <c r="H2235" s="103" t="s">
        <v>4753</v>
      </c>
    </row>
    <row r="2236" spans="2:8" x14ac:dyDescent="0.25">
      <c r="B2236">
        <v>2234</v>
      </c>
      <c r="C2236" t="s">
        <v>4754</v>
      </c>
      <c r="D2236" t="s">
        <v>4755</v>
      </c>
      <c r="E2236" t="s">
        <v>9</v>
      </c>
      <c r="F2236" s="121">
        <v>3880</v>
      </c>
      <c r="G2236" s="103">
        <v>1288</v>
      </c>
      <c r="H2236" s="103" t="s">
        <v>4756</v>
      </c>
    </row>
    <row r="2237" spans="2:8" x14ac:dyDescent="0.25">
      <c r="B2237">
        <v>2235</v>
      </c>
      <c r="C2237" t="s">
        <v>4757</v>
      </c>
      <c r="D2237" t="s">
        <v>4758</v>
      </c>
      <c r="E2237" t="s">
        <v>9</v>
      </c>
      <c r="F2237" s="121">
        <v>4825</v>
      </c>
      <c r="H2237" s="103" t="s">
        <v>4759</v>
      </c>
    </row>
    <row r="2238" spans="2:8" x14ac:dyDescent="0.25">
      <c r="B2238">
        <v>2236</v>
      </c>
      <c r="C2238" t="s">
        <v>4760</v>
      </c>
      <c r="D2238" t="s">
        <v>4761</v>
      </c>
      <c r="E2238" t="s">
        <v>9</v>
      </c>
      <c r="F2238" s="121">
        <v>4818</v>
      </c>
      <c r="H2238" s="103" t="s">
        <v>4762</v>
      </c>
    </row>
    <row r="2239" spans="2:8" x14ac:dyDescent="0.25">
      <c r="B2239">
        <v>2237</v>
      </c>
      <c r="C2239" t="s">
        <v>4763</v>
      </c>
      <c r="D2239" t="s">
        <v>4764</v>
      </c>
      <c r="E2239" t="s">
        <v>9</v>
      </c>
      <c r="F2239" s="121">
        <v>4818</v>
      </c>
      <c r="H2239" s="103" t="s">
        <v>4765</v>
      </c>
    </row>
    <row r="2240" spans="2:8" x14ac:dyDescent="0.25">
      <c r="B2240">
        <v>2238</v>
      </c>
      <c r="C2240" t="s">
        <v>4766</v>
      </c>
      <c r="D2240" t="s">
        <v>4767</v>
      </c>
      <c r="E2240" t="s">
        <v>9</v>
      </c>
      <c r="F2240" s="121">
        <v>2734</v>
      </c>
      <c r="H2240" s="103" t="s">
        <v>4768</v>
      </c>
    </row>
    <row r="2241" spans="2:8" x14ac:dyDescent="0.25">
      <c r="B2241">
        <v>2239</v>
      </c>
      <c r="C2241" t="s">
        <v>4769</v>
      </c>
      <c r="D2241" t="s">
        <v>4770</v>
      </c>
      <c r="E2241" t="s">
        <v>35</v>
      </c>
      <c r="F2241" s="121" t="s">
        <v>36</v>
      </c>
      <c r="H2241" s="103" t="s">
        <v>4771</v>
      </c>
    </row>
    <row r="2242" spans="2:8" x14ac:dyDescent="0.25">
      <c r="B2242">
        <v>2240</v>
      </c>
      <c r="C2242" t="s">
        <v>4772</v>
      </c>
      <c r="D2242" t="s">
        <v>4773</v>
      </c>
      <c r="E2242" t="s">
        <v>35</v>
      </c>
      <c r="F2242" s="121" t="s">
        <v>36</v>
      </c>
      <c r="H2242" s="103" t="s">
        <v>4774</v>
      </c>
    </row>
    <row r="2243" spans="2:8" x14ac:dyDescent="0.25">
      <c r="B2243">
        <v>2241</v>
      </c>
      <c r="C2243" t="s">
        <v>4775</v>
      </c>
      <c r="D2243" t="s">
        <v>4776</v>
      </c>
      <c r="E2243" t="s">
        <v>9</v>
      </c>
      <c r="F2243" s="121">
        <v>4818</v>
      </c>
      <c r="G2243" s="103">
        <v>3701</v>
      </c>
      <c r="H2243" s="103" t="s">
        <v>4777</v>
      </c>
    </row>
    <row r="2244" spans="2:8" x14ac:dyDescent="0.25">
      <c r="B2244">
        <v>2242</v>
      </c>
      <c r="C2244" t="s">
        <v>4778</v>
      </c>
      <c r="D2244" t="s">
        <v>4779</v>
      </c>
      <c r="E2244" t="s">
        <v>9</v>
      </c>
      <c r="F2244" s="121">
        <v>4825</v>
      </c>
      <c r="H2244" s="103" t="s">
        <v>4780</v>
      </c>
    </row>
    <row r="2245" spans="2:8" x14ac:dyDescent="0.25">
      <c r="B2245">
        <v>2243</v>
      </c>
      <c r="C2245" t="s">
        <v>4781</v>
      </c>
      <c r="D2245" t="s">
        <v>4782</v>
      </c>
      <c r="E2245" t="s">
        <v>35</v>
      </c>
      <c r="F2245" s="121" t="s">
        <v>3380</v>
      </c>
      <c r="H2245" s="103" t="s">
        <v>4783</v>
      </c>
    </row>
    <row r="2246" spans="2:8" x14ac:dyDescent="0.25">
      <c r="B2246">
        <v>2244</v>
      </c>
      <c r="C2246" t="s">
        <v>4784</v>
      </c>
      <c r="D2246" t="s">
        <v>4785</v>
      </c>
      <c r="E2246" t="s">
        <v>9</v>
      </c>
      <c r="F2246" s="121">
        <v>783</v>
      </c>
      <c r="H2246" s="103" t="s">
        <v>4786</v>
      </c>
    </row>
    <row r="2247" spans="2:8" x14ac:dyDescent="0.25">
      <c r="B2247">
        <v>2245</v>
      </c>
      <c r="C2247" t="s">
        <v>3889</v>
      </c>
      <c r="D2247" t="s">
        <v>4787</v>
      </c>
      <c r="E2247" t="s">
        <v>21</v>
      </c>
      <c r="F2247" s="121">
        <v>3858</v>
      </c>
      <c r="H2247" s="103" t="s">
        <v>4788</v>
      </c>
    </row>
    <row r="2248" spans="2:8" x14ac:dyDescent="0.25">
      <c r="B2248">
        <v>2246</v>
      </c>
      <c r="C2248" t="s">
        <v>4789</v>
      </c>
      <c r="D2248" t="s">
        <v>4790</v>
      </c>
      <c r="E2248" t="s">
        <v>9</v>
      </c>
      <c r="F2248" s="121">
        <v>4825</v>
      </c>
      <c r="H2248" s="103" t="s">
        <v>4791</v>
      </c>
    </row>
    <row r="2249" spans="2:8" x14ac:dyDescent="0.25">
      <c r="B2249">
        <v>2247</v>
      </c>
      <c r="C2249" t="s">
        <v>4792</v>
      </c>
      <c r="D2249" t="s">
        <v>4793</v>
      </c>
      <c r="E2249" t="s">
        <v>9</v>
      </c>
      <c r="F2249" s="121">
        <v>780</v>
      </c>
      <c r="H2249" s="103" t="s">
        <v>4794</v>
      </c>
    </row>
    <row r="2250" spans="2:8" x14ac:dyDescent="0.25">
      <c r="B2250">
        <v>2248</v>
      </c>
      <c r="C2250" t="s">
        <v>4795</v>
      </c>
      <c r="D2250" t="s">
        <v>4796</v>
      </c>
      <c r="E2250" t="s">
        <v>21</v>
      </c>
      <c r="F2250" s="121" t="s">
        <v>264</v>
      </c>
      <c r="G2250" s="103" t="s">
        <v>22</v>
      </c>
      <c r="H2250" s="103" t="s">
        <v>4797</v>
      </c>
    </row>
    <row r="2251" spans="2:8" x14ac:dyDescent="0.25">
      <c r="B2251">
        <v>2249</v>
      </c>
      <c r="C2251" t="s">
        <v>4798</v>
      </c>
      <c r="D2251" t="s">
        <v>4799</v>
      </c>
      <c r="E2251" t="s">
        <v>9</v>
      </c>
      <c r="F2251" s="121">
        <v>3880</v>
      </c>
      <c r="G2251" s="103">
        <v>1288</v>
      </c>
      <c r="H2251" s="103" t="s">
        <v>4800</v>
      </c>
    </row>
    <row r="2252" spans="2:8" x14ac:dyDescent="0.25">
      <c r="B2252">
        <v>2250</v>
      </c>
      <c r="C2252" t="s">
        <v>4801</v>
      </c>
      <c r="D2252" t="s">
        <v>4802</v>
      </c>
      <c r="E2252" t="s">
        <v>9</v>
      </c>
      <c r="F2252" s="121">
        <v>3880</v>
      </c>
      <c r="G2252" s="103">
        <v>1288</v>
      </c>
      <c r="H2252" s="103" t="s">
        <v>4803</v>
      </c>
    </row>
    <row r="2253" spans="2:8" x14ac:dyDescent="0.25">
      <c r="B2253">
        <v>2251</v>
      </c>
      <c r="C2253" t="s">
        <v>4804</v>
      </c>
      <c r="D2253" t="s">
        <v>4805</v>
      </c>
      <c r="E2253" t="s">
        <v>35</v>
      </c>
      <c r="F2253" s="121" t="s">
        <v>36</v>
      </c>
      <c r="G2253" s="103" t="s">
        <v>37</v>
      </c>
      <c r="H2253" s="103" t="s">
        <v>4806</v>
      </c>
    </row>
    <row r="2254" spans="2:8" x14ac:dyDescent="0.25">
      <c r="B2254">
        <v>2252</v>
      </c>
      <c r="C2254" t="s">
        <v>4807</v>
      </c>
      <c r="D2254" t="s">
        <v>4808</v>
      </c>
      <c r="E2254" t="s">
        <v>9</v>
      </c>
      <c r="F2254" s="121">
        <v>4825</v>
      </c>
      <c r="H2254" s="103" t="s">
        <v>4809</v>
      </c>
    </row>
    <row r="2255" spans="2:8" x14ac:dyDescent="0.25">
      <c r="B2255">
        <v>2253</v>
      </c>
      <c r="C2255" t="s">
        <v>4810</v>
      </c>
      <c r="D2255" t="s">
        <v>4811</v>
      </c>
      <c r="E2255" t="s">
        <v>9</v>
      </c>
      <c r="F2255" s="121">
        <v>780</v>
      </c>
      <c r="H2255" s="103" t="s">
        <v>4812</v>
      </c>
    </row>
    <row r="2256" spans="2:8" x14ac:dyDescent="0.25">
      <c r="B2256">
        <v>2254</v>
      </c>
      <c r="C2256" t="s">
        <v>4813</v>
      </c>
      <c r="D2256" t="s">
        <v>4965</v>
      </c>
      <c r="E2256" t="s">
        <v>9</v>
      </c>
      <c r="F2256" s="121">
        <v>4825</v>
      </c>
      <c r="H2256" s="103" t="s">
        <v>4814</v>
      </c>
    </row>
    <row r="2257" spans="2:8" x14ac:dyDescent="0.25">
      <c r="B2257">
        <v>2255</v>
      </c>
      <c r="C2257" t="s">
        <v>4815</v>
      </c>
      <c r="D2257" t="s">
        <v>4966</v>
      </c>
      <c r="E2257" t="s">
        <v>9</v>
      </c>
      <c r="F2257" s="121">
        <v>4825</v>
      </c>
      <c r="H2257" s="103" t="s">
        <v>4963</v>
      </c>
    </row>
    <row r="2258" spans="2:8" x14ac:dyDescent="0.25">
      <c r="B2258">
        <v>2256</v>
      </c>
      <c r="C2258" t="s">
        <v>4967</v>
      </c>
      <c r="D2258" t="s">
        <v>4976</v>
      </c>
      <c r="E2258" t="s">
        <v>9</v>
      </c>
      <c r="F2258" s="121">
        <v>4818</v>
      </c>
      <c r="H2258" s="103" t="s">
        <v>4971</v>
      </c>
    </row>
    <row r="2259" spans="2:8" x14ac:dyDescent="0.25">
      <c r="B2259">
        <v>2257</v>
      </c>
      <c r="C2259" t="s">
        <v>4969</v>
      </c>
      <c r="D2259" t="s">
        <v>4977</v>
      </c>
      <c r="E2259" t="s">
        <v>9</v>
      </c>
      <c r="F2259" s="121">
        <v>3880</v>
      </c>
      <c r="H2259" s="103" t="s">
        <v>4972</v>
      </c>
    </row>
    <row r="2260" spans="2:8" x14ac:dyDescent="0.25">
      <c r="B2260">
        <v>2258</v>
      </c>
      <c r="C2260" t="s">
        <v>4968</v>
      </c>
      <c r="D2260" t="s">
        <v>4982</v>
      </c>
      <c r="E2260" t="s">
        <v>9</v>
      </c>
      <c r="F2260" s="121">
        <v>3880</v>
      </c>
      <c r="G2260" s="103">
        <v>1288</v>
      </c>
      <c r="H2260" s="103" t="s">
        <v>4974</v>
      </c>
    </row>
    <row r="2261" spans="2:8" x14ac:dyDescent="0.25">
      <c r="B2261">
        <v>2259</v>
      </c>
      <c r="C2261" t="s">
        <v>4970</v>
      </c>
      <c r="D2261" t="s">
        <v>4980</v>
      </c>
      <c r="E2261" t="s">
        <v>9</v>
      </c>
      <c r="F2261" s="121">
        <v>3880</v>
      </c>
      <c r="G2261" s="103">
        <v>1288</v>
      </c>
      <c r="H2261" s="103" t="s">
        <v>4973</v>
      </c>
    </row>
    <row r="2262" spans="2:8" x14ac:dyDescent="0.25">
      <c r="B2262">
        <v>2260</v>
      </c>
      <c r="C2262" t="s">
        <v>3924</v>
      </c>
      <c r="D2262" t="s">
        <v>4981</v>
      </c>
      <c r="E2262" t="s">
        <v>9</v>
      </c>
      <c r="F2262" s="121">
        <v>4818</v>
      </c>
      <c r="G2262" s="103">
        <v>13</v>
      </c>
      <c r="H2262" s="103" t="s">
        <v>3925</v>
      </c>
    </row>
    <row r="2263" spans="2:8" x14ac:dyDescent="0.25">
      <c r="B2263">
        <v>2261</v>
      </c>
      <c r="C2263" t="s">
        <v>4983</v>
      </c>
      <c r="D2263" t="s">
        <v>5016</v>
      </c>
      <c r="E2263" t="s">
        <v>9</v>
      </c>
      <c r="F2263" s="121">
        <v>4825</v>
      </c>
      <c r="H2263" s="103" t="s">
        <v>4984</v>
      </c>
    </row>
    <row r="2264" spans="2:8" x14ac:dyDescent="0.25">
      <c r="B2264">
        <v>2262</v>
      </c>
      <c r="C2264" t="s">
        <v>4985</v>
      </c>
      <c r="D2264" t="s">
        <v>5017</v>
      </c>
      <c r="E2264" t="s">
        <v>9</v>
      </c>
      <c r="F2264" s="121">
        <v>128</v>
      </c>
      <c r="H2264" s="103" t="s">
        <v>4986</v>
      </c>
    </row>
    <row r="2265" spans="2:8" x14ac:dyDescent="0.25">
      <c r="B2265">
        <v>2263</v>
      </c>
      <c r="C2265" t="s">
        <v>4987</v>
      </c>
      <c r="D2265" t="s">
        <v>5018</v>
      </c>
      <c r="E2265" t="s">
        <v>9</v>
      </c>
      <c r="F2265" s="121">
        <v>4825</v>
      </c>
      <c r="H2265" s="103" t="s">
        <v>4988</v>
      </c>
    </row>
    <row r="2266" spans="2:8" x14ac:dyDescent="0.25">
      <c r="B2266">
        <v>2264</v>
      </c>
      <c r="C2266" t="s">
        <v>4989</v>
      </c>
      <c r="D2266" t="s">
        <v>5019</v>
      </c>
      <c r="E2266" t="s">
        <v>21</v>
      </c>
      <c r="F2266" s="121" t="s">
        <v>44</v>
      </c>
      <c r="H2266" s="103" t="s">
        <v>4990</v>
      </c>
    </row>
    <row r="2267" spans="2:8" x14ac:dyDescent="0.25">
      <c r="B2267">
        <v>2265</v>
      </c>
      <c r="C2267" t="s">
        <v>4991</v>
      </c>
      <c r="D2267" t="s">
        <v>5020</v>
      </c>
      <c r="E2267" t="s">
        <v>21</v>
      </c>
      <c r="F2267" s="121">
        <v>780</v>
      </c>
      <c r="H2267" s="103" t="s">
        <v>4992</v>
      </c>
    </row>
    <row r="2268" spans="2:8" x14ac:dyDescent="0.25">
      <c r="B2268">
        <v>2266</v>
      </c>
      <c r="C2268" t="s">
        <v>5014</v>
      </c>
      <c r="D2268" t="s">
        <v>5021</v>
      </c>
      <c r="E2268" t="s">
        <v>21</v>
      </c>
      <c r="F2268" s="121" t="s">
        <v>44</v>
      </c>
      <c r="G2268" s="103" t="s">
        <v>37</v>
      </c>
      <c r="H2268" s="103" t="s">
        <v>4997</v>
      </c>
    </row>
    <row r="2269" spans="2:8" x14ac:dyDescent="0.25">
      <c r="B2269">
        <v>2267</v>
      </c>
      <c r="C2269" t="s">
        <v>58</v>
      </c>
      <c r="D2269" t="s">
        <v>5022</v>
      </c>
      <c r="E2269" t="s">
        <v>9</v>
      </c>
      <c r="F2269" s="121">
        <v>4825</v>
      </c>
      <c r="H2269" s="103" t="s">
        <v>4998</v>
      </c>
    </row>
    <row r="2270" spans="2:8" x14ac:dyDescent="0.25">
      <c r="B2270">
        <v>2268</v>
      </c>
      <c r="C2270" t="s">
        <v>4995</v>
      </c>
      <c r="D2270" t="s">
        <v>5026</v>
      </c>
      <c r="E2270" t="s">
        <v>9</v>
      </c>
      <c r="F2270" s="121">
        <v>4818</v>
      </c>
      <c r="H2270" s="103" t="s">
        <v>5087</v>
      </c>
    </row>
    <row r="2271" spans="2:8" x14ac:dyDescent="0.25">
      <c r="B2271">
        <v>2269</v>
      </c>
      <c r="C2271" t="s">
        <v>4996</v>
      </c>
      <c r="D2271" t="s">
        <v>5027</v>
      </c>
      <c r="E2271" t="s">
        <v>9</v>
      </c>
      <c r="F2271" s="121">
        <v>4825</v>
      </c>
      <c r="H2271" s="103" t="s">
        <v>5000</v>
      </c>
    </row>
    <row r="2272" spans="2:8" x14ac:dyDescent="0.25">
      <c r="B2272">
        <v>2270</v>
      </c>
      <c r="C2272" t="s">
        <v>5001</v>
      </c>
      <c r="D2272" t="s">
        <v>5028</v>
      </c>
      <c r="E2272" t="s">
        <v>9</v>
      </c>
      <c r="F2272" s="121">
        <v>3880</v>
      </c>
      <c r="G2272" s="103">
        <v>1288</v>
      </c>
      <c r="H2272" s="103" t="s">
        <v>5002</v>
      </c>
    </row>
    <row r="2273" spans="2:9" x14ac:dyDescent="0.25">
      <c r="B2273">
        <v>2271</v>
      </c>
      <c r="C2273" t="s">
        <v>5003</v>
      </c>
      <c r="D2273" t="s">
        <v>5029</v>
      </c>
      <c r="E2273" t="s">
        <v>35</v>
      </c>
      <c r="F2273" s="121" t="s">
        <v>379</v>
      </c>
      <c r="G2273" s="103" t="s">
        <v>37</v>
      </c>
      <c r="H2273" s="103" t="s">
        <v>5004</v>
      </c>
    </row>
    <row r="2274" spans="2:9" x14ac:dyDescent="0.25">
      <c r="B2274">
        <v>2272</v>
      </c>
      <c r="C2274" t="s">
        <v>5007</v>
      </c>
      <c r="D2274" t="s">
        <v>5066</v>
      </c>
      <c r="E2274" t="s">
        <v>35</v>
      </c>
      <c r="F2274" s="121" t="s">
        <v>36</v>
      </c>
      <c r="H2274" s="103" t="s">
        <v>5008</v>
      </c>
    </row>
    <row r="2275" spans="2:9" x14ac:dyDescent="0.25">
      <c r="B2275">
        <v>2273</v>
      </c>
      <c r="C2275" t="s">
        <v>430</v>
      </c>
      <c r="D2275" t="s">
        <v>5099</v>
      </c>
      <c r="E2275" t="s">
        <v>21</v>
      </c>
      <c r="F2275" s="121" t="s">
        <v>431</v>
      </c>
      <c r="G2275" s="103" t="s">
        <v>37</v>
      </c>
      <c r="H2275" s="103" t="s">
        <v>432</v>
      </c>
    </row>
    <row r="2276" spans="2:9" x14ac:dyDescent="0.25">
      <c r="B2276">
        <v>2274</v>
      </c>
      <c r="C2276" t="s">
        <v>5010</v>
      </c>
      <c r="D2276" t="s">
        <v>5071</v>
      </c>
      <c r="E2276" t="s">
        <v>9</v>
      </c>
      <c r="F2276" s="121">
        <v>780</v>
      </c>
      <c r="H2276" s="103" t="s">
        <v>5011</v>
      </c>
    </row>
    <row r="2277" spans="2:9" x14ac:dyDescent="0.25">
      <c r="B2277">
        <v>2275</v>
      </c>
      <c r="C2277" t="s">
        <v>5033</v>
      </c>
      <c r="D2277" t="s">
        <v>5072</v>
      </c>
      <c r="E2277" t="s">
        <v>9</v>
      </c>
      <c r="F2277" s="121">
        <v>4825</v>
      </c>
      <c r="H2277" s="103" t="s">
        <v>5034</v>
      </c>
      <c r="I2277" s="103"/>
    </row>
    <row r="2278" spans="2:9" x14ac:dyDescent="0.25">
      <c r="B2278">
        <v>2276</v>
      </c>
      <c r="C2278" t="s">
        <v>5035</v>
      </c>
      <c r="D2278" t="s">
        <v>5073</v>
      </c>
      <c r="E2278" t="s">
        <v>9</v>
      </c>
      <c r="F2278" s="121">
        <v>4825</v>
      </c>
      <c r="H2278" s="103" t="s">
        <v>5036</v>
      </c>
    </row>
    <row r="2279" spans="2:9" x14ac:dyDescent="0.25">
      <c r="B2279">
        <v>2277</v>
      </c>
      <c r="C2279" t="s">
        <v>5088</v>
      </c>
      <c r="D2279" t="s">
        <v>5074</v>
      </c>
      <c r="E2279" t="s">
        <v>9</v>
      </c>
      <c r="F2279" s="121">
        <v>4009</v>
      </c>
      <c r="G2279" s="103">
        <v>13</v>
      </c>
      <c r="H2279" s="103" t="s">
        <v>5037</v>
      </c>
    </row>
    <row r="2280" spans="2:9" x14ac:dyDescent="0.25">
      <c r="B2280">
        <v>2278</v>
      </c>
      <c r="C2280" t="s">
        <v>5039</v>
      </c>
      <c r="D2280" t="s">
        <v>5075</v>
      </c>
      <c r="E2280" t="s">
        <v>9</v>
      </c>
      <c r="F2280" s="121">
        <v>4818</v>
      </c>
      <c r="H2280" s="103" t="s">
        <v>5040</v>
      </c>
    </row>
    <row r="2281" spans="2:9" x14ac:dyDescent="0.25">
      <c r="B2281">
        <v>2279</v>
      </c>
      <c r="C2281" t="s">
        <v>5041</v>
      </c>
      <c r="D2281" t="s">
        <v>5076</v>
      </c>
      <c r="E2281" t="s">
        <v>21</v>
      </c>
      <c r="F2281" s="121">
        <v>3943</v>
      </c>
      <c r="H2281" s="103" t="s">
        <v>5042</v>
      </c>
    </row>
    <row r="2282" spans="2:9" x14ac:dyDescent="0.25">
      <c r="B2282">
        <v>2280</v>
      </c>
      <c r="C2282" t="s">
        <v>5038</v>
      </c>
      <c r="D2282"/>
      <c r="E2282" t="s">
        <v>9</v>
      </c>
      <c r="F2282" s="121">
        <v>4535</v>
      </c>
      <c r="H2282" s="103" t="s">
        <v>5043</v>
      </c>
    </row>
    <row r="2283" spans="2:9" x14ac:dyDescent="0.25">
      <c r="B2283">
        <v>2281</v>
      </c>
      <c r="C2283" t="s">
        <v>5044</v>
      </c>
      <c r="D2283" t="s">
        <v>5077</v>
      </c>
      <c r="E2283" t="s">
        <v>21</v>
      </c>
      <c r="F2283" s="121" t="s">
        <v>44</v>
      </c>
      <c r="G2283" s="103" t="s">
        <v>37</v>
      </c>
      <c r="H2283" s="103" t="s">
        <v>5045</v>
      </c>
    </row>
    <row r="2284" spans="2:9" x14ac:dyDescent="0.25">
      <c r="B2284">
        <v>2282</v>
      </c>
      <c r="C2284" t="s">
        <v>5046</v>
      </c>
      <c r="D2284" t="s">
        <v>5078</v>
      </c>
      <c r="E2284" t="s">
        <v>21</v>
      </c>
      <c r="F2284" s="121" t="s">
        <v>44</v>
      </c>
      <c r="G2284" s="103" t="s">
        <v>22</v>
      </c>
      <c r="H2284" s="103" t="s">
        <v>5047</v>
      </c>
    </row>
    <row r="2285" spans="2:9" x14ac:dyDescent="0.25">
      <c r="B2285">
        <v>2283</v>
      </c>
      <c r="C2285" t="s">
        <v>5048</v>
      </c>
      <c r="D2285" t="s">
        <v>5079</v>
      </c>
      <c r="E2285" t="s">
        <v>21</v>
      </c>
      <c r="F2285" s="121">
        <v>3506</v>
      </c>
      <c r="H2285" s="103" t="s">
        <v>5049</v>
      </c>
    </row>
    <row r="2286" spans="2:9" x14ac:dyDescent="0.25">
      <c r="B2286">
        <v>2284</v>
      </c>
      <c r="C2286" t="s">
        <v>5050</v>
      </c>
      <c r="D2286" t="s">
        <v>5080</v>
      </c>
      <c r="E2286" t="s">
        <v>9</v>
      </c>
      <c r="F2286" s="121">
        <v>4825</v>
      </c>
      <c r="H2286" s="103" t="s">
        <v>5051</v>
      </c>
    </row>
    <row r="2287" spans="2:9" x14ac:dyDescent="0.25">
      <c r="B2287">
        <v>2285</v>
      </c>
      <c r="C2287" t="s">
        <v>5052</v>
      </c>
      <c r="D2287" t="s">
        <v>5081</v>
      </c>
      <c r="E2287" t="s">
        <v>21</v>
      </c>
      <c r="F2287" s="121" t="s">
        <v>5053</v>
      </c>
      <c r="G2287" s="103" t="s">
        <v>37</v>
      </c>
      <c r="H2287" s="103" t="s">
        <v>5054</v>
      </c>
    </row>
    <row r="2288" spans="2:9" x14ac:dyDescent="0.25">
      <c r="B2288">
        <v>2286</v>
      </c>
      <c r="C2288" t="s">
        <v>5055</v>
      </c>
      <c r="D2288" t="s">
        <v>5083</v>
      </c>
      <c r="E2288" t="s">
        <v>9</v>
      </c>
      <c r="F2288" s="121">
        <v>3880</v>
      </c>
      <c r="G2288" s="103">
        <v>1288</v>
      </c>
      <c r="H2288" s="103" t="s">
        <v>5058</v>
      </c>
    </row>
    <row r="2289" spans="2:8" x14ac:dyDescent="0.25">
      <c r="B2289">
        <v>2287</v>
      </c>
      <c r="C2289" t="s">
        <v>1574</v>
      </c>
      <c r="D2289" t="s">
        <v>5197</v>
      </c>
      <c r="E2289" t="s">
        <v>9</v>
      </c>
      <c r="F2289" s="121">
        <v>4825</v>
      </c>
      <c r="H2289" s="103" t="s">
        <v>5059</v>
      </c>
    </row>
    <row r="2290" spans="2:8" x14ac:dyDescent="0.25">
      <c r="B2290">
        <v>2288</v>
      </c>
      <c r="C2290" t="s">
        <v>5056</v>
      </c>
      <c r="D2290" t="s">
        <v>5084</v>
      </c>
      <c r="E2290" t="s">
        <v>21</v>
      </c>
      <c r="F2290" s="121" t="s">
        <v>431</v>
      </c>
      <c r="H2290" s="103" t="s">
        <v>5060</v>
      </c>
    </row>
    <row r="2291" spans="2:8" x14ac:dyDescent="0.25">
      <c r="B2291">
        <v>2289</v>
      </c>
      <c r="C2291" t="s">
        <v>5057</v>
      </c>
      <c r="D2291" t="s">
        <v>5092</v>
      </c>
      <c r="E2291" t="s">
        <v>9</v>
      </c>
      <c r="F2291" s="121">
        <v>3880</v>
      </c>
      <c r="G2291" s="103">
        <v>1288</v>
      </c>
      <c r="H2291" s="103" t="s">
        <v>5061</v>
      </c>
    </row>
    <row r="2292" spans="2:8" x14ac:dyDescent="0.25">
      <c r="B2292">
        <v>2290</v>
      </c>
      <c r="C2292" t="s">
        <v>5015</v>
      </c>
      <c r="D2292" t="s">
        <v>5085</v>
      </c>
      <c r="E2292" t="s">
        <v>9</v>
      </c>
      <c r="F2292" s="121">
        <v>2281</v>
      </c>
      <c r="G2292" s="103">
        <v>1288</v>
      </c>
      <c r="H2292" s="103" t="s">
        <v>5062</v>
      </c>
    </row>
    <row r="2293" spans="2:8" x14ac:dyDescent="0.25">
      <c r="B2293">
        <v>2291</v>
      </c>
      <c r="C2293" t="s">
        <v>5089</v>
      </c>
      <c r="D2293" t="s">
        <v>5091</v>
      </c>
      <c r="E2293" t="s">
        <v>21</v>
      </c>
      <c r="F2293" s="121" t="s">
        <v>44</v>
      </c>
      <c r="H2293" s="103" t="s">
        <v>5096</v>
      </c>
    </row>
    <row r="2294" spans="2:8" x14ac:dyDescent="0.25">
      <c r="B2294">
        <v>2292</v>
      </c>
      <c r="C2294" t="s">
        <v>5090</v>
      </c>
      <c r="D2294" t="s">
        <v>5093</v>
      </c>
      <c r="E2294" t="s">
        <v>9</v>
      </c>
      <c r="F2294" s="121">
        <v>4825</v>
      </c>
      <c r="H2294" s="103" t="s">
        <v>5097</v>
      </c>
    </row>
    <row r="2295" spans="2:8" x14ac:dyDescent="0.25">
      <c r="B2295">
        <v>2293</v>
      </c>
      <c r="C2295" t="s">
        <v>5102</v>
      </c>
      <c r="D2295" t="s">
        <v>5136</v>
      </c>
      <c r="E2295" t="s">
        <v>9</v>
      </c>
      <c r="F2295" s="121">
        <v>4825</v>
      </c>
      <c r="H2295" s="103" t="s">
        <v>5108</v>
      </c>
    </row>
    <row r="2296" spans="2:8" x14ac:dyDescent="0.25">
      <c r="B2296">
        <v>2294</v>
      </c>
      <c r="C2296" t="s">
        <v>5103</v>
      </c>
      <c r="D2296" t="s">
        <v>5138</v>
      </c>
      <c r="E2296" t="s">
        <v>21</v>
      </c>
      <c r="F2296" s="121">
        <v>3943</v>
      </c>
      <c r="H2296" s="103" t="s">
        <v>5109</v>
      </c>
    </row>
    <row r="2297" spans="2:8" x14ac:dyDescent="0.25">
      <c r="B2297">
        <v>2295</v>
      </c>
      <c r="C2297" t="s">
        <v>5104</v>
      </c>
      <c r="D2297" t="s">
        <v>5140</v>
      </c>
      <c r="E2297" t="s">
        <v>9</v>
      </c>
      <c r="F2297" s="121">
        <v>4825</v>
      </c>
      <c r="H2297" s="103" t="s">
        <v>5110</v>
      </c>
    </row>
    <row r="2298" spans="2:8" x14ac:dyDescent="0.25">
      <c r="B2298">
        <v>2296</v>
      </c>
      <c r="C2298" t="s">
        <v>5105</v>
      </c>
      <c r="D2298" t="s">
        <v>5141</v>
      </c>
      <c r="E2298" t="s">
        <v>9</v>
      </c>
      <c r="F2298" s="121">
        <v>4825</v>
      </c>
      <c r="H2298" s="103" t="s">
        <v>5111</v>
      </c>
    </row>
    <row r="2299" spans="2:8" x14ac:dyDescent="0.25">
      <c r="B2299">
        <v>2297</v>
      </c>
      <c r="C2299" t="s">
        <v>5106</v>
      </c>
      <c r="D2299" t="s">
        <v>5143</v>
      </c>
      <c r="E2299" t="s">
        <v>9</v>
      </c>
      <c r="F2299" s="121">
        <v>4825</v>
      </c>
      <c r="H2299" s="103" t="s">
        <v>5112</v>
      </c>
    </row>
    <row r="2300" spans="2:8" x14ac:dyDescent="0.25">
      <c r="B2300">
        <v>2298</v>
      </c>
      <c r="C2300" t="s">
        <v>5107</v>
      </c>
      <c r="D2300" t="s">
        <v>5144</v>
      </c>
      <c r="E2300" t="s">
        <v>21</v>
      </c>
      <c r="F2300" s="121" t="s">
        <v>4146</v>
      </c>
      <c r="G2300" s="103" t="s">
        <v>37</v>
      </c>
      <c r="H2300" s="103" t="s">
        <v>5113</v>
      </c>
    </row>
    <row r="2301" spans="2:8" x14ac:dyDescent="0.25">
      <c r="B2301">
        <v>2299</v>
      </c>
      <c r="C2301" t="s">
        <v>5117</v>
      </c>
      <c r="D2301" t="s">
        <v>5145</v>
      </c>
      <c r="E2301" t="s">
        <v>9</v>
      </c>
      <c r="F2301" s="121">
        <v>4825</v>
      </c>
      <c r="H2301" s="103" t="s">
        <v>5118</v>
      </c>
    </row>
    <row r="2302" spans="2:8" x14ac:dyDescent="0.25">
      <c r="B2302">
        <v>2300</v>
      </c>
      <c r="C2302" t="s">
        <v>5101</v>
      </c>
      <c r="D2302" t="s">
        <v>5146</v>
      </c>
      <c r="E2302" t="s">
        <v>9</v>
      </c>
      <c r="F2302" s="121">
        <v>780</v>
      </c>
      <c r="H2302" s="103" t="s">
        <v>5123</v>
      </c>
    </row>
    <row r="2303" spans="2:8" x14ac:dyDescent="0.25">
      <c r="B2303">
        <v>2301</v>
      </c>
      <c r="C2303" t="s">
        <v>5119</v>
      </c>
      <c r="D2303" t="s">
        <v>5147</v>
      </c>
      <c r="E2303" t="s">
        <v>21</v>
      </c>
      <c r="F2303" s="121">
        <v>3860</v>
      </c>
      <c r="H2303" s="103" t="s">
        <v>5124</v>
      </c>
    </row>
    <row r="2304" spans="2:8" x14ac:dyDescent="0.25">
      <c r="B2304">
        <v>2302</v>
      </c>
      <c r="C2304" t="s">
        <v>5120</v>
      </c>
      <c r="D2304" t="s">
        <v>5148</v>
      </c>
      <c r="E2304" t="s">
        <v>21</v>
      </c>
      <c r="F2304" s="121" t="s">
        <v>431</v>
      </c>
      <c r="G2304" s="103" t="s">
        <v>37</v>
      </c>
      <c r="H2304" s="103" t="s">
        <v>5125</v>
      </c>
    </row>
    <row r="2305" spans="2:8" x14ac:dyDescent="0.25">
      <c r="B2305">
        <v>2303</v>
      </c>
      <c r="C2305" t="s">
        <v>5100</v>
      </c>
      <c r="D2305" t="s">
        <v>5149</v>
      </c>
      <c r="E2305" t="s">
        <v>9</v>
      </c>
      <c r="F2305" s="121">
        <v>4825</v>
      </c>
      <c r="H2305" s="103" t="s">
        <v>5126</v>
      </c>
    </row>
    <row r="2306" spans="2:8" x14ac:dyDescent="0.25">
      <c r="B2306">
        <v>2304</v>
      </c>
      <c r="C2306" t="s">
        <v>3431</v>
      </c>
      <c r="D2306" t="s">
        <v>5183</v>
      </c>
      <c r="E2306" t="s">
        <v>9</v>
      </c>
      <c r="F2306" s="121">
        <v>4825</v>
      </c>
      <c r="H2306" s="103" t="s">
        <v>5127</v>
      </c>
    </row>
    <row r="2307" spans="2:8" x14ac:dyDescent="0.25">
      <c r="B2307">
        <v>2305</v>
      </c>
      <c r="C2307" t="s">
        <v>5121</v>
      </c>
      <c r="D2307" t="s">
        <v>5151</v>
      </c>
      <c r="E2307" t="s">
        <v>9</v>
      </c>
      <c r="F2307" s="121">
        <v>3880</v>
      </c>
      <c r="G2307" s="103">
        <v>1288</v>
      </c>
      <c r="H2307" s="103" t="s">
        <v>5128</v>
      </c>
    </row>
    <row r="2308" spans="2:8" x14ac:dyDescent="0.25">
      <c r="B2308">
        <v>2306</v>
      </c>
      <c r="C2308" t="s">
        <v>5122</v>
      </c>
      <c r="D2308" t="s">
        <v>5152</v>
      </c>
      <c r="E2308" t="s">
        <v>9</v>
      </c>
      <c r="F2308" s="121">
        <v>780</v>
      </c>
      <c r="H2308" s="103" t="s">
        <v>5129</v>
      </c>
    </row>
    <row r="2309" spans="2:8" x14ac:dyDescent="0.25">
      <c r="B2309">
        <v>2307</v>
      </c>
      <c r="C2309" t="s">
        <v>5133</v>
      </c>
      <c r="D2309" t="s">
        <v>5156</v>
      </c>
      <c r="E2309" t="s">
        <v>9</v>
      </c>
      <c r="F2309" s="121">
        <v>4825</v>
      </c>
      <c r="H2309" s="103" t="s">
        <v>5134</v>
      </c>
    </row>
    <row r="2310" spans="2:8" x14ac:dyDescent="0.25">
      <c r="B2310">
        <v>2308</v>
      </c>
      <c r="C2310" t="s">
        <v>5161</v>
      </c>
      <c r="D2310" t="s">
        <v>5179</v>
      </c>
      <c r="E2310" t="s">
        <v>9</v>
      </c>
      <c r="F2310" s="121">
        <v>3880</v>
      </c>
      <c r="G2310" s="103">
        <v>1288</v>
      </c>
      <c r="H2310" s="103" t="s">
        <v>5167</v>
      </c>
    </row>
    <row r="2311" spans="2:8" x14ac:dyDescent="0.25">
      <c r="B2311">
        <v>2309</v>
      </c>
      <c r="C2311" t="s">
        <v>5162</v>
      </c>
      <c r="D2311" t="s">
        <v>5181</v>
      </c>
      <c r="E2311" t="s">
        <v>35</v>
      </c>
      <c r="F2311" s="121" t="s">
        <v>379</v>
      </c>
      <c r="H2311" s="103" t="s">
        <v>5168</v>
      </c>
    </row>
    <row r="2312" spans="2:8" x14ac:dyDescent="0.25">
      <c r="B2312">
        <v>2310</v>
      </c>
      <c r="C2312" t="s">
        <v>5163</v>
      </c>
      <c r="D2312" t="s">
        <v>5182</v>
      </c>
      <c r="E2312" t="s">
        <v>21</v>
      </c>
      <c r="F2312" s="121">
        <v>3737</v>
      </c>
      <c r="H2312" s="103" t="s">
        <v>5169</v>
      </c>
    </row>
    <row r="2313" spans="2:8" x14ac:dyDescent="0.25">
      <c r="B2313">
        <v>2311</v>
      </c>
      <c r="C2313" t="s">
        <v>5164</v>
      </c>
      <c r="D2313" t="s">
        <v>5193</v>
      </c>
      <c r="E2313" t="s">
        <v>35</v>
      </c>
      <c r="F2313" s="121" t="s">
        <v>36</v>
      </c>
      <c r="H2313" s="103" t="s">
        <v>5170</v>
      </c>
    </row>
    <row r="2314" spans="2:8" x14ac:dyDescent="0.25">
      <c r="B2314">
        <v>2312</v>
      </c>
      <c r="C2314" t="s">
        <v>5160</v>
      </c>
      <c r="D2314" t="s">
        <v>5184</v>
      </c>
      <c r="E2314" t="s">
        <v>21</v>
      </c>
      <c r="F2314" s="121" t="s">
        <v>264</v>
      </c>
      <c r="G2314" s="103" t="s">
        <v>22</v>
      </c>
      <c r="H2314" s="103" t="s">
        <v>5192</v>
      </c>
    </row>
    <row r="2315" spans="2:8" x14ac:dyDescent="0.25">
      <c r="B2315">
        <v>2313</v>
      </c>
      <c r="C2315" t="s">
        <v>5165</v>
      </c>
      <c r="D2315" t="s">
        <v>5186</v>
      </c>
      <c r="E2315" t="s">
        <v>21</v>
      </c>
      <c r="F2315" s="121">
        <v>3862</v>
      </c>
      <c r="H2315" s="103" t="s">
        <v>5171</v>
      </c>
    </row>
    <row r="2316" spans="2:8" x14ac:dyDescent="0.25">
      <c r="B2316">
        <v>2314</v>
      </c>
      <c r="C2316" t="s">
        <v>5166</v>
      </c>
      <c r="D2316" t="s">
        <v>5194</v>
      </c>
      <c r="E2316" t="s">
        <v>9</v>
      </c>
      <c r="F2316" s="121">
        <v>4818</v>
      </c>
      <c r="H2316" s="103" t="s">
        <v>5174</v>
      </c>
    </row>
    <row r="2317" spans="2:8" x14ac:dyDescent="0.25">
      <c r="B2317">
        <v>2315</v>
      </c>
      <c r="C2317" t="s">
        <v>5159</v>
      </c>
      <c r="D2317" t="s">
        <v>5187</v>
      </c>
      <c r="E2317" t="s">
        <v>9</v>
      </c>
      <c r="F2317" s="121">
        <v>3880</v>
      </c>
      <c r="G2317" s="103">
        <v>1288</v>
      </c>
      <c r="H2317" s="103" t="s">
        <v>5175</v>
      </c>
    </row>
    <row r="2318" spans="2:8" x14ac:dyDescent="0.25">
      <c r="B2318">
        <v>2316</v>
      </c>
      <c r="C2318" t="s">
        <v>5188</v>
      </c>
      <c r="D2318" t="s">
        <v>5189</v>
      </c>
      <c r="E2318" t="s">
        <v>21</v>
      </c>
      <c r="F2318" s="121">
        <v>3860</v>
      </c>
      <c r="H2318" s="103" t="s">
        <v>5178</v>
      </c>
    </row>
    <row r="2319" spans="2:8" x14ac:dyDescent="0.25">
      <c r="B2319">
        <v>2317</v>
      </c>
      <c r="C2319" t="s">
        <v>5172</v>
      </c>
      <c r="D2319" t="s">
        <v>5190</v>
      </c>
      <c r="E2319" t="s">
        <v>21</v>
      </c>
      <c r="F2319" s="121">
        <v>7526</v>
      </c>
      <c r="H2319" s="103" t="s">
        <v>5176</v>
      </c>
    </row>
    <row r="2320" spans="2:8" x14ac:dyDescent="0.25">
      <c r="B2320">
        <v>2318</v>
      </c>
      <c r="C2320" t="s">
        <v>5173</v>
      </c>
      <c r="D2320" t="s">
        <v>5191</v>
      </c>
      <c r="E2320" t="s">
        <v>21</v>
      </c>
      <c r="F2320" s="121">
        <v>3858</v>
      </c>
      <c r="H2320" s="103" t="s">
        <v>5177</v>
      </c>
    </row>
    <row r="2321" spans="2:8" x14ac:dyDescent="0.25">
      <c r="B2321">
        <v>2319</v>
      </c>
      <c r="C2321" t="s">
        <v>5198</v>
      </c>
      <c r="D2321" t="s">
        <v>5208</v>
      </c>
      <c r="E2321" t="s">
        <v>9</v>
      </c>
      <c r="F2321" s="121">
        <v>780</v>
      </c>
      <c r="H2321" s="103" t="s">
        <v>5202</v>
      </c>
    </row>
    <row r="2322" spans="2:8" x14ac:dyDescent="0.25">
      <c r="B2322">
        <v>2320</v>
      </c>
      <c r="C2322" t="s">
        <v>5199</v>
      </c>
      <c r="D2322" t="s">
        <v>5213</v>
      </c>
      <c r="E2322" t="s">
        <v>9</v>
      </c>
      <c r="F2322" s="121">
        <v>4825</v>
      </c>
      <c r="H2322" s="103" t="s">
        <v>5204</v>
      </c>
    </row>
    <row r="2323" spans="2:8" x14ac:dyDescent="0.25">
      <c r="B2323">
        <v>2321</v>
      </c>
      <c r="C2323" t="s">
        <v>5200</v>
      </c>
      <c r="D2323" t="s">
        <v>5214</v>
      </c>
      <c r="E2323" t="s">
        <v>9</v>
      </c>
      <c r="F2323" s="121">
        <v>4825</v>
      </c>
      <c r="H2323" s="103" t="s">
        <v>5205</v>
      </c>
    </row>
    <row r="2324" spans="2:8" x14ac:dyDescent="0.25">
      <c r="B2324">
        <v>2322</v>
      </c>
      <c r="C2324" t="s">
        <v>5201</v>
      </c>
      <c r="D2324" t="s">
        <v>5215</v>
      </c>
      <c r="E2324" t="s">
        <v>9</v>
      </c>
      <c r="F2324" s="121">
        <v>4818</v>
      </c>
      <c r="H2324" s="103" t="s">
        <v>5206</v>
      </c>
    </row>
    <row r="2325" spans="2:8" x14ac:dyDescent="0.25">
      <c r="B2325">
        <v>2323</v>
      </c>
      <c r="C2325" t="s">
        <v>5217</v>
      </c>
      <c r="D2325" t="s">
        <v>5218</v>
      </c>
      <c r="E2325" t="s">
        <v>35</v>
      </c>
      <c r="F2325" s="121" t="s">
        <v>36</v>
      </c>
      <c r="H2325" s="103" t="s">
        <v>5219</v>
      </c>
    </row>
    <row r="2326" spans="2:8" x14ac:dyDescent="0.25">
      <c r="B2326">
        <v>2324</v>
      </c>
      <c r="C2326" t="s">
        <v>5289</v>
      </c>
      <c r="D2326" t="s">
        <v>5220</v>
      </c>
      <c r="E2326" t="s">
        <v>9</v>
      </c>
      <c r="F2326" s="121">
        <v>3233</v>
      </c>
      <c r="H2326" s="103" t="s">
        <v>5221</v>
      </c>
    </row>
    <row r="2327" spans="2:8" x14ac:dyDescent="0.25">
      <c r="B2327">
        <v>2325</v>
      </c>
      <c r="C2327" t="s">
        <v>5226</v>
      </c>
      <c r="D2327" t="s">
        <v>5236</v>
      </c>
      <c r="E2327" t="s">
        <v>35</v>
      </c>
      <c r="F2327" s="121" t="s">
        <v>36</v>
      </c>
      <c r="G2327" s="103" t="s">
        <v>22</v>
      </c>
      <c r="H2327" s="103" t="s">
        <v>5232</v>
      </c>
    </row>
    <row r="2328" spans="2:8" x14ac:dyDescent="0.25">
      <c r="B2328">
        <v>2326</v>
      </c>
      <c r="C2328" t="s">
        <v>5227</v>
      </c>
      <c r="D2328" t="s">
        <v>5237</v>
      </c>
      <c r="E2328" t="s">
        <v>9</v>
      </c>
      <c r="F2328" s="121">
        <v>4825</v>
      </c>
      <c r="H2328" s="103" t="s">
        <v>5241</v>
      </c>
    </row>
    <row r="2329" spans="2:8" x14ac:dyDescent="0.25">
      <c r="B2329">
        <v>2327</v>
      </c>
      <c r="C2329" t="s">
        <v>5228</v>
      </c>
      <c r="D2329" t="s">
        <v>5238</v>
      </c>
      <c r="E2329" t="s">
        <v>9</v>
      </c>
      <c r="F2329" s="121">
        <v>4825</v>
      </c>
      <c r="H2329" s="103" t="s">
        <v>5233</v>
      </c>
    </row>
    <row r="2330" spans="2:8" x14ac:dyDescent="0.25">
      <c r="B2330">
        <v>2328</v>
      </c>
      <c r="C2330" t="s">
        <v>5229</v>
      </c>
      <c r="D2330" t="s">
        <v>5239</v>
      </c>
      <c r="E2330" t="s">
        <v>21</v>
      </c>
      <c r="F2330" s="121" t="s">
        <v>5231</v>
      </c>
      <c r="G2330" s="103" t="s">
        <v>37</v>
      </c>
      <c r="H2330" s="103" t="s">
        <v>5234</v>
      </c>
    </row>
    <row r="2331" spans="2:8" x14ac:dyDescent="0.25">
      <c r="B2331">
        <v>2329</v>
      </c>
      <c r="C2331" t="s">
        <v>5230</v>
      </c>
      <c r="D2331" t="s">
        <v>5240</v>
      </c>
      <c r="E2331" t="s">
        <v>35</v>
      </c>
      <c r="F2331" s="121" t="s">
        <v>36</v>
      </c>
      <c r="H2331" s="103" t="s">
        <v>5235</v>
      </c>
    </row>
    <row r="2332" spans="2:8" x14ac:dyDescent="0.25">
      <c r="B2332">
        <v>2330</v>
      </c>
      <c r="C2332" t="s">
        <v>5248</v>
      </c>
      <c r="D2332" t="s">
        <v>5253</v>
      </c>
      <c r="E2332" t="s">
        <v>35</v>
      </c>
      <c r="F2332" s="121" t="s">
        <v>36</v>
      </c>
      <c r="G2332" s="103" t="s">
        <v>37</v>
      </c>
      <c r="H2332" s="103" t="s">
        <v>5250</v>
      </c>
    </row>
    <row r="2333" spans="2:8" x14ac:dyDescent="0.25">
      <c r="B2333">
        <v>2331</v>
      </c>
      <c r="C2333" t="s">
        <v>5247</v>
      </c>
      <c r="D2333" t="s">
        <v>5254</v>
      </c>
      <c r="E2333" t="s">
        <v>9</v>
      </c>
      <c r="F2333" s="121">
        <v>4825</v>
      </c>
      <c r="H2333" s="103" t="s">
        <v>5249</v>
      </c>
    </row>
    <row r="2334" spans="2:8" x14ac:dyDescent="0.25">
      <c r="B2334">
        <v>2332</v>
      </c>
      <c r="C2334" t="s">
        <v>5259</v>
      </c>
      <c r="D2334" t="s">
        <v>5268</v>
      </c>
      <c r="E2334" t="s">
        <v>9</v>
      </c>
      <c r="F2334" s="121">
        <v>4601</v>
      </c>
      <c r="H2334" s="103" t="s">
        <v>5263</v>
      </c>
    </row>
    <row r="2335" spans="2:8" x14ac:dyDescent="0.25">
      <c r="B2335">
        <v>2333</v>
      </c>
      <c r="C2335" t="s">
        <v>5260</v>
      </c>
      <c r="D2335" t="s">
        <v>5269</v>
      </c>
      <c r="E2335" t="s">
        <v>9</v>
      </c>
      <c r="F2335" s="121">
        <v>4825</v>
      </c>
      <c r="H2335" s="103" t="s">
        <v>5264</v>
      </c>
    </row>
    <row r="2336" spans="2:8" x14ac:dyDescent="0.25">
      <c r="B2336">
        <v>2334</v>
      </c>
      <c r="C2336" t="s">
        <v>5261</v>
      </c>
      <c r="D2336" t="s">
        <v>5270</v>
      </c>
      <c r="E2336" t="s">
        <v>21</v>
      </c>
      <c r="F2336" s="121" t="s">
        <v>44</v>
      </c>
      <c r="G2336" s="103" t="s">
        <v>37</v>
      </c>
      <c r="H2336" s="103" t="s">
        <v>5265</v>
      </c>
    </row>
    <row r="2337" spans="2:8" x14ac:dyDescent="0.25">
      <c r="B2337">
        <v>2335</v>
      </c>
      <c r="C2337" t="s">
        <v>4444</v>
      </c>
      <c r="D2337" t="s">
        <v>5271</v>
      </c>
      <c r="E2337" t="s">
        <v>9</v>
      </c>
      <c r="F2337" s="121">
        <v>4825</v>
      </c>
      <c r="H2337" s="103" t="s">
        <v>5266</v>
      </c>
    </row>
    <row r="2338" spans="2:8" x14ac:dyDescent="0.25">
      <c r="B2338">
        <v>2336</v>
      </c>
      <c r="C2338" t="s">
        <v>5262</v>
      </c>
      <c r="D2338" t="s">
        <v>5272</v>
      </c>
      <c r="E2338" t="s">
        <v>35</v>
      </c>
      <c r="F2338" s="121" t="s">
        <v>36</v>
      </c>
      <c r="G2338" s="103" t="s">
        <v>37</v>
      </c>
      <c r="H2338" s="103" t="s">
        <v>5267</v>
      </c>
    </row>
    <row r="2339" spans="2:8" x14ac:dyDescent="0.25">
      <c r="B2339">
        <v>2337</v>
      </c>
      <c r="C2339" t="s">
        <v>5273</v>
      </c>
      <c r="D2339" t="s">
        <v>5275</v>
      </c>
      <c r="E2339" t="s">
        <v>9</v>
      </c>
      <c r="F2339" s="121">
        <v>949</v>
      </c>
      <c r="H2339" s="103" t="s">
        <v>5274</v>
      </c>
    </row>
    <row r="2340" spans="2:8" x14ac:dyDescent="0.25">
      <c r="B2340">
        <v>2338</v>
      </c>
      <c r="C2340" t="s">
        <v>5277</v>
      </c>
      <c r="D2340" s="125" t="s">
        <v>5283</v>
      </c>
      <c r="E2340" t="s">
        <v>9</v>
      </c>
      <c r="F2340" s="121">
        <v>4825</v>
      </c>
      <c r="H2340" s="103" t="s">
        <v>5280</v>
      </c>
    </row>
    <row r="2341" spans="2:8" x14ac:dyDescent="0.25">
      <c r="B2341">
        <v>2339</v>
      </c>
      <c r="C2341" t="s">
        <v>5278</v>
      </c>
      <c r="D2341" t="s">
        <v>5284</v>
      </c>
      <c r="E2341" t="s">
        <v>9</v>
      </c>
      <c r="F2341" s="121">
        <v>4825</v>
      </c>
      <c r="H2341" s="103" t="s">
        <v>5281</v>
      </c>
    </row>
    <row r="2342" spans="2:8" x14ac:dyDescent="0.25">
      <c r="B2342">
        <v>2340</v>
      </c>
      <c r="C2342" t="s">
        <v>5279</v>
      </c>
      <c r="D2342" t="s">
        <v>5285</v>
      </c>
      <c r="E2342" t="s">
        <v>35</v>
      </c>
      <c r="F2342" s="121" t="s">
        <v>452</v>
      </c>
      <c r="H2342" s="103" t="s">
        <v>5282</v>
      </c>
    </row>
    <row r="2343" spans="2:8" x14ac:dyDescent="0.25">
      <c r="B2343">
        <v>2341</v>
      </c>
      <c r="C2343" t="s">
        <v>5286</v>
      </c>
      <c r="D2343" t="s">
        <v>5288</v>
      </c>
      <c r="E2343" t="s">
        <v>9</v>
      </c>
      <c r="F2343" s="121">
        <v>4825</v>
      </c>
      <c r="H2343" s="103" t="s">
        <v>5287</v>
      </c>
    </row>
    <row r="2344" spans="2:8" x14ac:dyDescent="0.25">
      <c r="B2344">
        <v>2342</v>
      </c>
      <c r="C2344" t="s">
        <v>5290</v>
      </c>
      <c r="D2344" t="s">
        <v>5294</v>
      </c>
      <c r="E2344" t="s">
        <v>9</v>
      </c>
      <c r="F2344" s="121">
        <v>4825</v>
      </c>
      <c r="H2344" s="103" t="s">
        <v>5292</v>
      </c>
    </row>
    <row r="2345" spans="2:8" x14ac:dyDescent="0.25">
      <c r="B2345">
        <v>2343</v>
      </c>
      <c r="C2345" t="s">
        <v>5291</v>
      </c>
      <c r="D2345" t="s">
        <v>5295</v>
      </c>
      <c r="E2345" t="s">
        <v>9</v>
      </c>
      <c r="F2345" s="121">
        <v>4825</v>
      </c>
      <c r="H2345" s="103" t="s">
        <v>5293</v>
      </c>
    </row>
    <row r="2346" spans="2:8" x14ac:dyDescent="0.25">
      <c r="B2346">
        <v>2344</v>
      </c>
      <c r="C2346" t="s">
        <v>5297</v>
      </c>
      <c r="D2346" t="s">
        <v>5296</v>
      </c>
      <c r="E2346" t="s">
        <v>9</v>
      </c>
      <c r="F2346" s="121">
        <v>4818</v>
      </c>
      <c r="H2346" s="103" t="s">
        <v>5298</v>
      </c>
    </row>
    <row r="2347" spans="2:8" x14ac:dyDescent="0.25">
      <c r="B2347">
        <v>2345</v>
      </c>
      <c r="C2347" t="s">
        <v>5310</v>
      </c>
      <c r="D2347" t="s">
        <v>5314</v>
      </c>
      <c r="E2347" t="s">
        <v>9</v>
      </c>
      <c r="F2347" s="121">
        <v>4825</v>
      </c>
      <c r="H2347" s="103" t="s">
        <v>5311</v>
      </c>
    </row>
    <row r="2348" spans="2:8" x14ac:dyDescent="0.25">
      <c r="B2348">
        <v>2346</v>
      </c>
      <c r="C2348" t="s">
        <v>5316</v>
      </c>
      <c r="D2348" t="s">
        <v>5317</v>
      </c>
      <c r="E2348" t="s">
        <v>9</v>
      </c>
      <c r="F2348" s="103">
        <v>4825</v>
      </c>
      <c r="H2348" t="s">
        <v>5318</v>
      </c>
    </row>
    <row r="2349" spans="2:8" x14ac:dyDescent="0.25">
      <c r="B2349">
        <v>2347</v>
      </c>
      <c r="D2349"/>
    </row>
    <row r="2350" spans="2:8" x14ac:dyDescent="0.25">
      <c r="B2350">
        <v>2348</v>
      </c>
      <c r="D2350"/>
    </row>
    <row r="2351" spans="2:8" x14ac:dyDescent="0.25">
      <c r="B2351">
        <v>2349</v>
      </c>
      <c r="D2351"/>
    </row>
    <row r="2352" spans="2:8" x14ac:dyDescent="0.25">
      <c r="B2352">
        <v>2350</v>
      </c>
      <c r="D2352"/>
    </row>
    <row r="2353" spans="2:4" x14ac:dyDescent="0.25">
      <c r="B2353">
        <v>2351</v>
      </c>
      <c r="D2353"/>
    </row>
    <row r="2354" spans="2:4" x14ac:dyDescent="0.25">
      <c r="B2354">
        <v>2352</v>
      </c>
      <c r="D2354"/>
    </row>
    <row r="2355" spans="2:4" x14ac:dyDescent="0.25">
      <c r="B2355">
        <v>2353</v>
      </c>
      <c r="D2355"/>
    </row>
    <row r="2356" spans="2:4" x14ac:dyDescent="0.25">
      <c r="B2356">
        <v>2354</v>
      </c>
      <c r="D2356"/>
    </row>
    <row r="2357" spans="2:4" x14ac:dyDescent="0.25">
      <c r="B2357">
        <v>2355</v>
      </c>
      <c r="D2357"/>
    </row>
    <row r="2358" spans="2:4" x14ac:dyDescent="0.25">
      <c r="B2358">
        <v>2356</v>
      </c>
      <c r="D2358"/>
    </row>
    <row r="2359" spans="2:4" x14ac:dyDescent="0.25">
      <c r="B2359">
        <v>2357</v>
      </c>
      <c r="D2359"/>
    </row>
    <row r="2360" spans="2:4" x14ac:dyDescent="0.25">
      <c r="B2360">
        <v>2358</v>
      </c>
      <c r="D2360"/>
    </row>
    <row r="2361" spans="2:4" x14ac:dyDescent="0.25">
      <c r="B2361">
        <v>2359</v>
      </c>
      <c r="D2361"/>
    </row>
    <row r="2362" spans="2:4" x14ac:dyDescent="0.25">
      <c r="B2362">
        <v>2360</v>
      </c>
      <c r="D2362"/>
    </row>
    <row r="2363" spans="2:4" x14ac:dyDescent="0.25">
      <c r="B2363">
        <v>2361</v>
      </c>
      <c r="D2363"/>
    </row>
    <row r="2364" spans="2:4" x14ac:dyDescent="0.25">
      <c r="B2364">
        <v>2362</v>
      </c>
      <c r="D2364"/>
    </row>
    <row r="2365" spans="2:4" x14ac:dyDescent="0.25">
      <c r="B2365">
        <v>2363</v>
      </c>
      <c r="D2365"/>
    </row>
    <row r="2366" spans="2:4" x14ac:dyDescent="0.25">
      <c r="B2366">
        <v>2364</v>
      </c>
      <c r="D2366"/>
    </row>
    <row r="2367" spans="2:4" x14ac:dyDescent="0.25">
      <c r="B2367">
        <v>2365</v>
      </c>
      <c r="D2367"/>
    </row>
    <row r="2368" spans="2:4" x14ac:dyDescent="0.25">
      <c r="B2368">
        <v>2366</v>
      </c>
      <c r="D2368"/>
    </row>
    <row r="2369" spans="2:4" x14ac:dyDescent="0.25">
      <c r="B2369">
        <v>2367</v>
      </c>
      <c r="D2369"/>
    </row>
    <row r="2370" spans="2:4" x14ac:dyDescent="0.25">
      <c r="B2370">
        <v>2368</v>
      </c>
      <c r="D2370"/>
    </row>
    <row r="2371" spans="2:4" x14ac:dyDescent="0.25">
      <c r="B2371">
        <v>2369</v>
      </c>
      <c r="D2371"/>
    </row>
    <row r="2372" spans="2:4" x14ac:dyDescent="0.25">
      <c r="B2372">
        <v>2370</v>
      </c>
      <c r="D2372"/>
    </row>
    <row r="2373" spans="2:4" x14ac:dyDescent="0.25">
      <c r="B2373">
        <v>2371</v>
      </c>
      <c r="D2373"/>
    </row>
    <row r="2374" spans="2:4" x14ac:dyDescent="0.25">
      <c r="B2374">
        <v>2372</v>
      </c>
      <c r="D2374"/>
    </row>
    <row r="2375" spans="2:4" x14ac:dyDescent="0.25">
      <c r="B2375">
        <v>2373</v>
      </c>
      <c r="D2375"/>
    </row>
    <row r="2376" spans="2:4" x14ac:dyDescent="0.25">
      <c r="B2376">
        <v>2374</v>
      </c>
      <c r="D2376"/>
    </row>
    <row r="2377" spans="2:4" x14ac:dyDescent="0.25">
      <c r="B2377">
        <v>2375</v>
      </c>
      <c r="D2377"/>
    </row>
    <row r="2378" spans="2:4" x14ac:dyDescent="0.25">
      <c r="B2378">
        <v>2376</v>
      </c>
      <c r="D2378"/>
    </row>
    <row r="2379" spans="2:4" x14ac:dyDescent="0.25">
      <c r="B2379">
        <v>2377</v>
      </c>
      <c r="D2379"/>
    </row>
    <row r="2380" spans="2:4" x14ac:dyDescent="0.25">
      <c r="B2380">
        <v>2378</v>
      </c>
      <c r="D2380"/>
    </row>
    <row r="2381" spans="2:4" x14ac:dyDescent="0.25">
      <c r="B2381">
        <v>2379</v>
      </c>
      <c r="D2381"/>
    </row>
    <row r="2382" spans="2:4" x14ac:dyDescent="0.25">
      <c r="B2382">
        <v>2380</v>
      </c>
      <c r="D2382"/>
    </row>
    <row r="2383" spans="2:4" x14ac:dyDescent="0.25">
      <c r="B2383">
        <v>2381</v>
      </c>
      <c r="D2383"/>
    </row>
    <row r="2384" spans="2:4" x14ac:dyDescent="0.25">
      <c r="B2384">
        <v>2382</v>
      </c>
      <c r="D2384"/>
    </row>
    <row r="2385" spans="2:4" x14ac:dyDescent="0.25">
      <c r="B2385">
        <v>2383</v>
      </c>
      <c r="D2385"/>
    </row>
    <row r="2386" spans="2:4" x14ac:dyDescent="0.25">
      <c r="B2386">
        <v>2384</v>
      </c>
      <c r="D2386"/>
    </row>
    <row r="2387" spans="2:4" x14ac:dyDescent="0.25">
      <c r="B2387">
        <v>2385</v>
      </c>
      <c r="D2387"/>
    </row>
    <row r="2388" spans="2:4" x14ac:dyDescent="0.25">
      <c r="B2388">
        <v>2386</v>
      </c>
      <c r="D2388"/>
    </row>
    <row r="2389" spans="2:4" x14ac:dyDescent="0.25">
      <c r="B2389">
        <v>2387</v>
      </c>
      <c r="D2389"/>
    </row>
    <row r="2390" spans="2:4" x14ac:dyDescent="0.25">
      <c r="B2390">
        <v>2388</v>
      </c>
      <c r="D2390"/>
    </row>
    <row r="2391" spans="2:4" x14ac:dyDescent="0.25">
      <c r="B2391">
        <v>2389</v>
      </c>
      <c r="D2391"/>
    </row>
    <row r="2392" spans="2:4" x14ac:dyDescent="0.25">
      <c r="B2392">
        <v>2390</v>
      </c>
      <c r="D2392"/>
    </row>
    <row r="2393" spans="2:4" x14ac:dyDescent="0.25">
      <c r="B2393">
        <v>2391</v>
      </c>
      <c r="D2393"/>
    </row>
    <row r="2394" spans="2:4" x14ac:dyDescent="0.25">
      <c r="B2394">
        <v>2392</v>
      </c>
      <c r="D2394"/>
    </row>
    <row r="2395" spans="2:4" x14ac:dyDescent="0.25">
      <c r="B2395">
        <v>2393</v>
      </c>
      <c r="D2395"/>
    </row>
    <row r="2396" spans="2:4" x14ac:dyDescent="0.25">
      <c r="B2396">
        <v>2394</v>
      </c>
      <c r="D2396"/>
    </row>
    <row r="2397" spans="2:4" x14ac:dyDescent="0.25">
      <c r="B2397">
        <v>2395</v>
      </c>
      <c r="D2397"/>
    </row>
    <row r="2398" spans="2:4" x14ac:dyDescent="0.25">
      <c r="B2398">
        <v>2396</v>
      </c>
      <c r="D2398"/>
    </row>
    <row r="2399" spans="2:4" x14ac:dyDescent="0.25">
      <c r="B2399">
        <v>2397</v>
      </c>
      <c r="D2399"/>
    </row>
    <row r="2400" spans="2:4" x14ac:dyDescent="0.25">
      <c r="B2400">
        <v>2398</v>
      </c>
      <c r="D2400"/>
    </row>
    <row r="2401" spans="2:4" x14ac:dyDescent="0.25">
      <c r="B2401">
        <v>2399</v>
      </c>
      <c r="D2401"/>
    </row>
    <row r="2402" spans="2:4" x14ac:dyDescent="0.25">
      <c r="B2402">
        <v>2400</v>
      </c>
      <c r="D2402"/>
    </row>
    <row r="2403" spans="2:4" x14ac:dyDescent="0.25">
      <c r="B2403">
        <v>2401</v>
      </c>
      <c r="D2403"/>
    </row>
    <row r="2404" spans="2:4" x14ac:dyDescent="0.25">
      <c r="B2404">
        <v>2402</v>
      </c>
      <c r="D2404"/>
    </row>
    <row r="2405" spans="2:4" x14ac:dyDescent="0.25">
      <c r="B2405">
        <v>2403</v>
      </c>
      <c r="D2405"/>
    </row>
    <row r="2406" spans="2:4" x14ac:dyDescent="0.25">
      <c r="B2406">
        <v>2404</v>
      </c>
      <c r="D2406"/>
    </row>
    <row r="2407" spans="2:4" x14ac:dyDescent="0.25">
      <c r="B2407">
        <v>2405</v>
      </c>
      <c r="D2407"/>
    </row>
    <row r="2408" spans="2:4" x14ac:dyDescent="0.25">
      <c r="B2408">
        <v>2406</v>
      </c>
      <c r="D2408"/>
    </row>
    <row r="2409" spans="2:4" x14ac:dyDescent="0.25">
      <c r="B2409">
        <v>2407</v>
      </c>
      <c r="D2409"/>
    </row>
    <row r="2410" spans="2:4" x14ac:dyDescent="0.25">
      <c r="B2410">
        <v>2408</v>
      </c>
      <c r="D2410"/>
    </row>
    <row r="2411" spans="2:4" x14ac:dyDescent="0.25">
      <c r="B2411">
        <v>2409</v>
      </c>
      <c r="D2411"/>
    </row>
    <row r="2412" spans="2:4" x14ac:dyDescent="0.25">
      <c r="B2412">
        <v>2410</v>
      </c>
      <c r="D2412"/>
    </row>
    <row r="2413" spans="2:4" x14ac:dyDescent="0.25">
      <c r="B2413">
        <v>2411</v>
      </c>
      <c r="D2413"/>
    </row>
    <row r="2414" spans="2:4" x14ac:dyDescent="0.25">
      <c r="B2414">
        <v>2412</v>
      </c>
      <c r="D2414"/>
    </row>
    <row r="2415" spans="2:4" x14ac:dyDescent="0.25">
      <c r="B2415">
        <v>2413</v>
      </c>
      <c r="D2415"/>
    </row>
    <row r="2416" spans="2:4" x14ac:dyDescent="0.25">
      <c r="B2416">
        <v>2414</v>
      </c>
      <c r="D2416"/>
    </row>
    <row r="2417" spans="2:4" x14ac:dyDescent="0.25">
      <c r="B2417">
        <v>2415</v>
      </c>
      <c r="D2417"/>
    </row>
    <row r="2418" spans="2:4" x14ac:dyDescent="0.25">
      <c r="B2418">
        <v>2416</v>
      </c>
      <c r="D2418"/>
    </row>
    <row r="2419" spans="2:4" x14ac:dyDescent="0.25">
      <c r="B2419">
        <v>2417</v>
      </c>
      <c r="D2419"/>
    </row>
    <row r="2420" spans="2:4" x14ac:dyDescent="0.25">
      <c r="B2420">
        <v>2418</v>
      </c>
      <c r="D2420"/>
    </row>
    <row r="2421" spans="2:4" x14ac:dyDescent="0.25">
      <c r="B2421">
        <v>2419</v>
      </c>
      <c r="D2421"/>
    </row>
    <row r="2422" spans="2:4" x14ac:dyDescent="0.25">
      <c r="B2422">
        <v>2420</v>
      </c>
      <c r="D2422"/>
    </row>
    <row r="2423" spans="2:4" x14ac:dyDescent="0.25">
      <c r="B2423">
        <v>2421</v>
      </c>
      <c r="D2423"/>
    </row>
    <row r="2424" spans="2:4" x14ac:dyDescent="0.25">
      <c r="B2424">
        <v>2422</v>
      </c>
      <c r="D2424"/>
    </row>
    <row r="2425" spans="2:4" x14ac:dyDescent="0.25">
      <c r="B2425">
        <v>2423</v>
      </c>
      <c r="D2425"/>
    </row>
    <row r="2426" spans="2:4" x14ac:dyDescent="0.25">
      <c r="B2426">
        <v>2424</v>
      </c>
      <c r="D2426"/>
    </row>
    <row r="2427" spans="2:4" x14ac:dyDescent="0.25">
      <c r="B2427">
        <v>2425</v>
      </c>
      <c r="D2427"/>
    </row>
    <row r="2428" spans="2:4" x14ac:dyDescent="0.25">
      <c r="B2428">
        <v>2426</v>
      </c>
      <c r="D2428"/>
    </row>
    <row r="2429" spans="2:4" x14ac:dyDescent="0.25">
      <c r="B2429">
        <v>2427</v>
      </c>
      <c r="D2429"/>
    </row>
    <row r="2430" spans="2:4" x14ac:dyDescent="0.25">
      <c r="B2430">
        <v>2428</v>
      </c>
      <c r="D2430"/>
    </row>
    <row r="2431" spans="2:4" x14ac:dyDescent="0.25">
      <c r="B2431">
        <v>2429</v>
      </c>
      <c r="D2431"/>
    </row>
    <row r="2432" spans="2:4" x14ac:dyDescent="0.25">
      <c r="B2432">
        <v>2430</v>
      </c>
      <c r="D2432"/>
    </row>
    <row r="2433" spans="2:4" x14ac:dyDescent="0.25">
      <c r="B2433">
        <v>2431</v>
      </c>
      <c r="D2433"/>
    </row>
    <row r="2434" spans="2:4" x14ac:dyDescent="0.25">
      <c r="B2434">
        <v>2432</v>
      </c>
      <c r="D2434"/>
    </row>
    <row r="2435" spans="2:4" x14ac:dyDescent="0.25">
      <c r="B2435">
        <v>2433</v>
      </c>
      <c r="D2435"/>
    </row>
    <row r="2436" spans="2:4" x14ac:dyDescent="0.25">
      <c r="B2436">
        <v>2434</v>
      </c>
      <c r="D2436"/>
    </row>
    <row r="2437" spans="2:4" x14ac:dyDescent="0.25">
      <c r="B2437">
        <v>2435</v>
      </c>
      <c r="D2437"/>
    </row>
    <row r="2438" spans="2:4" x14ac:dyDescent="0.25">
      <c r="B2438">
        <v>2436</v>
      </c>
      <c r="D2438"/>
    </row>
    <row r="2439" spans="2:4" x14ac:dyDescent="0.25">
      <c r="B2439">
        <v>2437</v>
      </c>
      <c r="D2439"/>
    </row>
    <row r="2440" spans="2:4" x14ac:dyDescent="0.25">
      <c r="B2440">
        <v>2438</v>
      </c>
      <c r="D2440"/>
    </row>
    <row r="2441" spans="2:4" x14ac:dyDescent="0.25">
      <c r="B2441">
        <v>2439</v>
      </c>
      <c r="D2441"/>
    </row>
    <row r="2442" spans="2:4" x14ac:dyDescent="0.25">
      <c r="B2442">
        <v>2440</v>
      </c>
      <c r="D2442"/>
    </row>
    <row r="2443" spans="2:4" x14ac:dyDescent="0.25">
      <c r="B2443">
        <v>2441</v>
      </c>
      <c r="D2443"/>
    </row>
    <row r="2444" spans="2:4" x14ac:dyDescent="0.25">
      <c r="B2444">
        <v>2442</v>
      </c>
      <c r="D2444"/>
    </row>
    <row r="2445" spans="2:4" x14ac:dyDescent="0.25">
      <c r="B2445">
        <v>2443</v>
      </c>
      <c r="D2445"/>
    </row>
    <row r="2446" spans="2:4" x14ac:dyDescent="0.25">
      <c r="B2446">
        <v>2444</v>
      </c>
      <c r="D2446"/>
    </row>
    <row r="2447" spans="2:4" x14ac:dyDescent="0.25">
      <c r="B2447">
        <v>2445</v>
      </c>
      <c r="D2447"/>
    </row>
    <row r="2448" spans="2:4" x14ac:dyDescent="0.25">
      <c r="B2448">
        <v>2446</v>
      </c>
      <c r="D2448"/>
    </row>
    <row r="2449" spans="2:4" x14ac:dyDescent="0.25">
      <c r="B2449">
        <v>2447</v>
      </c>
      <c r="D2449"/>
    </row>
    <row r="2450" spans="2:4" x14ac:dyDescent="0.25">
      <c r="B2450">
        <v>2448</v>
      </c>
      <c r="D2450"/>
    </row>
    <row r="2451" spans="2:4" x14ac:dyDescent="0.25">
      <c r="B2451">
        <v>2449</v>
      </c>
      <c r="D2451"/>
    </row>
    <row r="2452" spans="2:4" x14ac:dyDescent="0.25">
      <c r="C2452" s="1"/>
      <c r="D2452"/>
    </row>
  </sheetData>
  <printOptions horizontalCentered="1" verticalCentered="1"/>
  <pageMargins left="0.51181102362204722" right="0" top="0.78740157480314965" bottom="0.78740157480314965" header="0.31496062992125984" footer="0.31496062992125984"/>
  <pageSetup paperSize="9" scale="80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Apoio!$A$4:$A$8</xm:f>
          </x14:formula1>
          <xm:sqref>E1584:E1916 E3:E415 E417:E1236 E1238:E1582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437"/>
  <sheetViews>
    <sheetView topLeftCell="A946" workbookViewId="0">
      <selection activeCell="M84" sqref="M84"/>
    </sheetView>
  </sheetViews>
  <sheetFormatPr defaultColWidth="9.28515625" defaultRowHeight="15" x14ac:dyDescent="0.25"/>
  <cols>
    <col min="1" max="1" width="5.28515625" style="1" customWidth="1"/>
    <col min="2" max="2" width="36.28515625" style="1" customWidth="1"/>
    <col min="3" max="4" width="9.7109375" style="2" customWidth="1"/>
    <col min="5" max="8" width="9.7109375" style="1" customWidth="1"/>
    <col min="9" max="9" width="12.28515625" style="1" customWidth="1"/>
    <col min="10" max="10" width="14.28515625" style="1" bestFit="1" customWidth="1"/>
    <col min="11" max="16384" width="9.28515625" style="1"/>
  </cols>
  <sheetData>
    <row r="1" spans="1:9" ht="21" x14ac:dyDescent="0.35">
      <c r="B1" s="184" t="s">
        <v>4816</v>
      </c>
      <c r="C1" s="185"/>
      <c r="D1" s="185"/>
      <c r="E1" s="185"/>
      <c r="F1" s="185"/>
      <c r="G1" s="185"/>
      <c r="H1" s="185"/>
      <c r="I1" s="186"/>
    </row>
    <row r="2" spans="1:9" ht="6" customHeight="1" x14ac:dyDescent="0.25">
      <c r="I2" s="3"/>
    </row>
    <row r="3" spans="1:9" ht="21" x14ac:dyDescent="0.35">
      <c r="B3" s="192" t="s">
        <v>4817</v>
      </c>
      <c r="C3" s="193"/>
      <c r="D3" s="193"/>
      <c r="E3" s="193"/>
      <c r="F3" s="193"/>
      <c r="G3" s="193"/>
      <c r="H3" s="193"/>
      <c r="I3" s="194"/>
    </row>
    <row r="4" spans="1:9" ht="15" customHeight="1" x14ac:dyDescent="0.25"/>
    <row r="5" spans="1:9" ht="37.15" customHeight="1" x14ac:dyDescent="0.25">
      <c r="B5" s="187" t="s">
        <v>4818</v>
      </c>
      <c r="C5" s="195"/>
      <c r="D5" s="195"/>
      <c r="E5" s="195"/>
      <c r="F5" s="195"/>
      <c r="G5" s="195"/>
      <c r="H5" s="195"/>
      <c r="I5" s="196"/>
    </row>
    <row r="6" spans="1:9" s="5" customFormat="1" ht="30" customHeight="1" x14ac:dyDescent="0.25">
      <c r="A6" s="182" t="s">
        <v>4819</v>
      </c>
      <c r="B6" s="182" t="s">
        <v>4820</v>
      </c>
      <c r="C6" s="4" t="s">
        <v>4821</v>
      </c>
      <c r="D6" s="4" t="s">
        <v>4822</v>
      </c>
      <c r="E6" s="88" t="s">
        <v>4823</v>
      </c>
      <c r="F6" s="88" t="s">
        <v>4824</v>
      </c>
      <c r="G6" s="88" t="s">
        <v>4825</v>
      </c>
      <c r="H6" s="4" t="s">
        <v>4826</v>
      </c>
      <c r="I6" s="198" t="s">
        <v>4827</v>
      </c>
    </row>
    <row r="7" spans="1:9" s="5" customFormat="1" ht="30" customHeight="1" x14ac:dyDescent="0.25">
      <c r="A7" s="197"/>
      <c r="B7" s="183"/>
      <c r="C7" s="13" t="s">
        <v>4828</v>
      </c>
      <c r="D7" s="13" t="s">
        <v>4828</v>
      </c>
      <c r="E7" s="13" t="s">
        <v>4828</v>
      </c>
      <c r="F7" s="13" t="s">
        <v>4828</v>
      </c>
      <c r="G7" s="13" t="s">
        <v>4828</v>
      </c>
      <c r="H7" s="13" t="s">
        <v>4828</v>
      </c>
      <c r="I7" s="198"/>
    </row>
    <row r="8" spans="1:9" ht="20.100000000000001" customHeight="1" x14ac:dyDescent="0.25">
      <c r="A8" s="23">
        <v>1</v>
      </c>
      <c r="B8" s="6" t="e">
        <f>CADASTROS!#REF!</f>
        <v>#REF!</v>
      </c>
      <c r="C8" s="159"/>
      <c r="D8" s="159"/>
      <c r="E8" s="159"/>
      <c r="F8" s="159"/>
      <c r="G8" s="159"/>
      <c r="H8" s="159"/>
      <c r="I8" s="7">
        <f>SUM(C8+D8+E8+F8+G8+H8)</f>
        <v>0</v>
      </c>
    </row>
    <row r="9" spans="1:9" ht="20.100000000000001" customHeight="1" x14ac:dyDescent="0.25">
      <c r="A9" s="23">
        <v>3</v>
      </c>
      <c r="B9" s="6" t="str">
        <f>CADASTROS!$C$3</f>
        <v>Rosangela Campos</v>
      </c>
      <c r="C9" s="159"/>
      <c r="D9" s="159"/>
      <c r="E9" s="159"/>
      <c r="F9" s="159"/>
      <c r="G9" s="159"/>
      <c r="H9" s="159"/>
      <c r="I9" s="7">
        <f>SUM(C9+D9+E9+F9+G9+H9)</f>
        <v>0</v>
      </c>
    </row>
    <row r="10" spans="1:9" ht="20.100000000000001" customHeight="1" x14ac:dyDescent="0.25">
      <c r="A10" s="23">
        <v>8</v>
      </c>
      <c r="B10" s="6" t="str">
        <f>CADASTROS!$C$4</f>
        <v>Tamires Lima de Jesus</v>
      </c>
      <c r="C10" s="159"/>
      <c r="D10" s="159"/>
      <c r="E10" s="159"/>
      <c r="F10" s="159"/>
      <c r="G10" s="159"/>
      <c r="H10" s="159"/>
      <c r="I10" s="7">
        <f t="shared" ref="I10:I34" si="0">SUM(C10+D10+E10+F10+G10+H10)</f>
        <v>0</v>
      </c>
    </row>
    <row r="11" spans="1:9" ht="20.100000000000001" customHeight="1" x14ac:dyDescent="0.25">
      <c r="A11" s="23">
        <v>15</v>
      </c>
      <c r="B11" s="6" t="str">
        <f>CADASTROS!$C$5</f>
        <v>Laede Andrade Reis</v>
      </c>
      <c r="C11" s="159"/>
      <c r="D11" s="159"/>
      <c r="E11" s="159"/>
      <c r="F11" s="159"/>
      <c r="G11" s="159"/>
      <c r="H11" s="159"/>
      <c r="I11" s="7">
        <f t="shared" si="0"/>
        <v>0</v>
      </c>
    </row>
    <row r="12" spans="1:9" ht="20.100000000000001" customHeight="1" x14ac:dyDescent="0.25">
      <c r="A12" s="23">
        <v>17</v>
      </c>
      <c r="B12" s="6" t="str">
        <f>CADASTROS!$C$6</f>
        <v>Pedro Gomes Lima</v>
      </c>
      <c r="C12" s="159"/>
      <c r="D12" s="159"/>
      <c r="E12" s="159"/>
      <c r="F12" s="159"/>
      <c r="G12" s="159"/>
      <c r="H12" s="159"/>
      <c r="I12" s="7">
        <f t="shared" si="0"/>
        <v>0</v>
      </c>
    </row>
    <row r="13" spans="1:9" ht="20.100000000000001" customHeight="1" x14ac:dyDescent="0.25">
      <c r="A13" s="23">
        <v>249</v>
      </c>
      <c r="B13" s="6" t="str">
        <f>CADASTROS!$C$7</f>
        <v>Itala Diane Lopes de Oliveira</v>
      </c>
      <c r="C13" s="159"/>
      <c r="D13" s="159"/>
      <c r="E13" s="159"/>
      <c r="F13" s="159"/>
      <c r="G13" s="159"/>
      <c r="H13" s="159"/>
      <c r="I13" s="7">
        <f t="shared" si="0"/>
        <v>0</v>
      </c>
    </row>
    <row r="14" spans="1:9" ht="20.100000000000001" customHeight="1" x14ac:dyDescent="0.25">
      <c r="A14" s="23">
        <v>251</v>
      </c>
      <c r="B14" s="6" t="str">
        <f>CADASTROS!$C$8</f>
        <v>Luciana Lopes dos Santos</v>
      </c>
      <c r="C14" s="159"/>
      <c r="D14" s="159"/>
      <c r="E14" s="159"/>
      <c r="F14" s="159"/>
      <c r="G14" s="159"/>
      <c r="H14" s="159"/>
      <c r="I14" s="7">
        <f t="shared" si="0"/>
        <v>0</v>
      </c>
    </row>
    <row r="15" spans="1:9" ht="20.100000000000001" customHeight="1" x14ac:dyDescent="0.25">
      <c r="A15" s="23">
        <v>362</v>
      </c>
      <c r="B15" s="6" t="str">
        <f>CADASTROS!$C$9</f>
        <v>João Florencio dos Santos</v>
      </c>
      <c r="C15" s="159"/>
      <c r="D15" s="159"/>
      <c r="E15" s="159"/>
      <c r="F15" s="159"/>
      <c r="G15" s="159"/>
      <c r="H15" s="159"/>
      <c r="I15" s="7">
        <f t="shared" si="0"/>
        <v>0</v>
      </c>
    </row>
    <row r="16" spans="1:9" ht="20.100000000000001" customHeight="1" x14ac:dyDescent="0.25">
      <c r="A16" s="23">
        <v>363</v>
      </c>
      <c r="B16" s="6" t="str">
        <f>CADASTROS!$C$10</f>
        <v>Adimaura Pires Alves</v>
      </c>
      <c r="C16" s="159"/>
      <c r="D16" s="159"/>
      <c r="E16" s="159"/>
      <c r="F16" s="159"/>
      <c r="G16" s="159"/>
      <c r="H16" s="159"/>
      <c r="I16" s="7">
        <f t="shared" si="0"/>
        <v>0</v>
      </c>
    </row>
    <row r="17" spans="1:9" ht="20.100000000000001" customHeight="1" x14ac:dyDescent="0.25">
      <c r="A17" s="23">
        <v>364</v>
      </c>
      <c r="B17" s="6" t="str">
        <f>CADASTROS!$C$11</f>
        <v>Railda Borges dos Santos</v>
      </c>
      <c r="C17" s="159"/>
      <c r="D17" s="159"/>
      <c r="E17" s="159"/>
      <c r="F17" s="159"/>
      <c r="G17" s="159"/>
      <c r="H17" s="159"/>
      <c r="I17" s="7">
        <f t="shared" si="0"/>
        <v>0</v>
      </c>
    </row>
    <row r="18" spans="1:9" ht="20.100000000000001" customHeight="1" x14ac:dyDescent="0.25">
      <c r="A18" s="23">
        <v>365</v>
      </c>
      <c r="B18" s="6" t="str">
        <f>CADASTROS!$C$12</f>
        <v>Isabel Martins de Araújo</v>
      </c>
      <c r="C18" s="159"/>
      <c r="D18" s="159"/>
      <c r="E18" s="159"/>
      <c r="F18" s="159"/>
      <c r="G18" s="159"/>
      <c r="H18" s="159"/>
      <c r="I18" s="7">
        <f t="shared" si="0"/>
        <v>0</v>
      </c>
    </row>
    <row r="19" spans="1:9" ht="20.100000000000001" customHeight="1" x14ac:dyDescent="0.25">
      <c r="A19" s="23">
        <v>366</v>
      </c>
      <c r="B19" s="6" t="str">
        <f>CADASTROS!$C$13</f>
        <v>Carlos Machado Gonçalves</v>
      </c>
      <c r="C19" s="159"/>
      <c r="D19" s="159"/>
      <c r="E19" s="159"/>
      <c r="F19" s="159"/>
      <c r="G19" s="159"/>
      <c r="H19" s="159"/>
      <c r="I19" s="7">
        <f t="shared" si="0"/>
        <v>0</v>
      </c>
    </row>
    <row r="20" spans="1:9" ht="20.100000000000001" customHeight="1" x14ac:dyDescent="0.25">
      <c r="A20" s="23">
        <v>367</v>
      </c>
      <c r="B20" s="6" t="str">
        <f>CADASTROS!$C$14</f>
        <v>Laura Mª de Jesus</v>
      </c>
      <c r="C20" s="159"/>
      <c r="D20" s="159"/>
      <c r="E20" s="159"/>
      <c r="F20" s="159"/>
      <c r="G20" s="159"/>
      <c r="H20" s="159"/>
      <c r="I20" s="7">
        <f t="shared" si="0"/>
        <v>0</v>
      </c>
    </row>
    <row r="21" spans="1:9" ht="20.100000000000001" customHeight="1" x14ac:dyDescent="0.25">
      <c r="A21" s="23">
        <v>368</v>
      </c>
      <c r="B21" s="6" t="str">
        <f>CADASTROS!$C$15</f>
        <v>Agamenon de Sousa Teixeira</v>
      </c>
      <c r="C21" s="159"/>
      <c r="D21" s="159"/>
      <c r="E21" s="159"/>
      <c r="F21" s="159"/>
      <c r="G21" s="159"/>
      <c r="H21" s="159"/>
      <c r="I21" s="7">
        <f t="shared" si="0"/>
        <v>0</v>
      </c>
    </row>
    <row r="22" spans="1:9" ht="20.100000000000001" customHeight="1" x14ac:dyDescent="0.25">
      <c r="A22" s="23">
        <v>369</v>
      </c>
      <c r="B22" s="6" t="str">
        <f>CADASTROS!$C$16</f>
        <v>Gabriel Souza dos Santos</v>
      </c>
      <c r="C22" s="159"/>
      <c r="D22" s="159"/>
      <c r="E22" s="159"/>
      <c r="F22" s="159"/>
      <c r="G22" s="159"/>
      <c r="H22" s="159"/>
      <c r="I22" s="7">
        <f t="shared" si="0"/>
        <v>0</v>
      </c>
    </row>
    <row r="23" spans="1:9" ht="20.100000000000001" customHeight="1" x14ac:dyDescent="0.25">
      <c r="A23" s="23">
        <v>370</v>
      </c>
      <c r="B23" s="6" t="str">
        <f>CADASTROS!$C$17</f>
        <v>Maurivalda O Santana</v>
      </c>
      <c r="C23" s="159"/>
      <c r="D23" s="159"/>
      <c r="E23" s="159"/>
      <c r="F23" s="159"/>
      <c r="G23" s="159"/>
      <c r="H23" s="159"/>
      <c r="I23" s="7">
        <f t="shared" si="0"/>
        <v>0</v>
      </c>
    </row>
    <row r="24" spans="1:9" ht="20.100000000000001" customHeight="1" x14ac:dyDescent="0.25">
      <c r="A24" s="23">
        <v>371</v>
      </c>
      <c r="B24" s="6" t="str">
        <f>CADASTROS!$C$18</f>
        <v>Mª da Conceição P Silva</v>
      </c>
      <c r="C24" s="159"/>
      <c r="D24" s="159"/>
      <c r="E24" s="159"/>
      <c r="F24" s="159"/>
      <c r="G24" s="159"/>
      <c r="H24" s="159"/>
      <c r="I24" s="7">
        <f t="shared" si="0"/>
        <v>0</v>
      </c>
    </row>
    <row r="25" spans="1:9" ht="20.100000000000001" customHeight="1" x14ac:dyDescent="0.25">
      <c r="A25" s="23">
        <v>372</v>
      </c>
      <c r="B25" s="6" t="str">
        <f>CADASTROS!$C$19</f>
        <v>Juliana Soares Silva</v>
      </c>
      <c r="C25" s="159"/>
      <c r="D25" s="159"/>
      <c r="E25" s="159"/>
      <c r="F25" s="159"/>
      <c r="G25" s="159"/>
      <c r="H25" s="159"/>
      <c r="I25" s="7">
        <f t="shared" si="0"/>
        <v>0</v>
      </c>
    </row>
    <row r="26" spans="1:9" ht="20.100000000000001" customHeight="1" x14ac:dyDescent="0.25">
      <c r="A26" s="23">
        <v>373</v>
      </c>
      <c r="B26" s="6" t="str">
        <f>CADASTROS!$C$20</f>
        <v>Elixandra Paiva de Souza</v>
      </c>
      <c r="C26" s="159"/>
      <c r="D26" s="159"/>
      <c r="E26" s="159"/>
      <c r="F26" s="159"/>
      <c r="G26" s="159"/>
      <c r="H26" s="159"/>
      <c r="I26" s="7">
        <f t="shared" si="0"/>
        <v>0</v>
      </c>
    </row>
    <row r="27" spans="1:9" ht="20.100000000000001" customHeight="1" x14ac:dyDescent="0.25">
      <c r="A27" s="23">
        <v>374</v>
      </c>
      <c r="B27" s="6" t="str">
        <f>CADASTROS!$C$21</f>
        <v>Eletícia Rodrigues Oliveira</v>
      </c>
      <c r="C27" s="159"/>
      <c r="D27" s="159"/>
      <c r="E27" s="159"/>
      <c r="F27" s="159"/>
      <c r="G27" s="159"/>
      <c r="H27" s="159"/>
      <c r="I27" s="7">
        <f t="shared" si="0"/>
        <v>0</v>
      </c>
    </row>
    <row r="28" spans="1:9" ht="20.100000000000001" customHeight="1" x14ac:dyDescent="0.25">
      <c r="A28" s="23">
        <v>375</v>
      </c>
      <c r="B28" s="6" t="str">
        <f>CADASTROS!$C$22</f>
        <v>Patrícia Santos dos Anjos</v>
      </c>
      <c r="C28" s="159"/>
      <c r="D28" s="159"/>
      <c r="E28" s="159"/>
      <c r="F28" s="159"/>
      <c r="G28" s="159"/>
      <c r="H28" s="159"/>
      <c r="I28" s="7">
        <f t="shared" si="0"/>
        <v>0</v>
      </c>
    </row>
    <row r="29" spans="1:9" ht="20.100000000000001" customHeight="1" x14ac:dyDescent="0.25">
      <c r="A29" s="23">
        <v>376</v>
      </c>
      <c r="B29" s="6" t="str">
        <f>CADASTROS!$C$23</f>
        <v>Leonete Santiago dos Santos</v>
      </c>
      <c r="C29" s="159"/>
      <c r="D29" s="159"/>
      <c r="E29" s="159"/>
      <c r="F29" s="159"/>
      <c r="G29" s="159"/>
      <c r="H29" s="159"/>
      <c r="I29" s="7">
        <f t="shared" si="0"/>
        <v>0</v>
      </c>
    </row>
    <row r="30" spans="1:9" ht="20.100000000000001" customHeight="1" x14ac:dyDescent="0.25">
      <c r="A30" s="23">
        <v>377</v>
      </c>
      <c r="B30" s="6" t="str">
        <f>CADASTROS!$C$24</f>
        <v>Joelma Mª de Jesus</v>
      </c>
      <c r="C30" s="159"/>
      <c r="D30" s="159">
        <v>10.5</v>
      </c>
      <c r="E30" s="159">
        <v>11.5</v>
      </c>
      <c r="F30" s="159"/>
      <c r="G30" s="159"/>
      <c r="H30" s="159"/>
      <c r="I30" s="7">
        <f t="shared" si="0"/>
        <v>22</v>
      </c>
    </row>
    <row r="31" spans="1:9" ht="20.100000000000001" customHeight="1" x14ac:dyDescent="0.25">
      <c r="A31" s="23">
        <v>378</v>
      </c>
      <c r="B31" s="6" t="str">
        <f>CADASTROS!$C$25</f>
        <v>Adriana Silva da Cruz</v>
      </c>
      <c r="C31" s="159"/>
      <c r="D31" s="159"/>
      <c r="E31" s="159"/>
      <c r="F31" s="159"/>
      <c r="G31" s="159"/>
      <c r="H31" s="159"/>
      <c r="I31" s="7">
        <f t="shared" si="0"/>
        <v>0</v>
      </c>
    </row>
    <row r="32" spans="1:9" ht="20.100000000000001" customHeight="1" x14ac:dyDescent="0.25">
      <c r="A32" s="23">
        <v>379</v>
      </c>
      <c r="B32" s="6" t="str">
        <f>CADASTROS!$C$26</f>
        <v>Neusvaldo Ferreira Miranda</v>
      </c>
      <c r="C32" s="159"/>
      <c r="D32" s="159"/>
      <c r="E32" s="159"/>
      <c r="F32" s="159"/>
      <c r="G32" s="159"/>
      <c r="H32" s="159"/>
      <c r="I32" s="7">
        <f t="shared" si="0"/>
        <v>0</v>
      </c>
    </row>
    <row r="33" spans="1:9" ht="20.100000000000001" customHeight="1" x14ac:dyDescent="0.25">
      <c r="A33" s="23">
        <v>380</v>
      </c>
      <c r="B33" s="6" t="str">
        <f>CADASTROS!$C$27</f>
        <v>Silvania Conceição Cedro</v>
      </c>
      <c r="C33" s="159"/>
      <c r="D33" s="159"/>
      <c r="E33" s="159"/>
      <c r="F33" s="159"/>
      <c r="G33" s="159"/>
      <c r="H33" s="159"/>
      <c r="I33" s="7">
        <f t="shared" si="0"/>
        <v>0</v>
      </c>
    </row>
    <row r="34" spans="1:9" ht="20.100000000000001" customHeight="1" x14ac:dyDescent="0.25">
      <c r="A34" s="23">
        <v>381</v>
      </c>
      <c r="B34" s="6" t="str">
        <f>CADASTROS!$C$28</f>
        <v>Jeane Boaventura de Carvalho</v>
      </c>
      <c r="C34" s="159"/>
      <c r="D34" s="159"/>
      <c r="E34" s="159"/>
      <c r="F34" s="159"/>
      <c r="G34" s="159"/>
      <c r="H34" s="159"/>
      <c r="I34" s="7">
        <f t="shared" si="0"/>
        <v>0</v>
      </c>
    </row>
    <row r="35" spans="1:9" ht="15.75" x14ac:dyDescent="0.25">
      <c r="B35" s="159" t="s">
        <v>4829</v>
      </c>
      <c r="C35" s="159">
        <f>SUM(C8:C34)</f>
        <v>0</v>
      </c>
      <c r="D35" s="159">
        <f t="shared" ref="D35:H35" si="1">SUM(D8:D34)</f>
        <v>10.5</v>
      </c>
      <c r="E35" s="159">
        <f t="shared" si="1"/>
        <v>11.5</v>
      </c>
      <c r="F35" s="159">
        <f t="shared" si="1"/>
        <v>0</v>
      </c>
      <c r="G35" s="159">
        <f t="shared" si="1"/>
        <v>0</v>
      </c>
      <c r="H35" s="159">
        <f t="shared" si="1"/>
        <v>0</v>
      </c>
      <c r="I35" s="159">
        <f>SUM(I8:I34)</f>
        <v>22</v>
      </c>
    </row>
    <row r="37" spans="1:9" ht="15.75" x14ac:dyDescent="0.25">
      <c r="B37" s="8" t="s">
        <v>4830</v>
      </c>
      <c r="C37" s="159"/>
      <c r="D37" s="159"/>
      <c r="E37" s="159"/>
      <c r="F37" s="159"/>
      <c r="G37" s="159"/>
      <c r="H37" s="159"/>
      <c r="I37" s="159">
        <f>SUM(C37:H37)</f>
        <v>0</v>
      </c>
    </row>
    <row r="38" spans="1:9" x14ac:dyDescent="0.25">
      <c r="B38" s="167"/>
    </row>
    <row r="39" spans="1:9" ht="15.75" x14ac:dyDescent="0.25">
      <c r="B39" s="8" t="s">
        <v>4831</v>
      </c>
      <c r="C39" s="9" t="e">
        <f>C35/C37</f>
        <v>#DIV/0!</v>
      </c>
      <c r="D39" s="9" t="e">
        <f t="shared" ref="D39:H39" si="2">D35/D37</f>
        <v>#DIV/0!</v>
      </c>
      <c r="E39" s="9" t="e">
        <f t="shared" si="2"/>
        <v>#DIV/0!</v>
      </c>
      <c r="F39" s="9" t="e">
        <f t="shared" si="2"/>
        <v>#DIV/0!</v>
      </c>
      <c r="G39" s="9" t="e">
        <f t="shared" si="2"/>
        <v>#DIV/0!</v>
      </c>
      <c r="H39" s="9" t="e">
        <f t="shared" si="2"/>
        <v>#DIV/0!</v>
      </c>
      <c r="I39" s="9"/>
    </row>
    <row r="40" spans="1:9" ht="15.75" x14ac:dyDescent="0.25">
      <c r="B40" s="163"/>
      <c r="C40" s="10"/>
      <c r="D40" s="10"/>
      <c r="E40" s="10"/>
      <c r="F40" s="10"/>
      <c r="G40" s="10"/>
      <c r="H40" s="163"/>
      <c r="I40" s="163"/>
    </row>
    <row r="41" spans="1:9" ht="29.25" customHeight="1" x14ac:dyDescent="0.25">
      <c r="B41" s="8" t="s">
        <v>4832</v>
      </c>
      <c r="C41" s="159"/>
      <c r="D41" s="159"/>
      <c r="E41" s="6"/>
      <c r="F41" s="6"/>
      <c r="G41" s="6"/>
      <c r="H41" s="6"/>
      <c r="I41" s="11"/>
    </row>
    <row r="42" spans="1:9" ht="15.75" x14ac:dyDescent="0.25">
      <c r="B42" s="28"/>
      <c r="C42" s="28"/>
      <c r="D42" s="28"/>
      <c r="E42" s="11"/>
      <c r="F42" s="11"/>
      <c r="G42" s="11"/>
      <c r="H42" s="11"/>
      <c r="I42" s="11"/>
    </row>
    <row r="43" spans="1:9" ht="21" x14ac:dyDescent="0.35">
      <c r="B43" s="184" t="s">
        <v>4816</v>
      </c>
      <c r="C43" s="185"/>
      <c r="D43" s="185"/>
      <c r="E43" s="185"/>
      <c r="F43" s="185"/>
      <c r="G43" s="185"/>
      <c r="H43" s="185"/>
      <c r="I43" s="186"/>
    </row>
    <row r="44" spans="1:9" ht="6" customHeight="1" x14ac:dyDescent="0.25">
      <c r="I44" s="3"/>
    </row>
    <row r="45" spans="1:9" ht="21" x14ac:dyDescent="0.35">
      <c r="B45" s="192" t="s">
        <v>4817</v>
      </c>
      <c r="C45" s="193"/>
      <c r="D45" s="193"/>
      <c r="E45" s="193"/>
      <c r="F45" s="193"/>
      <c r="G45" s="193"/>
      <c r="H45" s="193"/>
      <c r="I45" s="194"/>
    </row>
    <row r="46" spans="1:9" ht="15" customHeight="1" x14ac:dyDescent="0.25"/>
    <row r="47" spans="1:9" ht="37.15" customHeight="1" x14ac:dyDescent="0.25">
      <c r="B47" s="187" t="s">
        <v>4818</v>
      </c>
      <c r="C47" s="188"/>
      <c r="D47" s="188"/>
      <c r="E47" s="188"/>
      <c r="F47" s="188"/>
      <c r="G47" s="188"/>
      <c r="H47" s="188"/>
      <c r="I47" s="189"/>
    </row>
    <row r="48" spans="1:9" ht="30" customHeight="1" x14ac:dyDescent="0.25">
      <c r="A48" s="182" t="s">
        <v>4819</v>
      </c>
      <c r="B48" s="31" t="s">
        <v>4820</v>
      </c>
      <c r="C48" s="4" t="s">
        <v>4821</v>
      </c>
      <c r="D48" s="4" t="s">
        <v>4822</v>
      </c>
      <c r="E48" s="88" t="s">
        <v>4823</v>
      </c>
      <c r="F48" s="88" t="s">
        <v>4824</v>
      </c>
      <c r="G48" s="88" t="s">
        <v>4825</v>
      </c>
      <c r="H48" s="4" t="s">
        <v>4826</v>
      </c>
      <c r="I48" s="29" t="s">
        <v>4827</v>
      </c>
    </row>
    <row r="49" spans="1:9" ht="36" customHeight="1" x14ac:dyDescent="0.25">
      <c r="A49" s="183"/>
      <c r="B49" s="32"/>
      <c r="C49" s="13" t="s">
        <v>4828</v>
      </c>
      <c r="D49" s="13" t="s">
        <v>4828</v>
      </c>
      <c r="E49" s="13" t="s">
        <v>4828</v>
      </c>
      <c r="F49" s="13" t="s">
        <v>4828</v>
      </c>
      <c r="G49" s="13" t="s">
        <v>4828</v>
      </c>
      <c r="H49" s="13" t="s">
        <v>4828</v>
      </c>
      <c r="I49" s="30"/>
    </row>
    <row r="50" spans="1:9" ht="15.75" x14ac:dyDescent="0.25">
      <c r="A50" s="23">
        <v>382</v>
      </c>
      <c r="B50" s="6" t="str">
        <f>CADASTROS!$C$29</f>
        <v>Anisia Teles dos Santos</v>
      </c>
      <c r="C50" s="159"/>
      <c r="D50" s="159"/>
      <c r="E50" s="159"/>
      <c r="F50" s="159"/>
      <c r="G50" s="159"/>
      <c r="H50" s="159"/>
      <c r="I50" s="7">
        <f>SUM(C50+D50+E50+F50+G50+H50)</f>
        <v>0</v>
      </c>
    </row>
    <row r="51" spans="1:9" ht="15.75" x14ac:dyDescent="0.25">
      <c r="A51" s="23">
        <v>383</v>
      </c>
      <c r="B51" s="6" t="str">
        <f>CADASTROS!$C$30</f>
        <v>Evani Claudina de Oliveira</v>
      </c>
      <c r="C51" s="159"/>
      <c r="D51" s="159"/>
      <c r="E51" s="159"/>
      <c r="F51" s="159"/>
      <c r="G51" s="159"/>
      <c r="H51" s="159"/>
      <c r="I51" s="7">
        <f t="shared" ref="I51:I76" si="3">SUM(C51+D51+E51+F51+G51+H51)</f>
        <v>0</v>
      </c>
    </row>
    <row r="52" spans="1:9" ht="15.75" x14ac:dyDescent="0.25">
      <c r="A52" s="23">
        <v>384</v>
      </c>
      <c r="B52" s="6" t="str">
        <f>CADASTROS!$C$31</f>
        <v>Eugênio Sérgio dos S Pereira</v>
      </c>
      <c r="C52" s="159">
        <v>15</v>
      </c>
      <c r="D52" s="159">
        <v>15</v>
      </c>
      <c r="E52" s="159">
        <v>15</v>
      </c>
      <c r="F52" s="159"/>
      <c r="G52" s="159"/>
      <c r="H52" s="159"/>
      <c r="I52" s="7">
        <f t="shared" si="3"/>
        <v>45</v>
      </c>
    </row>
    <row r="53" spans="1:9" ht="15.75" x14ac:dyDescent="0.25">
      <c r="A53" s="23">
        <v>385</v>
      </c>
      <c r="B53" s="6" t="str">
        <f>CADASTROS!$C$32</f>
        <v>Sirleide Miranda D Santos</v>
      </c>
      <c r="C53" s="159"/>
      <c r="D53" s="159"/>
      <c r="E53" s="159"/>
      <c r="F53" s="159"/>
      <c r="G53" s="159"/>
      <c r="H53" s="159"/>
      <c r="I53" s="7">
        <f t="shared" si="3"/>
        <v>0</v>
      </c>
    </row>
    <row r="54" spans="1:9" ht="15.75" x14ac:dyDescent="0.25">
      <c r="A54" s="23">
        <v>386</v>
      </c>
      <c r="B54" s="6" t="str">
        <f>CADASTROS!$C$33</f>
        <v>Neuraci Marques Ramos</v>
      </c>
      <c r="C54" s="159"/>
      <c r="D54" s="159">
        <v>10</v>
      </c>
      <c r="E54" s="159">
        <v>8</v>
      </c>
      <c r="F54" s="159"/>
      <c r="G54" s="159"/>
      <c r="H54" s="159"/>
      <c r="I54" s="7">
        <f t="shared" si="3"/>
        <v>18</v>
      </c>
    </row>
    <row r="55" spans="1:9" ht="15.75" x14ac:dyDescent="0.25">
      <c r="A55" s="23">
        <v>387</v>
      </c>
      <c r="B55" s="6" t="str">
        <f>CADASTROS!$C$34</f>
        <v>Uilson José de Miranda</v>
      </c>
      <c r="C55" s="159"/>
      <c r="D55" s="159"/>
      <c r="E55" s="159"/>
      <c r="F55" s="159"/>
      <c r="G55" s="159"/>
      <c r="H55" s="159"/>
      <c r="I55" s="7">
        <f t="shared" si="3"/>
        <v>0</v>
      </c>
    </row>
    <row r="56" spans="1:9" ht="15.75" x14ac:dyDescent="0.25">
      <c r="A56" s="23">
        <v>388</v>
      </c>
      <c r="B56" s="6" t="str">
        <f>CADASTROS!$C$35</f>
        <v>Daniela da Silva Lima</v>
      </c>
      <c r="C56" s="159"/>
      <c r="D56" s="159"/>
      <c r="E56" s="159"/>
      <c r="F56" s="159"/>
      <c r="G56" s="159"/>
      <c r="H56" s="159"/>
      <c r="I56" s="7">
        <f t="shared" si="3"/>
        <v>0</v>
      </c>
    </row>
    <row r="57" spans="1:9" ht="15.75" x14ac:dyDescent="0.25">
      <c r="A57" s="23">
        <v>389</v>
      </c>
      <c r="B57" s="6" t="str">
        <f>CADASTROS!$C$36</f>
        <v>Verônica Jesus Damasceno</v>
      </c>
      <c r="C57" s="159"/>
      <c r="D57" s="159"/>
      <c r="E57" s="159"/>
      <c r="F57" s="159"/>
      <c r="G57" s="159"/>
      <c r="H57" s="159"/>
      <c r="I57" s="7">
        <f t="shared" si="3"/>
        <v>0</v>
      </c>
    </row>
    <row r="58" spans="1:9" ht="15.75" x14ac:dyDescent="0.25">
      <c r="A58" s="23">
        <v>390</v>
      </c>
      <c r="B58" s="6" t="str">
        <f>CADASTROS!$C$37</f>
        <v>Gabriela de Jesus Silva</v>
      </c>
      <c r="C58" s="159"/>
      <c r="D58" s="159"/>
      <c r="E58" s="159"/>
      <c r="F58" s="159"/>
      <c r="G58" s="159"/>
      <c r="H58" s="159"/>
      <c r="I58" s="7">
        <f t="shared" si="3"/>
        <v>0</v>
      </c>
    </row>
    <row r="59" spans="1:9" ht="15.75" x14ac:dyDescent="0.25">
      <c r="A59" s="23">
        <v>391</v>
      </c>
      <c r="B59" s="6" t="str">
        <f>CADASTROS!$C$38</f>
        <v>Luiz Sérgio Rosa de Jesus</v>
      </c>
      <c r="C59" s="159"/>
      <c r="D59" s="159"/>
      <c r="E59" s="159"/>
      <c r="F59" s="159"/>
      <c r="G59" s="159"/>
      <c r="H59" s="159"/>
      <c r="I59" s="7">
        <f t="shared" si="3"/>
        <v>0</v>
      </c>
    </row>
    <row r="60" spans="1:9" ht="15.75" x14ac:dyDescent="0.25">
      <c r="A60" s="23">
        <v>392</v>
      </c>
      <c r="B60" s="6" t="str">
        <f>CADASTROS!$C$39</f>
        <v>Silvana Lima Nascimento</v>
      </c>
      <c r="C60" s="159"/>
      <c r="D60" s="159"/>
      <c r="E60" s="159"/>
      <c r="F60" s="159"/>
      <c r="G60" s="159"/>
      <c r="H60" s="159"/>
      <c r="I60" s="7">
        <f t="shared" si="3"/>
        <v>0</v>
      </c>
    </row>
    <row r="61" spans="1:9" ht="15.75" x14ac:dyDescent="0.25">
      <c r="A61" s="23">
        <v>393</v>
      </c>
      <c r="B61" s="6" t="str">
        <f>CADASTROS!$C$40</f>
        <v>Mateus Andrade de Jesus</v>
      </c>
      <c r="C61" s="159"/>
      <c r="D61" s="159"/>
      <c r="E61" s="159"/>
      <c r="F61" s="159"/>
      <c r="G61" s="159"/>
      <c r="H61" s="159"/>
      <c r="I61" s="7">
        <f t="shared" si="3"/>
        <v>0</v>
      </c>
    </row>
    <row r="62" spans="1:9" ht="15.75" x14ac:dyDescent="0.25">
      <c r="A62" s="23">
        <v>394</v>
      </c>
      <c r="B62" s="6" t="str">
        <f>CADASTROS!$C$41</f>
        <v>Luiz Fernando P de  Jesus</v>
      </c>
      <c r="C62" s="159"/>
      <c r="D62" s="159"/>
      <c r="E62" s="159"/>
      <c r="F62" s="159"/>
      <c r="G62" s="159"/>
      <c r="H62" s="159"/>
      <c r="I62" s="7">
        <f t="shared" si="3"/>
        <v>0</v>
      </c>
    </row>
    <row r="63" spans="1:9" ht="15.75" x14ac:dyDescent="0.25">
      <c r="A63" s="23">
        <v>395</v>
      </c>
      <c r="B63" s="6" t="str">
        <f>CADASTROS!$C$42</f>
        <v>Leonardo Santos Ribeiro</v>
      </c>
      <c r="C63" s="159"/>
      <c r="D63" s="159"/>
      <c r="E63" s="159"/>
      <c r="F63" s="159"/>
      <c r="G63" s="159"/>
      <c r="H63" s="159"/>
      <c r="I63" s="7">
        <f t="shared" si="3"/>
        <v>0</v>
      </c>
    </row>
    <row r="64" spans="1:9" ht="15.75" x14ac:dyDescent="0.25">
      <c r="A64" s="23">
        <v>396</v>
      </c>
      <c r="B64" s="6" t="e">
        <f>CADASTROS!#REF!</f>
        <v>#REF!</v>
      </c>
      <c r="C64" s="159"/>
      <c r="D64" s="159"/>
      <c r="E64" s="159"/>
      <c r="F64" s="159"/>
      <c r="G64" s="159"/>
      <c r="H64" s="159"/>
      <c r="I64" s="7">
        <f t="shared" si="3"/>
        <v>0</v>
      </c>
    </row>
    <row r="65" spans="1:9" ht="15.75" x14ac:dyDescent="0.25">
      <c r="A65" s="23">
        <v>397</v>
      </c>
      <c r="B65" s="6" t="str">
        <f>CADASTROS!$C$43</f>
        <v>Alane Nascimento dos Santos</v>
      </c>
      <c r="C65" s="159"/>
      <c r="D65" s="159"/>
      <c r="E65" s="159"/>
      <c r="F65" s="159"/>
      <c r="G65" s="159"/>
      <c r="H65" s="159"/>
      <c r="I65" s="7">
        <f t="shared" si="3"/>
        <v>0</v>
      </c>
    </row>
    <row r="66" spans="1:9" ht="15.75" x14ac:dyDescent="0.25">
      <c r="A66" s="23">
        <v>398</v>
      </c>
      <c r="B66" s="6" t="str">
        <f>CADASTROS!$C$44</f>
        <v>Melecio Neto Santos de Oliveira</v>
      </c>
      <c r="C66" s="159"/>
      <c r="D66" s="159"/>
      <c r="E66" s="159"/>
      <c r="F66" s="159"/>
      <c r="G66" s="159"/>
      <c r="H66" s="159"/>
      <c r="I66" s="7">
        <f t="shared" si="3"/>
        <v>0</v>
      </c>
    </row>
    <row r="67" spans="1:9" ht="15.75" x14ac:dyDescent="0.25">
      <c r="A67" s="23">
        <v>399</v>
      </c>
      <c r="B67" s="6" t="str">
        <f>CADASTROS!$C$45</f>
        <v>Henoc Marques de Souza</v>
      </c>
      <c r="C67" s="159"/>
      <c r="D67" s="159"/>
      <c r="E67" s="159"/>
      <c r="F67" s="159"/>
      <c r="G67" s="159"/>
      <c r="H67" s="159"/>
      <c r="I67" s="7">
        <f t="shared" si="3"/>
        <v>0</v>
      </c>
    </row>
    <row r="68" spans="1:9" ht="15.75" x14ac:dyDescent="0.25">
      <c r="A68" s="23">
        <v>400</v>
      </c>
      <c r="B68" s="6" t="str">
        <f>CADASTROS!$C$46</f>
        <v>Irislene de Novais</v>
      </c>
      <c r="C68" s="159"/>
      <c r="D68" s="159"/>
      <c r="E68" s="159"/>
      <c r="F68" s="159"/>
      <c r="G68" s="159"/>
      <c r="H68" s="159"/>
      <c r="I68" s="7">
        <f t="shared" si="3"/>
        <v>0</v>
      </c>
    </row>
    <row r="69" spans="1:9" ht="15.75" x14ac:dyDescent="0.25">
      <c r="A69" s="23">
        <v>401</v>
      </c>
      <c r="B69" s="6" t="str">
        <f>CADASTROS!$C$47</f>
        <v>Isabel Souza de Oliveira</v>
      </c>
      <c r="C69" s="159"/>
      <c r="D69" s="159"/>
      <c r="E69" s="159"/>
      <c r="F69" s="159"/>
      <c r="G69" s="159"/>
      <c r="H69" s="159"/>
      <c r="I69" s="7">
        <f t="shared" si="3"/>
        <v>0</v>
      </c>
    </row>
    <row r="70" spans="1:9" ht="15.75" x14ac:dyDescent="0.25">
      <c r="A70" s="23">
        <v>402</v>
      </c>
      <c r="B70" s="6" t="str">
        <f>CADASTROS!$C$48</f>
        <v>Naiara Mª de Oliveira</v>
      </c>
      <c r="C70" s="159">
        <v>9.5</v>
      </c>
      <c r="D70" s="159">
        <v>16</v>
      </c>
      <c r="E70" s="159">
        <v>20</v>
      </c>
      <c r="F70" s="159"/>
      <c r="G70" s="159">
        <v>18.5</v>
      </c>
      <c r="H70" s="159"/>
      <c r="I70" s="7">
        <f t="shared" si="3"/>
        <v>64</v>
      </c>
    </row>
    <row r="71" spans="1:9" ht="15.75" x14ac:dyDescent="0.25">
      <c r="A71" s="23">
        <v>403</v>
      </c>
      <c r="B71" s="6" t="str">
        <f>CADASTROS!$C$49</f>
        <v>Roseli Souza Braga</v>
      </c>
      <c r="C71" s="159"/>
      <c r="D71" s="159"/>
      <c r="E71" s="159"/>
      <c r="F71" s="159"/>
      <c r="G71" s="159"/>
      <c r="H71" s="159"/>
      <c r="I71" s="7">
        <f t="shared" si="3"/>
        <v>0</v>
      </c>
    </row>
    <row r="72" spans="1:9" ht="15.75" x14ac:dyDescent="0.25">
      <c r="A72" s="23">
        <v>404</v>
      </c>
      <c r="B72" s="6" t="str">
        <f>CADASTROS!$C$50</f>
        <v>Jeicion Almeida de Miranda</v>
      </c>
      <c r="C72" s="159"/>
      <c r="D72" s="159"/>
      <c r="E72" s="159"/>
      <c r="F72" s="159"/>
      <c r="G72" s="159"/>
      <c r="H72" s="159"/>
      <c r="I72" s="7">
        <f t="shared" si="3"/>
        <v>0</v>
      </c>
    </row>
    <row r="73" spans="1:9" ht="15.75" x14ac:dyDescent="0.25">
      <c r="A73" s="23">
        <v>405</v>
      </c>
      <c r="B73" s="6" t="str">
        <f>CADASTROS!$C$51</f>
        <v>Luciana Rodrigues Santos</v>
      </c>
      <c r="C73" s="159"/>
      <c r="D73" s="159"/>
      <c r="E73" s="159"/>
      <c r="F73" s="159"/>
      <c r="G73" s="159"/>
      <c r="H73" s="159"/>
      <c r="I73" s="7">
        <f t="shared" si="3"/>
        <v>0</v>
      </c>
    </row>
    <row r="74" spans="1:9" ht="15.75" x14ac:dyDescent="0.25">
      <c r="A74" s="23">
        <v>406</v>
      </c>
      <c r="B74" s="6" t="str">
        <f>CADASTROS!$C$52</f>
        <v>Anatilde Saturniz de Souza</v>
      </c>
      <c r="C74" s="159"/>
      <c r="D74" s="159"/>
      <c r="E74" s="159"/>
      <c r="F74" s="159"/>
      <c r="G74" s="159"/>
      <c r="H74" s="159"/>
      <c r="I74" s="7">
        <f t="shared" si="3"/>
        <v>0</v>
      </c>
    </row>
    <row r="75" spans="1:9" ht="15.75" x14ac:dyDescent="0.25">
      <c r="A75" s="23">
        <v>407</v>
      </c>
      <c r="B75" s="6" t="str">
        <f>CADASTROS!$C$53</f>
        <v>Maria Nilza Alves Maciel</v>
      </c>
      <c r="C75" s="159"/>
      <c r="D75" s="159"/>
      <c r="E75" s="159"/>
      <c r="F75" s="159"/>
      <c r="G75" s="159"/>
      <c r="H75" s="159"/>
      <c r="I75" s="7">
        <f t="shared" si="3"/>
        <v>0</v>
      </c>
    </row>
    <row r="76" spans="1:9" ht="15.75" x14ac:dyDescent="0.25">
      <c r="A76" s="23">
        <v>408</v>
      </c>
      <c r="B76" s="6" t="str">
        <f>CADASTROS!$C$54</f>
        <v>Angela Mª Pereira dos Anjos</v>
      </c>
      <c r="C76" s="159"/>
      <c r="D76" s="159"/>
      <c r="E76" s="159"/>
      <c r="F76" s="159"/>
      <c r="G76" s="159"/>
      <c r="H76" s="159"/>
      <c r="I76" s="7">
        <f t="shared" si="3"/>
        <v>0</v>
      </c>
    </row>
    <row r="77" spans="1:9" ht="15.75" x14ac:dyDescent="0.25">
      <c r="B77" s="159" t="s">
        <v>4829</v>
      </c>
      <c r="C77" s="159">
        <f>SUM(C50:C76)</f>
        <v>24.5</v>
      </c>
      <c r="D77" s="159">
        <f t="shared" ref="D77" si="4">SUM(D50:D76)</f>
        <v>41</v>
      </c>
      <c r="E77" s="159">
        <f t="shared" ref="E77" si="5">SUM(E50:E76)</f>
        <v>43</v>
      </c>
      <c r="F77" s="159">
        <f t="shared" ref="F77" si="6">SUM(F50:F76)</f>
        <v>0</v>
      </c>
      <c r="G77" s="159">
        <f t="shared" ref="G77" si="7">SUM(G50:G76)</f>
        <v>18.5</v>
      </c>
      <c r="H77" s="159">
        <f t="shared" ref="H77" si="8">SUM(H50:H76)</f>
        <v>0</v>
      </c>
      <c r="I77" s="159">
        <f>SUM(I50:I76)</f>
        <v>127</v>
      </c>
    </row>
    <row r="79" spans="1:9" ht="15.75" x14ac:dyDescent="0.25">
      <c r="B79" s="8" t="s">
        <v>4830</v>
      </c>
      <c r="C79" s="159"/>
      <c r="D79" s="159"/>
      <c r="E79" s="159"/>
      <c r="F79" s="159"/>
      <c r="G79" s="159"/>
      <c r="H79" s="159"/>
      <c r="I79" s="159">
        <f>SUM(C79:H79)</f>
        <v>0</v>
      </c>
    </row>
    <row r="80" spans="1:9" x14ac:dyDescent="0.25">
      <c r="B80" s="167"/>
    </row>
    <row r="81" spans="1:9" ht="15.75" x14ac:dyDescent="0.25">
      <c r="B81" s="8" t="s">
        <v>4831</v>
      </c>
      <c r="C81" s="9" t="e">
        <f>C77/C79</f>
        <v>#DIV/0!</v>
      </c>
      <c r="D81" s="9" t="e">
        <f t="shared" ref="D81:H81" si="9">D77/D79</f>
        <v>#DIV/0!</v>
      </c>
      <c r="E81" s="9" t="e">
        <f t="shared" si="9"/>
        <v>#DIV/0!</v>
      </c>
      <c r="F81" s="9" t="e">
        <f t="shared" si="9"/>
        <v>#DIV/0!</v>
      </c>
      <c r="G81" s="9" t="e">
        <f t="shared" si="9"/>
        <v>#DIV/0!</v>
      </c>
      <c r="H81" s="9" t="e">
        <f t="shared" si="9"/>
        <v>#DIV/0!</v>
      </c>
      <c r="I81" s="9"/>
    </row>
    <row r="82" spans="1:9" ht="15.75" x14ac:dyDescent="0.25">
      <c r="B82" s="163"/>
      <c r="C82" s="10"/>
      <c r="D82" s="10"/>
      <c r="E82" s="10"/>
      <c r="F82" s="10"/>
      <c r="G82" s="10"/>
      <c r="H82" s="163"/>
      <c r="I82" s="163"/>
    </row>
    <row r="83" spans="1:9" ht="15.75" x14ac:dyDescent="0.25">
      <c r="B83" s="8" t="s">
        <v>4832</v>
      </c>
      <c r="C83" s="159"/>
      <c r="D83" s="159"/>
      <c r="E83" s="6"/>
      <c r="F83" s="6"/>
      <c r="G83" s="6"/>
      <c r="H83" s="6"/>
      <c r="I83" s="11"/>
    </row>
    <row r="84" spans="1:9" ht="15.75" x14ac:dyDescent="0.25">
      <c r="B84" s="28"/>
      <c r="C84" s="28"/>
      <c r="D84" s="28"/>
      <c r="E84" s="11"/>
      <c r="F84" s="11"/>
      <c r="G84" s="11"/>
      <c r="H84" s="11"/>
      <c r="I84" s="11"/>
    </row>
    <row r="85" spans="1:9" ht="21" x14ac:dyDescent="0.35">
      <c r="B85" s="184" t="s">
        <v>4816</v>
      </c>
      <c r="C85" s="185"/>
      <c r="D85" s="185"/>
      <c r="E85" s="185"/>
      <c r="F85" s="185"/>
      <c r="G85" s="185"/>
      <c r="H85" s="185"/>
      <c r="I85" s="186"/>
    </row>
    <row r="86" spans="1:9" ht="6.75" customHeight="1" x14ac:dyDescent="0.25">
      <c r="I86" s="3"/>
    </row>
    <row r="87" spans="1:9" ht="21" x14ac:dyDescent="0.35">
      <c r="B87" s="192" t="s">
        <v>4817</v>
      </c>
      <c r="C87" s="193"/>
      <c r="D87" s="193"/>
      <c r="E87" s="193"/>
      <c r="F87" s="193"/>
      <c r="G87" s="193"/>
      <c r="H87" s="193"/>
      <c r="I87" s="194"/>
    </row>
    <row r="88" spans="1:9" ht="15" customHeight="1" x14ac:dyDescent="0.25"/>
    <row r="89" spans="1:9" ht="37.15" customHeight="1" x14ac:dyDescent="0.25">
      <c r="B89" s="187" t="s">
        <v>4818</v>
      </c>
      <c r="C89" s="188"/>
      <c r="D89" s="188"/>
      <c r="E89" s="188"/>
      <c r="F89" s="188"/>
      <c r="G89" s="188"/>
      <c r="H89" s="188"/>
      <c r="I89" s="189"/>
    </row>
    <row r="90" spans="1:9" ht="30" customHeight="1" x14ac:dyDescent="0.25">
      <c r="A90" s="182" t="s">
        <v>4819</v>
      </c>
      <c r="B90" s="155" t="s">
        <v>4820</v>
      </c>
      <c r="C90" s="4" t="s">
        <v>4821</v>
      </c>
      <c r="D90" s="4" t="s">
        <v>4822</v>
      </c>
      <c r="E90" s="88" t="s">
        <v>4823</v>
      </c>
      <c r="F90" s="88" t="s">
        <v>4824</v>
      </c>
      <c r="G90" s="88" t="s">
        <v>4825</v>
      </c>
      <c r="H90" s="4" t="s">
        <v>4826</v>
      </c>
      <c r="I90" s="29" t="s">
        <v>4827</v>
      </c>
    </row>
    <row r="91" spans="1:9" ht="36" customHeight="1" x14ac:dyDescent="0.25">
      <c r="A91" s="183"/>
      <c r="B91" s="156"/>
      <c r="C91" s="13" t="s">
        <v>4828</v>
      </c>
      <c r="D91" s="13" t="s">
        <v>4828</v>
      </c>
      <c r="E91" s="13" t="s">
        <v>4828</v>
      </c>
      <c r="F91" s="13" t="s">
        <v>4828</v>
      </c>
      <c r="G91" s="13" t="s">
        <v>4828</v>
      </c>
      <c r="H91" s="13" t="s">
        <v>4828</v>
      </c>
      <c r="I91" s="30"/>
    </row>
    <row r="92" spans="1:9" ht="15.75" x14ac:dyDescent="0.25">
      <c r="A92" s="23">
        <v>409</v>
      </c>
      <c r="B92" s="6" t="str">
        <f>CADASTROS!$C$55</f>
        <v>Cristiane Sousa Santos</v>
      </c>
      <c r="C92" s="159"/>
      <c r="D92" s="159"/>
      <c r="E92" s="159"/>
      <c r="F92" s="159"/>
      <c r="G92" s="159"/>
      <c r="H92" s="159"/>
      <c r="I92" s="7">
        <f>SUM(C92+D92+E92+F92+G92+H92)</f>
        <v>0</v>
      </c>
    </row>
    <row r="93" spans="1:9" ht="15.75" x14ac:dyDescent="0.25">
      <c r="A93" s="23">
        <v>410</v>
      </c>
      <c r="B93" s="6" t="str">
        <f>CADASTROS!$C$56</f>
        <v>Paulo de Oliveira</v>
      </c>
      <c r="C93" s="159"/>
      <c r="D93" s="159"/>
      <c r="E93" s="159"/>
      <c r="F93" s="159"/>
      <c r="G93" s="159"/>
      <c r="H93" s="159"/>
      <c r="I93" s="7">
        <f t="shared" ref="I93:I118" si="10">SUM(C93+D93+E93+F93+G93+H93)</f>
        <v>0</v>
      </c>
    </row>
    <row r="94" spans="1:9" ht="15.75" x14ac:dyDescent="0.25">
      <c r="A94" s="23">
        <v>411</v>
      </c>
      <c r="B94" s="6" t="str">
        <f>CADASTROS!$C$57</f>
        <v>Domingos Marques Borges</v>
      </c>
      <c r="C94" s="159"/>
      <c r="D94" s="159"/>
      <c r="E94" s="159"/>
      <c r="F94" s="159"/>
      <c r="G94" s="159"/>
      <c r="H94" s="159"/>
      <c r="I94" s="7">
        <f t="shared" si="10"/>
        <v>0</v>
      </c>
    </row>
    <row r="95" spans="1:9" ht="15.75" x14ac:dyDescent="0.25">
      <c r="A95" s="23">
        <v>412</v>
      </c>
      <c r="B95" s="6" t="str">
        <f>CADASTROS!$C$58</f>
        <v>Evanilza Miranda Araújo</v>
      </c>
      <c r="C95" s="159"/>
      <c r="D95" s="159"/>
      <c r="E95" s="159"/>
      <c r="F95" s="159"/>
      <c r="G95" s="159"/>
      <c r="H95" s="159"/>
      <c r="I95" s="7">
        <f t="shared" si="10"/>
        <v>0</v>
      </c>
    </row>
    <row r="96" spans="1:9" ht="15.75" x14ac:dyDescent="0.25">
      <c r="A96" s="23">
        <v>413</v>
      </c>
      <c r="B96" s="6" t="str">
        <f>CADASTROS!$C$59</f>
        <v>Adelcione Cruz Damasceno</v>
      </c>
      <c r="C96" s="159"/>
      <c r="D96" s="159"/>
      <c r="E96" s="159"/>
      <c r="F96" s="159"/>
      <c r="G96" s="159"/>
      <c r="H96" s="159"/>
      <c r="I96" s="7">
        <f t="shared" si="10"/>
        <v>0</v>
      </c>
    </row>
    <row r="97" spans="1:9" ht="15.75" x14ac:dyDescent="0.25">
      <c r="A97" s="23">
        <v>414</v>
      </c>
      <c r="B97" s="6" t="str">
        <f>CADASTROS!$C$60</f>
        <v>Sandra Santos Gabriel</v>
      </c>
      <c r="C97" s="159"/>
      <c r="D97" s="159"/>
      <c r="E97" s="159"/>
      <c r="F97" s="159"/>
      <c r="G97" s="159"/>
      <c r="H97" s="159"/>
      <c r="I97" s="7">
        <f t="shared" si="10"/>
        <v>0</v>
      </c>
    </row>
    <row r="98" spans="1:9" ht="15.75" x14ac:dyDescent="0.25">
      <c r="A98" s="23">
        <v>415</v>
      </c>
      <c r="B98" s="6" t="str">
        <f>CADASTROS!$C$61</f>
        <v>Delmiro Silva de Oliveira</v>
      </c>
      <c r="C98" s="159"/>
      <c r="D98" s="159"/>
      <c r="E98" s="159"/>
      <c r="F98" s="159"/>
      <c r="G98" s="159"/>
      <c r="H98" s="159"/>
      <c r="I98" s="7">
        <f t="shared" si="10"/>
        <v>0</v>
      </c>
    </row>
    <row r="99" spans="1:9" ht="15.75" x14ac:dyDescent="0.25">
      <c r="A99" s="23">
        <v>416</v>
      </c>
      <c r="B99" s="6" t="e">
        <f>CADASTROS!#REF!</f>
        <v>#REF!</v>
      </c>
      <c r="C99" s="159"/>
      <c r="D99" s="159"/>
      <c r="E99" s="159"/>
      <c r="F99" s="159"/>
      <c r="G99" s="159"/>
      <c r="H99" s="159"/>
      <c r="I99" s="7">
        <f t="shared" si="10"/>
        <v>0</v>
      </c>
    </row>
    <row r="100" spans="1:9" ht="15.75" x14ac:dyDescent="0.25">
      <c r="A100" s="23">
        <v>417</v>
      </c>
      <c r="B100" s="6" t="str">
        <f>CADASTROS!$C$62</f>
        <v>Geane Barauna de Oliveira</v>
      </c>
      <c r="C100" s="159"/>
      <c r="D100" s="159"/>
      <c r="E100" s="159"/>
      <c r="F100" s="159"/>
      <c r="G100" s="159"/>
      <c r="H100" s="159"/>
      <c r="I100" s="7">
        <f t="shared" si="10"/>
        <v>0</v>
      </c>
    </row>
    <row r="101" spans="1:9" ht="15.75" x14ac:dyDescent="0.25">
      <c r="A101" s="23">
        <v>423</v>
      </c>
      <c r="B101" s="6" t="str">
        <f>CADASTROS!$C$63</f>
        <v>Tássio Oliveira Pires</v>
      </c>
      <c r="C101" s="159"/>
      <c r="D101" s="159"/>
      <c r="E101" s="159"/>
      <c r="F101" s="159"/>
      <c r="G101" s="159"/>
      <c r="H101" s="159"/>
      <c r="I101" s="7">
        <f t="shared" si="10"/>
        <v>0</v>
      </c>
    </row>
    <row r="102" spans="1:9" ht="15.75" x14ac:dyDescent="0.25">
      <c r="A102" s="23">
        <v>424</v>
      </c>
      <c r="B102" s="6" t="str">
        <f>CADASTROS!$C$64</f>
        <v>Mª da Paz G dos Santos Silva</v>
      </c>
      <c r="C102" s="159"/>
      <c r="D102" s="159"/>
      <c r="E102" s="159"/>
      <c r="F102" s="159"/>
      <c r="G102" s="159"/>
      <c r="H102" s="159"/>
      <c r="I102" s="7">
        <f t="shared" si="10"/>
        <v>0</v>
      </c>
    </row>
    <row r="103" spans="1:9" ht="15.75" x14ac:dyDescent="0.25">
      <c r="A103" s="23">
        <v>425</v>
      </c>
      <c r="B103" s="6" t="str">
        <f>CADASTROS!$C$65</f>
        <v>Jarmiro Rodrigues Dias</v>
      </c>
      <c r="C103" s="159"/>
      <c r="D103" s="159"/>
      <c r="E103" s="159"/>
      <c r="F103" s="159"/>
      <c r="G103" s="159"/>
      <c r="H103" s="159"/>
      <c r="I103" s="7">
        <f t="shared" si="10"/>
        <v>0</v>
      </c>
    </row>
    <row r="104" spans="1:9" ht="15.75" x14ac:dyDescent="0.25">
      <c r="A104" s="23">
        <v>426</v>
      </c>
      <c r="B104" s="6" t="str">
        <f>CADASTROS!$C$66</f>
        <v>Valéria Martins Santos</v>
      </c>
      <c r="C104" s="159"/>
      <c r="D104" s="159"/>
      <c r="E104" s="159"/>
      <c r="F104" s="159"/>
      <c r="G104" s="159"/>
      <c r="H104" s="159"/>
      <c r="I104" s="7">
        <f t="shared" si="10"/>
        <v>0</v>
      </c>
    </row>
    <row r="105" spans="1:9" ht="15.75" x14ac:dyDescent="0.25">
      <c r="A105" s="23">
        <v>427</v>
      </c>
      <c r="B105" s="6" t="str">
        <f>CADASTROS!$C$67</f>
        <v>Mª da Paixão M de Oliveira</v>
      </c>
      <c r="C105" s="159"/>
      <c r="D105" s="159"/>
      <c r="E105" s="159"/>
      <c r="F105" s="159"/>
      <c r="G105" s="159"/>
      <c r="H105" s="159"/>
      <c r="I105" s="7">
        <f t="shared" si="10"/>
        <v>0</v>
      </c>
    </row>
    <row r="106" spans="1:9" ht="15.75" x14ac:dyDescent="0.25">
      <c r="A106" s="23">
        <v>428</v>
      </c>
      <c r="B106" s="6" t="str">
        <f>CADASTROS!$C$68</f>
        <v>Graziele Jesus Santos</v>
      </c>
      <c r="C106" s="159"/>
      <c r="D106" s="159"/>
      <c r="E106" s="159"/>
      <c r="F106" s="159"/>
      <c r="G106" s="159"/>
      <c r="H106" s="159"/>
      <c r="I106" s="7">
        <f t="shared" si="10"/>
        <v>0</v>
      </c>
    </row>
    <row r="107" spans="1:9" ht="15.75" x14ac:dyDescent="0.25">
      <c r="A107" s="23">
        <v>429</v>
      </c>
      <c r="B107" s="6" t="str">
        <f>CADASTROS!$C$69</f>
        <v>Maycon Santos de Freitas</v>
      </c>
      <c r="C107" s="159"/>
      <c r="D107" s="159"/>
      <c r="E107" s="159"/>
      <c r="F107" s="159"/>
      <c r="G107" s="159"/>
      <c r="H107" s="159"/>
      <c r="I107" s="7">
        <f t="shared" si="10"/>
        <v>0</v>
      </c>
    </row>
    <row r="108" spans="1:9" ht="15.75" x14ac:dyDescent="0.25">
      <c r="A108" s="23">
        <v>430</v>
      </c>
      <c r="B108" s="6" t="str">
        <f>CADASTROS!$C$70</f>
        <v>Cirlene Cruz Santos</v>
      </c>
      <c r="C108" s="159"/>
      <c r="D108" s="159"/>
      <c r="E108" s="159"/>
      <c r="F108" s="159"/>
      <c r="G108" s="159"/>
      <c r="H108" s="159"/>
      <c r="I108" s="7">
        <f t="shared" si="10"/>
        <v>0</v>
      </c>
    </row>
    <row r="109" spans="1:9" ht="15.75" x14ac:dyDescent="0.25">
      <c r="A109" s="23">
        <v>431</v>
      </c>
      <c r="B109" s="6">
        <f>CADASTROS!$C$71</f>
        <v>0</v>
      </c>
      <c r="C109" s="159">
        <v>17</v>
      </c>
      <c r="D109" s="159">
        <v>22.5</v>
      </c>
      <c r="E109" s="159">
        <v>18</v>
      </c>
      <c r="F109" s="159">
        <v>11</v>
      </c>
      <c r="G109" s="159"/>
      <c r="H109" s="159"/>
      <c r="I109" s="7">
        <f t="shared" si="10"/>
        <v>68.5</v>
      </c>
    </row>
    <row r="110" spans="1:9" ht="15.75" x14ac:dyDescent="0.25">
      <c r="A110" s="23">
        <v>446</v>
      </c>
      <c r="B110" s="6" t="str">
        <f>CADASTROS!$C$72</f>
        <v>Sebastião Quirino dos Anjos</v>
      </c>
      <c r="C110" s="159"/>
      <c r="D110" s="159"/>
      <c r="E110" s="159"/>
      <c r="F110" s="159"/>
      <c r="G110" s="159"/>
      <c r="H110" s="159"/>
      <c r="I110" s="7">
        <f t="shared" si="10"/>
        <v>0</v>
      </c>
    </row>
    <row r="111" spans="1:9" ht="15.75" x14ac:dyDescent="0.25">
      <c r="A111" s="23"/>
      <c r="B111" s="6" t="str">
        <f>CADASTROS!$C$73</f>
        <v>Juareis Rosa Pires</v>
      </c>
      <c r="C111" s="159"/>
      <c r="D111" s="159"/>
      <c r="E111" s="159"/>
      <c r="F111" s="159"/>
      <c r="G111" s="159"/>
      <c r="H111" s="159"/>
      <c r="I111" s="7">
        <f t="shared" si="10"/>
        <v>0</v>
      </c>
    </row>
    <row r="112" spans="1:9" ht="15.75" x14ac:dyDescent="0.25">
      <c r="A112" s="23">
        <v>447</v>
      </c>
      <c r="B112" s="6" t="str">
        <f>CADASTROS!$C$74</f>
        <v>Livia Silva dos Anjos</v>
      </c>
      <c r="C112" s="159"/>
      <c r="D112" s="159"/>
      <c r="E112" s="159"/>
      <c r="F112" s="159"/>
      <c r="G112" s="159"/>
      <c r="H112" s="159"/>
      <c r="I112" s="7">
        <f t="shared" si="10"/>
        <v>0</v>
      </c>
    </row>
    <row r="113" spans="1:9" ht="15.75" x14ac:dyDescent="0.25">
      <c r="A113" s="23"/>
      <c r="B113" s="6" t="str">
        <f>CADASTROS!$C$75</f>
        <v>Francisco Gomes</v>
      </c>
      <c r="C113" s="159"/>
      <c r="D113" s="159"/>
      <c r="E113" s="159"/>
      <c r="F113" s="159"/>
      <c r="G113" s="159"/>
      <c r="H113" s="159"/>
      <c r="I113" s="7">
        <f t="shared" si="10"/>
        <v>0</v>
      </c>
    </row>
    <row r="114" spans="1:9" ht="15.75" x14ac:dyDescent="0.25">
      <c r="A114" s="23"/>
      <c r="B114" s="6" t="str">
        <f>CADASTROS!$C$76</f>
        <v>José Deodato Ferreira</v>
      </c>
      <c r="C114" s="159"/>
      <c r="D114" s="159"/>
      <c r="E114" s="159"/>
      <c r="F114" s="159"/>
      <c r="G114" s="159"/>
      <c r="H114" s="159"/>
      <c r="I114" s="7">
        <f t="shared" si="10"/>
        <v>0</v>
      </c>
    </row>
    <row r="115" spans="1:9" ht="15.75" x14ac:dyDescent="0.25">
      <c r="A115" s="23"/>
      <c r="B115" s="6" t="str">
        <f>CADASTROS!$C$77</f>
        <v>Eliene Sousa dos Santos</v>
      </c>
      <c r="C115" s="159"/>
      <c r="D115" s="159"/>
      <c r="E115" s="159"/>
      <c r="F115" s="159"/>
      <c r="G115" s="159"/>
      <c r="H115" s="159"/>
      <c r="I115" s="7">
        <f t="shared" si="10"/>
        <v>0</v>
      </c>
    </row>
    <row r="116" spans="1:9" ht="15.75" x14ac:dyDescent="0.25">
      <c r="A116" s="23">
        <v>449</v>
      </c>
      <c r="B116" s="6" t="str">
        <f>CADASTROS!$C$78</f>
        <v>Anízio Pereira Neto</v>
      </c>
      <c r="C116" s="159"/>
      <c r="D116" s="159"/>
      <c r="E116" s="159"/>
      <c r="F116" s="159"/>
      <c r="G116" s="159"/>
      <c r="H116" s="159"/>
      <c r="I116" s="7">
        <f t="shared" si="10"/>
        <v>0</v>
      </c>
    </row>
    <row r="117" spans="1:9" ht="15.75" x14ac:dyDescent="0.25">
      <c r="A117" s="23"/>
      <c r="B117" s="6" t="e">
        <f>CADASTROS!#REF!</f>
        <v>#REF!</v>
      </c>
      <c r="C117" s="159"/>
      <c r="D117" s="159"/>
      <c r="E117" s="159"/>
      <c r="F117" s="159"/>
      <c r="G117" s="159"/>
      <c r="H117" s="159"/>
      <c r="I117" s="7">
        <f t="shared" si="10"/>
        <v>0</v>
      </c>
    </row>
    <row r="118" spans="1:9" ht="15.75" x14ac:dyDescent="0.25">
      <c r="A118" s="23">
        <v>451</v>
      </c>
      <c r="B118" s="6" t="str">
        <f>CADASTROS!$C$79</f>
        <v>Edna Brito Paixão de Sousa</v>
      </c>
      <c r="C118" s="159"/>
      <c r="D118" s="159"/>
      <c r="E118" s="159"/>
      <c r="F118" s="159"/>
      <c r="G118" s="159"/>
      <c r="H118" s="159"/>
      <c r="I118" s="7">
        <f t="shared" si="10"/>
        <v>0</v>
      </c>
    </row>
    <row r="119" spans="1:9" ht="15.75" x14ac:dyDescent="0.25">
      <c r="B119" s="159" t="s">
        <v>4829</v>
      </c>
      <c r="C119" s="159">
        <f>SUM(C92:C118)</f>
        <v>17</v>
      </c>
      <c r="D119" s="159">
        <f t="shared" ref="D119" si="11">SUM(D92:D118)</f>
        <v>22.5</v>
      </c>
      <c r="E119" s="159">
        <f t="shared" ref="E119" si="12">SUM(E92:E118)</f>
        <v>18</v>
      </c>
      <c r="F119" s="159">
        <f t="shared" ref="F119" si="13">SUM(F92:F118)</f>
        <v>11</v>
      </c>
      <c r="G119" s="159">
        <f t="shared" ref="G119" si="14">SUM(G92:G118)</f>
        <v>0</v>
      </c>
      <c r="H119" s="159">
        <f t="shared" ref="H119" si="15">SUM(H92:H118)</f>
        <v>0</v>
      </c>
      <c r="I119" s="159">
        <f>SUM(I92:I118)</f>
        <v>68.5</v>
      </c>
    </row>
    <row r="120" spans="1:9" ht="14.65" customHeight="1" x14ac:dyDescent="0.25"/>
    <row r="121" spans="1:9" ht="15.75" x14ac:dyDescent="0.25">
      <c r="B121" s="8" t="s">
        <v>4830</v>
      </c>
      <c r="C121" s="159"/>
      <c r="D121" s="159"/>
      <c r="E121" s="159"/>
      <c r="F121" s="159"/>
      <c r="G121" s="159"/>
      <c r="H121" s="159"/>
      <c r="I121" s="159">
        <f>SUM(C121:H121)</f>
        <v>0</v>
      </c>
    </row>
    <row r="122" spans="1:9" x14ac:dyDescent="0.25">
      <c r="B122" s="167"/>
    </row>
    <row r="123" spans="1:9" ht="15.75" x14ac:dyDescent="0.25">
      <c r="B123" s="8" t="s">
        <v>4831</v>
      </c>
      <c r="C123" s="9" t="e">
        <f>C119/C121</f>
        <v>#DIV/0!</v>
      </c>
      <c r="D123" s="9" t="e">
        <f t="shared" ref="D123:H123" si="16">D119/D121</f>
        <v>#DIV/0!</v>
      </c>
      <c r="E123" s="9" t="e">
        <f t="shared" si="16"/>
        <v>#DIV/0!</v>
      </c>
      <c r="F123" s="9" t="e">
        <f t="shared" si="16"/>
        <v>#DIV/0!</v>
      </c>
      <c r="G123" s="9" t="e">
        <f t="shared" si="16"/>
        <v>#DIV/0!</v>
      </c>
      <c r="H123" s="9" t="e">
        <f t="shared" si="16"/>
        <v>#DIV/0!</v>
      </c>
      <c r="I123" s="9"/>
    </row>
    <row r="124" spans="1:9" ht="15.75" x14ac:dyDescent="0.25">
      <c r="B124" s="163"/>
      <c r="C124" s="10"/>
      <c r="D124" s="10"/>
      <c r="E124" s="10"/>
      <c r="F124" s="10"/>
      <c r="G124" s="10"/>
      <c r="H124" s="163"/>
      <c r="I124" s="163"/>
    </row>
    <row r="125" spans="1:9" ht="15.75" x14ac:dyDescent="0.25">
      <c r="B125" s="8" t="s">
        <v>4832</v>
      </c>
      <c r="C125" s="159"/>
      <c r="D125" s="159"/>
      <c r="E125" s="6"/>
      <c r="F125" s="6"/>
      <c r="G125" s="6"/>
      <c r="H125" s="6"/>
      <c r="I125" s="11"/>
    </row>
    <row r="126" spans="1:9" ht="15.75" x14ac:dyDescent="0.25">
      <c r="B126" s="28"/>
      <c r="C126" s="28"/>
      <c r="D126" s="28"/>
      <c r="E126" s="11"/>
      <c r="F126" s="11"/>
      <c r="G126" s="11"/>
      <c r="H126" s="11"/>
      <c r="I126" s="11"/>
    </row>
    <row r="127" spans="1:9" ht="21" x14ac:dyDescent="0.35">
      <c r="B127" s="184" t="s">
        <v>4816</v>
      </c>
      <c r="C127" s="185"/>
      <c r="D127" s="185"/>
      <c r="E127" s="185"/>
      <c r="F127" s="185"/>
      <c r="G127" s="185"/>
      <c r="H127" s="185"/>
      <c r="I127" s="186"/>
    </row>
    <row r="128" spans="1:9" ht="6" customHeight="1" x14ac:dyDescent="0.25">
      <c r="I128" s="3"/>
    </row>
    <row r="129" spans="1:9" ht="21" x14ac:dyDescent="0.35">
      <c r="B129" s="192" t="s">
        <v>4817</v>
      </c>
      <c r="C129" s="193"/>
      <c r="D129" s="193"/>
      <c r="E129" s="193"/>
      <c r="F129" s="193"/>
      <c r="G129" s="193"/>
      <c r="H129" s="193"/>
      <c r="I129" s="194"/>
    </row>
    <row r="130" spans="1:9" ht="13.5" customHeight="1" x14ac:dyDescent="0.25"/>
    <row r="131" spans="1:9" ht="37.15" customHeight="1" x14ac:dyDescent="0.25">
      <c r="B131" s="187" t="s">
        <v>4818</v>
      </c>
      <c r="C131" s="188"/>
      <c r="D131" s="188"/>
      <c r="E131" s="188"/>
      <c r="F131" s="188"/>
      <c r="G131" s="188"/>
      <c r="H131" s="188"/>
      <c r="I131" s="189"/>
    </row>
    <row r="132" spans="1:9" ht="30" customHeight="1" x14ac:dyDescent="0.25">
      <c r="A132" s="182" t="s">
        <v>4819</v>
      </c>
      <c r="B132" s="155" t="s">
        <v>4820</v>
      </c>
      <c r="C132" s="4" t="s">
        <v>4821</v>
      </c>
      <c r="D132" s="4" t="s">
        <v>4822</v>
      </c>
      <c r="E132" s="88" t="s">
        <v>4823</v>
      </c>
      <c r="F132" s="88" t="s">
        <v>4824</v>
      </c>
      <c r="G132" s="88" t="s">
        <v>4825</v>
      </c>
      <c r="H132" s="4" t="s">
        <v>4826</v>
      </c>
      <c r="I132" s="29" t="s">
        <v>4827</v>
      </c>
    </row>
    <row r="133" spans="1:9" ht="36" customHeight="1" x14ac:dyDescent="0.25">
      <c r="A133" s="183"/>
      <c r="B133" s="156"/>
      <c r="C133" s="13" t="s">
        <v>4828</v>
      </c>
      <c r="D133" s="13" t="s">
        <v>4828</v>
      </c>
      <c r="E133" s="13" t="s">
        <v>4828</v>
      </c>
      <c r="F133" s="13" t="s">
        <v>4828</v>
      </c>
      <c r="G133" s="13" t="s">
        <v>4828</v>
      </c>
      <c r="H133" s="13" t="s">
        <v>4828</v>
      </c>
      <c r="I133" s="30"/>
    </row>
    <row r="134" spans="1:9" ht="15" customHeight="1" x14ac:dyDescent="0.25">
      <c r="A134" s="23">
        <v>458</v>
      </c>
      <c r="B134" s="6" t="str">
        <f>CADASTROS!$C$80</f>
        <v>José Eduardo Sousa</v>
      </c>
      <c r="C134" s="159"/>
      <c r="D134" s="159"/>
      <c r="E134" s="159"/>
      <c r="F134" s="159"/>
      <c r="G134" s="159"/>
      <c r="H134" s="159"/>
      <c r="I134" s="7">
        <f>SUM(C134+D134+E134+F134+G134+H134)</f>
        <v>0</v>
      </c>
    </row>
    <row r="135" spans="1:9" ht="15" customHeight="1" x14ac:dyDescent="0.25">
      <c r="A135" s="23">
        <v>478</v>
      </c>
      <c r="B135" s="6" t="str">
        <f>CADASTROS!$C$81</f>
        <v>Isamara Oliveira S Santos</v>
      </c>
      <c r="C135" s="159"/>
      <c r="D135" s="159"/>
      <c r="E135" s="159"/>
      <c r="F135" s="159"/>
      <c r="G135" s="159"/>
      <c r="H135" s="159"/>
      <c r="I135" s="7">
        <f t="shared" ref="I135:I160" si="17">SUM(C135+D135+E135+F135+G135+H135)</f>
        <v>0</v>
      </c>
    </row>
    <row r="136" spans="1:9" ht="15.75" x14ac:dyDescent="0.25">
      <c r="A136" s="23">
        <v>479</v>
      </c>
      <c r="B136" s="6" t="str">
        <f>CADASTROS!$C$82</f>
        <v>Sirlene Rosa dos Santos</v>
      </c>
      <c r="C136" s="159"/>
      <c r="D136" s="159"/>
      <c r="E136" s="159"/>
      <c r="F136" s="159"/>
      <c r="G136" s="159"/>
      <c r="H136" s="159"/>
      <c r="I136" s="7">
        <f t="shared" si="17"/>
        <v>0</v>
      </c>
    </row>
    <row r="137" spans="1:9" ht="15.75" x14ac:dyDescent="0.25">
      <c r="A137" s="23">
        <v>480</v>
      </c>
      <c r="B137" s="6" t="str">
        <f>CADASTROS!$C$83</f>
        <v>Esmeralda Martins da Silva</v>
      </c>
      <c r="C137" s="159"/>
      <c r="D137" s="159"/>
      <c r="E137" s="159"/>
      <c r="F137" s="159"/>
      <c r="G137" s="159"/>
      <c r="H137" s="159"/>
      <c r="I137" s="7">
        <f t="shared" si="17"/>
        <v>0</v>
      </c>
    </row>
    <row r="138" spans="1:9" ht="15.75" x14ac:dyDescent="0.25">
      <c r="A138" s="23">
        <v>481</v>
      </c>
      <c r="B138" s="6" t="str">
        <f>CADASTROS!$C$84</f>
        <v>Jailzan Mª de Oliveira</v>
      </c>
      <c r="C138" s="159"/>
      <c r="D138" s="159"/>
      <c r="E138" s="159"/>
      <c r="F138" s="159"/>
      <c r="G138" s="159"/>
      <c r="H138" s="159"/>
      <c r="I138" s="7">
        <f t="shared" si="17"/>
        <v>0</v>
      </c>
    </row>
    <row r="139" spans="1:9" ht="15.75" x14ac:dyDescent="0.25">
      <c r="A139" s="23">
        <v>482</v>
      </c>
      <c r="B139" s="6" t="str">
        <f>CADASTROS!$C$85</f>
        <v>Janicleide Alves de Brito</v>
      </c>
      <c r="C139" s="159"/>
      <c r="D139" s="159"/>
      <c r="E139" s="159"/>
      <c r="F139" s="159"/>
      <c r="G139" s="159"/>
      <c r="H139" s="159"/>
      <c r="I139" s="7">
        <f t="shared" si="17"/>
        <v>0</v>
      </c>
    </row>
    <row r="140" spans="1:9" ht="15.75" x14ac:dyDescent="0.25">
      <c r="A140" s="23">
        <v>235</v>
      </c>
      <c r="B140" s="6" t="str">
        <f>CADASTROS!$C$86</f>
        <v>Josenilton de Jesus Moreira</v>
      </c>
      <c r="C140" s="159"/>
      <c r="D140" s="159"/>
      <c r="E140" s="159"/>
      <c r="F140" s="159"/>
      <c r="G140" s="159"/>
      <c r="H140" s="159"/>
      <c r="I140" s="7">
        <f t="shared" si="17"/>
        <v>0</v>
      </c>
    </row>
    <row r="141" spans="1:9" ht="15.75" x14ac:dyDescent="0.25">
      <c r="A141" s="23">
        <v>261</v>
      </c>
      <c r="B141" s="6" t="str">
        <f>CADASTROS!$C$87</f>
        <v>Liene Bezerra Alves de Souza</v>
      </c>
      <c r="C141" s="159"/>
      <c r="D141" s="159"/>
      <c r="E141" s="159">
        <v>13</v>
      </c>
      <c r="F141" s="159"/>
      <c r="G141" s="159">
        <v>9.5</v>
      </c>
      <c r="H141" s="159"/>
      <c r="I141" s="7">
        <f t="shared" si="17"/>
        <v>22.5</v>
      </c>
    </row>
    <row r="142" spans="1:9" ht="15.75" x14ac:dyDescent="0.25">
      <c r="A142" s="23">
        <v>483</v>
      </c>
      <c r="B142" s="6" t="str">
        <f>CADASTROS!$C$88</f>
        <v>Janete de Jesus Maciel</v>
      </c>
      <c r="C142" s="159"/>
      <c r="D142" s="159"/>
      <c r="E142" s="159"/>
      <c r="F142" s="159"/>
      <c r="G142" s="159"/>
      <c r="H142" s="159"/>
      <c r="I142" s="7">
        <f t="shared" si="17"/>
        <v>0</v>
      </c>
    </row>
    <row r="143" spans="1:9" ht="15.75" x14ac:dyDescent="0.25">
      <c r="A143" s="23">
        <v>484</v>
      </c>
      <c r="B143" s="6" t="str">
        <f>CADASTROS!$C$89</f>
        <v>Roseli dos Anjos Rocha</v>
      </c>
      <c r="C143" s="159"/>
      <c r="D143" s="159"/>
      <c r="E143" s="159"/>
      <c r="F143" s="159"/>
      <c r="G143" s="159"/>
      <c r="H143" s="159"/>
      <c r="I143" s="7">
        <f t="shared" si="17"/>
        <v>0</v>
      </c>
    </row>
    <row r="144" spans="1:9" ht="15.75" x14ac:dyDescent="0.25">
      <c r="A144" s="23">
        <v>485</v>
      </c>
      <c r="B144" s="6" t="str">
        <f>CADASTROS!$C$90</f>
        <v>Vilma Souza Santos</v>
      </c>
      <c r="C144" s="159"/>
      <c r="D144" s="159"/>
      <c r="E144" s="159"/>
      <c r="F144" s="159"/>
      <c r="G144" s="159"/>
      <c r="H144" s="159"/>
      <c r="I144" s="7">
        <f t="shared" si="17"/>
        <v>0</v>
      </c>
    </row>
    <row r="145" spans="1:9" ht="15.75" x14ac:dyDescent="0.25">
      <c r="A145" s="23">
        <v>486</v>
      </c>
      <c r="B145" s="6" t="str">
        <f>CADASTROS!$C$91</f>
        <v>Izabel Rosa de Oliveira</v>
      </c>
      <c r="C145" s="159"/>
      <c r="D145" s="159"/>
      <c r="E145" s="159"/>
      <c r="F145" s="159"/>
      <c r="G145" s="159"/>
      <c r="H145" s="159"/>
      <c r="I145" s="7">
        <f t="shared" si="17"/>
        <v>0</v>
      </c>
    </row>
    <row r="146" spans="1:9" ht="15.75" x14ac:dyDescent="0.25">
      <c r="A146" s="23"/>
      <c r="B146" s="6" t="e">
        <f>CADASTROS!#REF!</f>
        <v>#REF!</v>
      </c>
      <c r="C146" s="159"/>
      <c r="D146" s="159"/>
      <c r="E146" s="159"/>
      <c r="F146" s="159"/>
      <c r="G146" s="159"/>
      <c r="H146" s="159"/>
      <c r="I146" s="7">
        <f t="shared" si="17"/>
        <v>0</v>
      </c>
    </row>
    <row r="147" spans="1:9" ht="15.75" x14ac:dyDescent="0.25">
      <c r="A147" s="23">
        <v>488</v>
      </c>
      <c r="B147" s="6" t="str">
        <f>CADASTROS!$C$92</f>
        <v>Marivani Cruz Damasceno</v>
      </c>
      <c r="C147" s="159"/>
      <c r="D147" s="159"/>
      <c r="E147" s="159"/>
      <c r="F147" s="159"/>
      <c r="G147" s="159"/>
      <c r="H147" s="159"/>
      <c r="I147" s="7">
        <f t="shared" si="17"/>
        <v>0</v>
      </c>
    </row>
    <row r="148" spans="1:9" ht="15.75" x14ac:dyDescent="0.25">
      <c r="A148" s="23">
        <v>489</v>
      </c>
      <c r="B148" s="6" t="str">
        <f>CADASTROS!$C$93</f>
        <v>Cleonice Aguida de Souza</v>
      </c>
      <c r="C148" s="159"/>
      <c r="D148" s="159"/>
      <c r="E148" s="159"/>
      <c r="F148" s="159"/>
      <c r="G148" s="159"/>
      <c r="H148" s="159"/>
      <c r="I148" s="7">
        <f t="shared" si="17"/>
        <v>0</v>
      </c>
    </row>
    <row r="149" spans="1:9" ht="15.75" x14ac:dyDescent="0.25">
      <c r="A149" s="23">
        <v>490</v>
      </c>
      <c r="B149" s="6" t="str">
        <f>CADASTROS!$C$94</f>
        <v>Maurilia E Nascimento</v>
      </c>
      <c r="C149" s="159"/>
      <c r="D149" s="159"/>
      <c r="E149" s="159"/>
      <c r="F149" s="159"/>
      <c r="G149" s="159"/>
      <c r="H149" s="159"/>
      <c r="I149" s="7">
        <f t="shared" si="17"/>
        <v>0</v>
      </c>
    </row>
    <row r="150" spans="1:9" ht="15.75" x14ac:dyDescent="0.25">
      <c r="A150" s="23">
        <v>491</v>
      </c>
      <c r="B150" s="6" t="str">
        <f>CADASTROS!$C$95</f>
        <v>Itamilton Araújo Rocha</v>
      </c>
      <c r="C150" s="159"/>
      <c r="D150" s="159"/>
      <c r="E150" s="159"/>
      <c r="F150" s="159"/>
      <c r="G150" s="159"/>
      <c r="H150" s="159"/>
      <c r="I150" s="7">
        <f t="shared" si="17"/>
        <v>0</v>
      </c>
    </row>
    <row r="151" spans="1:9" ht="15.75" x14ac:dyDescent="0.25">
      <c r="A151" s="23">
        <v>492</v>
      </c>
      <c r="B151" s="6" t="str">
        <f>CADASTROS!$C$96</f>
        <v>Kelvin Félix da Silva</v>
      </c>
      <c r="C151" s="159"/>
      <c r="D151" s="159"/>
      <c r="E151" s="159"/>
      <c r="F151" s="159"/>
      <c r="G151" s="159"/>
      <c r="H151" s="159"/>
      <c r="I151" s="7">
        <f t="shared" si="17"/>
        <v>0</v>
      </c>
    </row>
    <row r="152" spans="1:9" ht="15.75" x14ac:dyDescent="0.25">
      <c r="A152" s="23">
        <v>494</v>
      </c>
      <c r="B152" s="6" t="str">
        <f>CADASTROS!$C$97</f>
        <v>João Batista Calisto de Olivera</v>
      </c>
      <c r="C152" s="159"/>
      <c r="D152" s="159"/>
      <c r="E152" s="159"/>
      <c r="F152" s="159"/>
      <c r="G152" s="159"/>
      <c r="H152" s="159"/>
      <c r="I152" s="7">
        <f t="shared" si="17"/>
        <v>0</v>
      </c>
    </row>
    <row r="153" spans="1:9" ht="15.75" x14ac:dyDescent="0.25">
      <c r="A153" s="23">
        <v>495</v>
      </c>
      <c r="B153" s="6" t="str">
        <f>CADASTROS!$C$98</f>
        <v>José Luis Pereira Santos</v>
      </c>
      <c r="C153" s="159"/>
      <c r="D153" s="159"/>
      <c r="E153" s="159"/>
      <c r="F153" s="159"/>
      <c r="G153" s="159"/>
      <c r="H153" s="159"/>
      <c r="I153" s="7">
        <f t="shared" si="17"/>
        <v>0</v>
      </c>
    </row>
    <row r="154" spans="1:9" ht="15.75" x14ac:dyDescent="0.25">
      <c r="A154" s="23">
        <v>496</v>
      </c>
      <c r="B154" s="6" t="str">
        <f>CADASTROS!$C$99</f>
        <v>Solange Alves Torres Novais</v>
      </c>
      <c r="C154" s="159"/>
      <c r="D154" s="159"/>
      <c r="E154" s="159"/>
      <c r="F154" s="159"/>
      <c r="G154" s="159"/>
      <c r="H154" s="159"/>
      <c r="I154" s="7">
        <f t="shared" si="17"/>
        <v>0</v>
      </c>
    </row>
    <row r="155" spans="1:9" ht="15.75" x14ac:dyDescent="0.25">
      <c r="A155" s="23">
        <v>497</v>
      </c>
      <c r="B155" s="6" t="str">
        <f>CADASTROS!$C$100</f>
        <v>Tamires Carlos da Silva</v>
      </c>
      <c r="C155" s="159"/>
      <c r="D155" s="159"/>
      <c r="E155" s="159"/>
      <c r="F155" s="159"/>
      <c r="G155" s="159"/>
      <c r="H155" s="159"/>
      <c r="I155" s="7">
        <f t="shared" si="17"/>
        <v>0</v>
      </c>
    </row>
    <row r="156" spans="1:9" ht="15.75" x14ac:dyDescent="0.25">
      <c r="A156" s="23">
        <v>498</v>
      </c>
      <c r="B156" s="6" t="str">
        <f>CADASTROS!$C$101</f>
        <v>Adilson Brito de Souza</v>
      </c>
      <c r="C156" s="159"/>
      <c r="D156" s="159"/>
      <c r="E156" s="159"/>
      <c r="F156" s="159"/>
      <c r="G156" s="159"/>
      <c r="H156" s="159"/>
      <c r="I156" s="7">
        <f t="shared" si="17"/>
        <v>0</v>
      </c>
    </row>
    <row r="157" spans="1:9" ht="15.75" x14ac:dyDescent="0.25">
      <c r="A157" s="23">
        <v>499</v>
      </c>
      <c r="B157" s="6" t="str">
        <f>CADASTROS!$C$102</f>
        <v>Denaize de Jesus Silva</v>
      </c>
      <c r="C157" s="159"/>
      <c r="D157" s="159"/>
      <c r="E157" s="159"/>
      <c r="F157" s="159"/>
      <c r="G157" s="159"/>
      <c r="H157" s="159"/>
      <c r="I157" s="7">
        <f t="shared" si="17"/>
        <v>0</v>
      </c>
    </row>
    <row r="158" spans="1:9" ht="15.75" x14ac:dyDescent="0.25">
      <c r="A158" s="23">
        <v>500</v>
      </c>
      <c r="B158" s="6" t="str">
        <f>CADASTROS!$C$103</f>
        <v>Marineide Cruz Damasceno</v>
      </c>
      <c r="C158" s="159"/>
      <c r="D158" s="159"/>
      <c r="E158" s="159"/>
      <c r="F158" s="159"/>
      <c r="G158" s="159"/>
      <c r="H158" s="159"/>
      <c r="I158" s="7">
        <f t="shared" si="17"/>
        <v>0</v>
      </c>
    </row>
    <row r="159" spans="1:9" ht="15.75" x14ac:dyDescent="0.25">
      <c r="A159" s="23">
        <v>501</v>
      </c>
      <c r="B159" s="6" t="str">
        <f>CADASTROS!$C$104</f>
        <v>Maria Ires Pereira da Silva</v>
      </c>
      <c r="C159" s="159"/>
      <c r="D159" s="159"/>
      <c r="E159" s="159"/>
      <c r="F159" s="159"/>
      <c r="G159" s="159"/>
      <c r="H159" s="159"/>
      <c r="I159" s="7">
        <f t="shared" si="17"/>
        <v>0</v>
      </c>
    </row>
    <row r="160" spans="1:9" ht="15.75" x14ac:dyDescent="0.25">
      <c r="A160" s="23">
        <v>502</v>
      </c>
      <c r="B160" s="6" t="str">
        <f>CADASTROS!$C$105</f>
        <v>Elenice Almeida Santos</v>
      </c>
      <c r="C160" s="159"/>
      <c r="D160" s="159"/>
      <c r="E160" s="159"/>
      <c r="F160" s="159"/>
      <c r="G160" s="159"/>
      <c r="H160" s="159"/>
      <c r="I160" s="7">
        <f t="shared" si="17"/>
        <v>0</v>
      </c>
    </row>
    <row r="161" spans="1:9" ht="15.75" x14ac:dyDescent="0.25">
      <c r="B161" s="159" t="s">
        <v>4829</v>
      </c>
      <c r="C161" s="159">
        <f>SUM(C134:C160)</f>
        <v>0</v>
      </c>
      <c r="D161" s="159">
        <f t="shared" ref="D161" si="18">SUM(D134:D160)</f>
        <v>0</v>
      </c>
      <c r="E161" s="159">
        <f t="shared" ref="E161" si="19">SUM(E134:E160)</f>
        <v>13</v>
      </c>
      <c r="F161" s="159">
        <f t="shared" ref="F161" si="20">SUM(F134:F160)</f>
        <v>0</v>
      </c>
      <c r="G161" s="159">
        <f t="shared" ref="G161" si="21">SUM(G134:G160)</f>
        <v>9.5</v>
      </c>
      <c r="H161" s="159">
        <f t="shared" ref="H161" si="22">SUM(H134:H160)</f>
        <v>0</v>
      </c>
      <c r="I161" s="159">
        <f>SUM(I134:I160)</f>
        <v>22.5</v>
      </c>
    </row>
    <row r="163" spans="1:9" ht="15.75" x14ac:dyDescent="0.25">
      <c r="B163" s="8" t="s">
        <v>4830</v>
      </c>
      <c r="C163" s="159"/>
      <c r="D163" s="159"/>
      <c r="E163" s="159"/>
      <c r="F163" s="159"/>
      <c r="G163" s="159"/>
      <c r="H163" s="159"/>
      <c r="I163" s="159">
        <f>SUM(C163:H163)</f>
        <v>0</v>
      </c>
    </row>
    <row r="164" spans="1:9" x14ac:dyDescent="0.25">
      <c r="B164" s="167"/>
    </row>
    <row r="165" spans="1:9" ht="15.75" x14ac:dyDescent="0.25">
      <c r="B165" s="8" t="s">
        <v>4831</v>
      </c>
      <c r="C165" s="9" t="e">
        <f>C161/C163</f>
        <v>#DIV/0!</v>
      </c>
      <c r="D165" s="9" t="e">
        <f t="shared" ref="D165:H165" si="23">D161/D163</f>
        <v>#DIV/0!</v>
      </c>
      <c r="E165" s="9" t="e">
        <f t="shared" si="23"/>
        <v>#DIV/0!</v>
      </c>
      <c r="F165" s="9" t="e">
        <f t="shared" si="23"/>
        <v>#DIV/0!</v>
      </c>
      <c r="G165" s="9" t="e">
        <f t="shared" si="23"/>
        <v>#DIV/0!</v>
      </c>
      <c r="H165" s="9" t="e">
        <f t="shared" si="23"/>
        <v>#DIV/0!</v>
      </c>
      <c r="I165" s="9"/>
    </row>
    <row r="166" spans="1:9" ht="15.75" x14ac:dyDescent="0.25">
      <c r="B166" s="163"/>
      <c r="C166" s="10"/>
      <c r="D166" s="10"/>
      <c r="E166" s="10"/>
      <c r="F166" s="10"/>
      <c r="G166" s="10"/>
      <c r="H166" s="163"/>
      <c r="I166" s="163"/>
    </row>
    <row r="167" spans="1:9" ht="15.75" x14ac:dyDescent="0.25">
      <c r="B167" s="8" t="s">
        <v>4832</v>
      </c>
      <c r="C167" s="159"/>
      <c r="D167" s="159"/>
      <c r="E167" s="6"/>
      <c r="F167" s="6"/>
      <c r="G167" s="6"/>
      <c r="H167" s="6"/>
      <c r="I167" s="11"/>
    </row>
    <row r="168" spans="1:9" ht="15.75" x14ac:dyDescent="0.25">
      <c r="B168" s="28"/>
      <c r="C168" s="28"/>
      <c r="D168" s="28"/>
      <c r="E168" s="11"/>
      <c r="F168" s="11"/>
      <c r="G168" s="11"/>
      <c r="H168" s="11"/>
      <c r="I168" s="11"/>
    </row>
    <row r="169" spans="1:9" ht="15.75" x14ac:dyDescent="0.25">
      <c r="B169" s="28"/>
      <c r="C169" s="28"/>
      <c r="D169" s="28"/>
      <c r="E169" s="11"/>
      <c r="F169" s="11"/>
      <c r="G169" s="11"/>
      <c r="H169" s="11"/>
      <c r="I169" s="11"/>
    </row>
    <row r="170" spans="1:9" ht="21" x14ac:dyDescent="0.35">
      <c r="B170" s="184" t="s">
        <v>4816</v>
      </c>
      <c r="C170" s="185"/>
      <c r="D170" s="185"/>
      <c r="E170" s="185"/>
      <c r="F170" s="185"/>
      <c r="G170" s="185"/>
      <c r="H170" s="185"/>
      <c r="I170" s="186"/>
    </row>
    <row r="171" spans="1:9" ht="6" customHeight="1" x14ac:dyDescent="0.25">
      <c r="I171" s="3"/>
    </row>
    <row r="172" spans="1:9" ht="21" x14ac:dyDescent="0.35">
      <c r="B172" s="192" t="s">
        <v>4817</v>
      </c>
      <c r="C172" s="193"/>
      <c r="D172" s="193"/>
      <c r="E172" s="193"/>
      <c r="F172" s="193"/>
      <c r="G172" s="193"/>
      <c r="H172" s="193"/>
      <c r="I172" s="194"/>
    </row>
    <row r="173" spans="1:9" ht="15" customHeight="1" x14ac:dyDescent="0.25"/>
    <row r="174" spans="1:9" ht="37.15" customHeight="1" x14ac:dyDescent="0.25">
      <c r="B174" s="187" t="s">
        <v>4818</v>
      </c>
      <c r="C174" s="188"/>
      <c r="D174" s="188"/>
      <c r="E174" s="188"/>
      <c r="F174" s="188"/>
      <c r="G174" s="188"/>
      <c r="H174" s="188"/>
      <c r="I174" s="189"/>
    </row>
    <row r="175" spans="1:9" ht="30" customHeight="1" x14ac:dyDescent="0.25">
      <c r="A175" s="182" t="s">
        <v>4819</v>
      </c>
      <c r="B175" s="155" t="s">
        <v>4820</v>
      </c>
      <c r="C175" s="4" t="s">
        <v>4821</v>
      </c>
      <c r="D175" s="4" t="s">
        <v>4822</v>
      </c>
      <c r="E175" s="88" t="s">
        <v>4823</v>
      </c>
      <c r="F175" s="88" t="s">
        <v>4824</v>
      </c>
      <c r="G175" s="88" t="s">
        <v>4825</v>
      </c>
      <c r="H175" s="4" t="s">
        <v>4826</v>
      </c>
      <c r="I175" s="29" t="s">
        <v>4827</v>
      </c>
    </row>
    <row r="176" spans="1:9" ht="36" customHeight="1" x14ac:dyDescent="0.25">
      <c r="A176" s="183"/>
      <c r="B176" s="156"/>
      <c r="C176" s="13" t="s">
        <v>4828</v>
      </c>
      <c r="D176" s="13" t="s">
        <v>4828</v>
      </c>
      <c r="E176" s="13" t="s">
        <v>4828</v>
      </c>
      <c r="F176" s="13" t="s">
        <v>4828</v>
      </c>
      <c r="G176" s="13" t="s">
        <v>4828</v>
      </c>
      <c r="H176" s="13" t="s">
        <v>4828</v>
      </c>
      <c r="I176" s="30"/>
    </row>
    <row r="177" spans="1:9" ht="15" customHeight="1" x14ac:dyDescent="0.25">
      <c r="A177" s="23">
        <v>503</v>
      </c>
      <c r="B177" s="6" t="str">
        <f>CADASTROS!$C$106</f>
        <v>Jucelina Santos Santana</v>
      </c>
      <c r="C177" s="159"/>
      <c r="D177" s="159"/>
      <c r="E177" s="159"/>
      <c r="F177" s="159"/>
      <c r="G177" s="159"/>
      <c r="H177" s="159"/>
      <c r="I177" s="7">
        <f t="shared" ref="I177:I197" si="24">SUM(C177+D177+E177+F177+G177+H177)</f>
        <v>0</v>
      </c>
    </row>
    <row r="178" spans="1:9" ht="15.6" customHeight="1" x14ac:dyDescent="0.25">
      <c r="A178" s="23">
        <v>504</v>
      </c>
      <c r="B178" s="6" t="str">
        <f>CADASTROS!$C$107</f>
        <v>Adelandia Mª de Oliveira</v>
      </c>
      <c r="C178" s="159"/>
      <c r="D178" s="159"/>
      <c r="E178" s="159"/>
      <c r="F178" s="159"/>
      <c r="G178" s="159"/>
      <c r="H178" s="159"/>
      <c r="I178" s="7">
        <f t="shared" si="24"/>
        <v>0</v>
      </c>
    </row>
    <row r="179" spans="1:9" ht="15.75" x14ac:dyDescent="0.25">
      <c r="A179" s="23">
        <v>505</v>
      </c>
      <c r="B179" s="6" t="str">
        <f>CADASTROS!$C$108</f>
        <v>Geisa Barrada Macedo</v>
      </c>
      <c r="C179" s="159"/>
      <c r="D179" s="159"/>
      <c r="E179" s="159"/>
      <c r="F179" s="159"/>
      <c r="G179" s="159"/>
      <c r="H179" s="159"/>
      <c r="I179" s="7">
        <f t="shared" si="24"/>
        <v>0</v>
      </c>
    </row>
    <row r="180" spans="1:9" ht="15.75" x14ac:dyDescent="0.25">
      <c r="A180" s="23">
        <v>506</v>
      </c>
      <c r="B180" s="6" t="str">
        <f>CADASTROS!$C$109</f>
        <v>Reinivaldo Dutra do Nascimento</v>
      </c>
      <c r="C180" s="159"/>
      <c r="D180" s="159"/>
      <c r="E180" s="159"/>
      <c r="F180" s="159"/>
      <c r="G180" s="159"/>
      <c r="H180" s="159"/>
      <c r="I180" s="7">
        <f t="shared" si="24"/>
        <v>0</v>
      </c>
    </row>
    <row r="181" spans="1:9" ht="15.75" x14ac:dyDescent="0.25">
      <c r="A181" s="23">
        <v>507</v>
      </c>
      <c r="B181" s="6">
        <f>CADASTROS!$C$110</f>
        <v>0</v>
      </c>
      <c r="C181" s="159"/>
      <c r="D181" s="159"/>
      <c r="E181" s="159"/>
      <c r="F181" s="159"/>
      <c r="G181" s="159"/>
      <c r="H181" s="159"/>
      <c r="I181" s="7">
        <f t="shared" si="24"/>
        <v>0</v>
      </c>
    </row>
    <row r="182" spans="1:9" ht="15.75" x14ac:dyDescent="0.25">
      <c r="A182" s="23">
        <v>508</v>
      </c>
      <c r="B182" s="6">
        <f>CADASTROS!$C$111</f>
        <v>0</v>
      </c>
      <c r="C182" s="159"/>
      <c r="D182" s="159"/>
      <c r="E182" s="159"/>
      <c r="F182" s="159"/>
      <c r="G182" s="159"/>
      <c r="H182" s="159"/>
      <c r="I182" s="7">
        <f t="shared" si="24"/>
        <v>0</v>
      </c>
    </row>
    <row r="183" spans="1:9" ht="15.75" x14ac:dyDescent="0.25">
      <c r="A183" s="23">
        <v>509</v>
      </c>
      <c r="B183" s="6">
        <f>CADASTROS!$C$112</f>
        <v>0</v>
      </c>
      <c r="C183" s="159"/>
      <c r="D183" s="159"/>
      <c r="E183" s="159"/>
      <c r="F183" s="159"/>
      <c r="G183" s="159"/>
      <c r="H183" s="159"/>
      <c r="I183" s="7">
        <f t="shared" si="24"/>
        <v>0</v>
      </c>
    </row>
    <row r="184" spans="1:9" ht="15.75" x14ac:dyDescent="0.25">
      <c r="A184" s="23">
        <v>510</v>
      </c>
      <c r="B184" s="6">
        <f>CADASTROS!$C$113</f>
        <v>0</v>
      </c>
      <c r="C184" s="159"/>
      <c r="D184" s="159"/>
      <c r="E184" s="159"/>
      <c r="F184" s="159"/>
      <c r="G184" s="159"/>
      <c r="H184" s="159"/>
      <c r="I184" s="7">
        <f t="shared" si="24"/>
        <v>0</v>
      </c>
    </row>
    <row r="185" spans="1:9" ht="15.75" x14ac:dyDescent="0.25">
      <c r="A185" s="23">
        <v>511</v>
      </c>
      <c r="B185" s="6">
        <f>CADASTROS!$C$114</f>
        <v>0</v>
      </c>
      <c r="C185" s="159"/>
      <c r="D185" s="159"/>
      <c r="E185" s="159">
        <v>18</v>
      </c>
      <c r="F185" s="159"/>
      <c r="G185" s="159"/>
      <c r="H185" s="159"/>
      <c r="I185" s="7">
        <f t="shared" si="24"/>
        <v>18</v>
      </c>
    </row>
    <row r="186" spans="1:9" ht="15.75" x14ac:dyDescent="0.25">
      <c r="A186" s="23">
        <v>512</v>
      </c>
      <c r="B186" s="6">
        <f>CADASTROS!$C$115</f>
        <v>0</v>
      </c>
      <c r="C186" s="159"/>
      <c r="D186" s="159"/>
      <c r="E186" s="159"/>
      <c r="F186" s="159"/>
      <c r="G186" s="159"/>
      <c r="H186" s="159"/>
      <c r="I186" s="7">
        <f t="shared" si="24"/>
        <v>0</v>
      </c>
    </row>
    <row r="187" spans="1:9" ht="15.75" x14ac:dyDescent="0.25">
      <c r="A187" s="23">
        <v>513</v>
      </c>
      <c r="B187" s="6">
        <f>CADASTROS!$C$116</f>
        <v>0</v>
      </c>
      <c r="C187" s="159"/>
      <c r="D187" s="159"/>
      <c r="E187" s="159"/>
      <c r="F187" s="159"/>
      <c r="G187" s="159"/>
      <c r="H187" s="159"/>
      <c r="I187" s="7">
        <f t="shared" si="24"/>
        <v>0</v>
      </c>
    </row>
    <row r="188" spans="1:9" ht="15.75" x14ac:dyDescent="0.25">
      <c r="A188" s="23">
        <v>514</v>
      </c>
      <c r="B188" s="6">
        <f>CADASTROS!$C$117</f>
        <v>0</v>
      </c>
      <c r="C188" s="159"/>
      <c r="D188" s="159"/>
      <c r="E188" s="159"/>
      <c r="F188" s="159"/>
      <c r="G188" s="159"/>
      <c r="H188" s="159"/>
      <c r="I188" s="7">
        <f t="shared" si="24"/>
        <v>0</v>
      </c>
    </row>
    <row r="189" spans="1:9" ht="15.75" x14ac:dyDescent="0.25">
      <c r="A189" s="23">
        <v>515</v>
      </c>
      <c r="B189" s="6">
        <f>CADASTROS!$C$118</f>
        <v>0</v>
      </c>
      <c r="C189" s="159"/>
      <c r="D189" s="159"/>
      <c r="E189" s="159"/>
      <c r="F189" s="159"/>
      <c r="G189" s="159"/>
      <c r="H189" s="159"/>
      <c r="I189" s="7">
        <f t="shared" si="24"/>
        <v>0</v>
      </c>
    </row>
    <row r="190" spans="1:9" ht="15.75" x14ac:dyDescent="0.25">
      <c r="A190" s="23">
        <v>516</v>
      </c>
      <c r="B190" s="6">
        <f>CADASTROS!$C$119</f>
        <v>0</v>
      </c>
      <c r="C190" s="159"/>
      <c r="D190" s="159"/>
      <c r="E190" s="159"/>
      <c r="F190" s="159"/>
      <c r="G190" s="159"/>
      <c r="H190" s="159"/>
      <c r="I190" s="7">
        <f t="shared" si="24"/>
        <v>0</v>
      </c>
    </row>
    <row r="191" spans="1:9" ht="15.75" x14ac:dyDescent="0.25">
      <c r="A191" s="23">
        <v>517</v>
      </c>
      <c r="B191" s="6">
        <f>CADASTROS!$C$120</f>
        <v>0</v>
      </c>
      <c r="C191" s="159"/>
      <c r="D191" s="159">
        <v>24.5</v>
      </c>
      <c r="E191" s="159">
        <v>21</v>
      </c>
      <c r="F191" s="159">
        <v>9</v>
      </c>
      <c r="G191" s="159"/>
      <c r="H191" s="159"/>
      <c r="I191" s="7">
        <f t="shared" si="24"/>
        <v>54.5</v>
      </c>
    </row>
    <row r="192" spans="1:9" ht="15.75" x14ac:dyDescent="0.25">
      <c r="A192" s="23">
        <v>518</v>
      </c>
      <c r="B192" s="6">
        <f>CADASTROS!$C$121</f>
        <v>0</v>
      </c>
      <c r="C192" s="159"/>
      <c r="D192" s="159"/>
      <c r="E192" s="159"/>
      <c r="F192" s="159"/>
      <c r="G192" s="159"/>
      <c r="H192" s="159"/>
      <c r="I192" s="7">
        <f t="shared" si="24"/>
        <v>0</v>
      </c>
    </row>
    <row r="193" spans="1:9" ht="15.75" x14ac:dyDescent="0.25">
      <c r="A193" s="23">
        <v>519</v>
      </c>
      <c r="B193" s="6">
        <f>CADASTROS!$C$122</f>
        <v>0</v>
      </c>
      <c r="C193" s="159"/>
      <c r="D193" s="159"/>
      <c r="E193" s="159"/>
      <c r="F193" s="159"/>
      <c r="G193" s="159"/>
      <c r="H193" s="159"/>
      <c r="I193" s="7">
        <f t="shared" si="24"/>
        <v>0</v>
      </c>
    </row>
    <row r="194" spans="1:9" ht="15.75" x14ac:dyDescent="0.25">
      <c r="A194" s="23">
        <v>520</v>
      </c>
      <c r="B194" s="6">
        <f>CADASTROS!$C$123</f>
        <v>0</v>
      </c>
      <c r="C194" s="159"/>
      <c r="D194" s="159"/>
      <c r="E194" s="159"/>
      <c r="F194" s="159"/>
      <c r="G194" s="159"/>
      <c r="H194" s="159"/>
      <c r="I194" s="7">
        <f t="shared" si="24"/>
        <v>0</v>
      </c>
    </row>
    <row r="195" spans="1:9" ht="15.75" x14ac:dyDescent="0.25">
      <c r="A195" s="23">
        <v>521</v>
      </c>
      <c r="B195" s="6">
        <f>CADASTROS!$C$124</f>
        <v>0</v>
      </c>
      <c r="C195" s="159"/>
      <c r="D195" s="159"/>
      <c r="E195" s="159"/>
      <c r="F195" s="159"/>
      <c r="G195" s="159"/>
      <c r="H195" s="159"/>
      <c r="I195" s="7">
        <f t="shared" si="24"/>
        <v>0</v>
      </c>
    </row>
    <row r="196" spans="1:9" ht="15.75" x14ac:dyDescent="0.25">
      <c r="A196" s="23">
        <v>522</v>
      </c>
      <c r="B196" s="6">
        <f>CADASTROS!$C$125</f>
        <v>0</v>
      </c>
      <c r="C196" s="159"/>
      <c r="D196" s="159"/>
      <c r="E196" s="159"/>
      <c r="F196" s="159"/>
      <c r="G196" s="159"/>
      <c r="H196" s="159"/>
      <c r="I196" s="7">
        <f t="shared" si="24"/>
        <v>0</v>
      </c>
    </row>
    <row r="197" spans="1:9" ht="15.75" x14ac:dyDescent="0.25">
      <c r="A197" s="23">
        <v>523</v>
      </c>
      <c r="B197" s="6" t="str">
        <f>CADASTROS!$C$126</f>
        <v>Eliene Nunes da Cruz</v>
      </c>
      <c r="C197" s="159"/>
      <c r="D197" s="159"/>
      <c r="E197" s="159"/>
      <c r="F197" s="159"/>
      <c r="G197" s="159"/>
      <c r="H197" s="159"/>
      <c r="I197" s="7">
        <f t="shared" si="24"/>
        <v>0</v>
      </c>
    </row>
    <row r="198" spans="1:9" ht="15.75" x14ac:dyDescent="0.25">
      <c r="A198" s="23">
        <v>542</v>
      </c>
      <c r="B198" s="6" t="str">
        <f>CADASTROS!$C$127</f>
        <v>Wanderson Santos Santana</v>
      </c>
      <c r="C198" s="159"/>
      <c r="D198" s="159"/>
      <c r="E198" s="159"/>
      <c r="F198" s="159"/>
      <c r="G198" s="159"/>
      <c r="H198" s="159"/>
      <c r="I198" s="7">
        <f>SUM(C198+D198+E198+F198+G198+H198)</f>
        <v>0</v>
      </c>
    </row>
    <row r="199" spans="1:9" ht="15.75" x14ac:dyDescent="0.25">
      <c r="A199" s="23">
        <v>662</v>
      </c>
      <c r="B199" s="6" t="str">
        <f>CADASTROS!$C$128</f>
        <v>Janailson Sousa Santana</v>
      </c>
      <c r="C199" s="159"/>
      <c r="D199" s="159"/>
      <c r="E199" s="159"/>
      <c r="F199" s="159"/>
      <c r="G199" s="159"/>
      <c r="H199" s="159"/>
      <c r="I199" s="7">
        <f>SUM(C199+D199+E199+F199+G199+H199)</f>
        <v>0</v>
      </c>
    </row>
    <row r="200" spans="1:9" ht="15.75" x14ac:dyDescent="0.25">
      <c r="A200" s="23">
        <v>664</v>
      </c>
      <c r="B200" s="6" t="str">
        <f>CADASTROS!$C$129</f>
        <v>Izoraide Souza Santos Fernandes</v>
      </c>
      <c r="C200" s="159"/>
      <c r="D200" s="159"/>
      <c r="E200" s="159"/>
      <c r="F200" s="159"/>
      <c r="G200" s="159"/>
      <c r="H200" s="159"/>
      <c r="I200" s="7">
        <f>SUM(C200+D200+E200+F200+G200+H200)</f>
        <v>0</v>
      </c>
    </row>
    <row r="201" spans="1:9" ht="15.75" x14ac:dyDescent="0.25">
      <c r="A201" s="23">
        <v>692</v>
      </c>
      <c r="B201" s="6" t="str">
        <f>CADASTROS!$C$130</f>
        <v>Anderson de Jesus Santos</v>
      </c>
      <c r="C201" s="159"/>
      <c r="D201" s="159"/>
      <c r="E201" s="159"/>
      <c r="F201" s="159"/>
      <c r="G201" s="159"/>
      <c r="H201" s="159"/>
      <c r="I201" s="7">
        <f>SUM(C201+D201+E201+F201+G201+H201)</f>
        <v>0</v>
      </c>
    </row>
    <row r="202" spans="1:9" ht="15.75" x14ac:dyDescent="0.25">
      <c r="A202" s="23">
        <v>693</v>
      </c>
      <c r="B202" s="6" t="str">
        <f>CADASTROS!$C$131</f>
        <v>Evani de Lima</v>
      </c>
      <c r="C202" s="159"/>
      <c r="D202" s="159"/>
      <c r="E202" s="159"/>
      <c r="F202" s="159"/>
      <c r="G202" s="159"/>
      <c r="H202" s="159"/>
      <c r="I202" s="7">
        <f t="shared" ref="I202:I203" si="25">SUM(C202+D202+E202+F202+G202+H202)</f>
        <v>0</v>
      </c>
    </row>
    <row r="203" spans="1:9" ht="15.75" x14ac:dyDescent="0.25">
      <c r="A203" s="23">
        <v>694</v>
      </c>
      <c r="B203" s="6" t="str">
        <f>CADASTROS!$C$132</f>
        <v>Miralva de Jesus Batista</v>
      </c>
      <c r="C203" s="159"/>
      <c r="D203" s="159"/>
      <c r="E203" s="159"/>
      <c r="F203" s="159"/>
      <c r="G203" s="159"/>
      <c r="H203" s="159"/>
      <c r="I203" s="7">
        <f t="shared" si="25"/>
        <v>0</v>
      </c>
    </row>
    <row r="204" spans="1:9" ht="15.75" x14ac:dyDescent="0.25">
      <c r="B204" s="159" t="s">
        <v>4829</v>
      </c>
      <c r="C204" s="159">
        <f>SUM(C177:C203)</f>
        <v>0</v>
      </c>
      <c r="D204" s="159">
        <f t="shared" ref="D204" si="26">SUM(D177:D203)</f>
        <v>24.5</v>
      </c>
      <c r="E204" s="159">
        <f t="shared" ref="E204" si="27">SUM(E177:E203)</f>
        <v>39</v>
      </c>
      <c r="F204" s="159">
        <f t="shared" ref="F204" si="28">SUM(F177:F203)</f>
        <v>9</v>
      </c>
      <c r="G204" s="159">
        <f t="shared" ref="G204" si="29">SUM(G177:G203)</f>
        <v>0</v>
      </c>
      <c r="H204" s="159">
        <f t="shared" ref="H204" si="30">SUM(H177:H203)</f>
        <v>0</v>
      </c>
      <c r="I204" s="159">
        <f>SUM(I177:I203)</f>
        <v>72.5</v>
      </c>
    </row>
    <row r="206" spans="1:9" ht="15.75" x14ac:dyDescent="0.25">
      <c r="B206" s="8" t="s">
        <v>4830</v>
      </c>
      <c r="C206" s="159"/>
      <c r="D206" s="159"/>
      <c r="E206" s="159"/>
      <c r="F206" s="159"/>
      <c r="G206" s="159"/>
      <c r="H206" s="159"/>
      <c r="I206" s="159">
        <f>SUM(C206:H206)</f>
        <v>0</v>
      </c>
    </row>
    <row r="207" spans="1:9" x14ac:dyDescent="0.25">
      <c r="B207" s="167"/>
    </row>
    <row r="208" spans="1:9" ht="15.75" x14ac:dyDescent="0.25">
      <c r="B208" s="8" t="s">
        <v>4831</v>
      </c>
      <c r="C208" s="9" t="e">
        <f>C204/C206</f>
        <v>#DIV/0!</v>
      </c>
      <c r="D208" s="9" t="e">
        <f t="shared" ref="D208:H208" si="31">D204/D206</f>
        <v>#DIV/0!</v>
      </c>
      <c r="E208" s="9" t="e">
        <f t="shared" si="31"/>
        <v>#DIV/0!</v>
      </c>
      <c r="F208" s="9" t="e">
        <f t="shared" si="31"/>
        <v>#DIV/0!</v>
      </c>
      <c r="G208" s="9" t="e">
        <f t="shared" si="31"/>
        <v>#DIV/0!</v>
      </c>
      <c r="H208" s="9" t="e">
        <f t="shared" si="31"/>
        <v>#DIV/0!</v>
      </c>
      <c r="I208" s="9"/>
    </row>
    <row r="209" spans="1:9" ht="15.75" x14ac:dyDescent="0.25">
      <c r="B209" s="163"/>
      <c r="C209" s="10"/>
      <c r="D209" s="10"/>
      <c r="E209" s="10"/>
      <c r="F209" s="10"/>
      <c r="G209" s="10"/>
      <c r="H209" s="163"/>
      <c r="I209" s="163"/>
    </row>
    <row r="210" spans="1:9" ht="15.75" x14ac:dyDescent="0.25">
      <c r="B210" s="8" t="s">
        <v>4832</v>
      </c>
      <c r="C210" s="159"/>
      <c r="D210" s="159"/>
      <c r="E210" s="6"/>
      <c r="F210" s="6"/>
      <c r="G210" s="6"/>
      <c r="H210" s="6"/>
      <c r="I210" s="11"/>
    </row>
    <row r="211" spans="1:9" ht="15.75" x14ac:dyDescent="0.25">
      <c r="B211" s="28"/>
      <c r="C211" s="28"/>
      <c r="D211" s="28"/>
      <c r="E211" s="11"/>
      <c r="F211" s="11"/>
      <c r="G211" s="11"/>
      <c r="H211" s="11"/>
      <c r="I211" s="11"/>
    </row>
    <row r="212" spans="1:9" ht="15.75" x14ac:dyDescent="0.25">
      <c r="B212" s="28"/>
      <c r="C212" s="28"/>
      <c r="D212" s="28"/>
      <c r="E212" s="11"/>
      <c r="F212" s="11"/>
      <c r="G212" s="11"/>
      <c r="H212" s="11"/>
      <c r="I212" s="11"/>
    </row>
    <row r="213" spans="1:9" ht="21" x14ac:dyDescent="0.35">
      <c r="B213" s="184" t="s">
        <v>4816</v>
      </c>
      <c r="C213" s="185"/>
      <c r="D213" s="185"/>
      <c r="E213" s="185"/>
      <c r="F213" s="185"/>
      <c r="G213" s="185"/>
      <c r="H213" s="185"/>
      <c r="I213" s="186"/>
    </row>
    <row r="214" spans="1:9" ht="7.5" customHeight="1" x14ac:dyDescent="0.25">
      <c r="I214" s="3"/>
    </row>
    <row r="215" spans="1:9" ht="21" x14ac:dyDescent="0.35">
      <c r="B215" s="192" t="s">
        <v>4817</v>
      </c>
      <c r="C215" s="193"/>
      <c r="D215" s="193"/>
      <c r="E215" s="193"/>
      <c r="F215" s="193"/>
      <c r="G215" s="193"/>
      <c r="H215" s="193"/>
      <c r="I215" s="194"/>
    </row>
    <row r="217" spans="1:9" ht="37.15" customHeight="1" x14ac:dyDescent="0.25">
      <c r="B217" s="187" t="s">
        <v>4818</v>
      </c>
      <c r="C217" s="188"/>
      <c r="D217" s="188"/>
      <c r="E217" s="188"/>
      <c r="F217" s="188"/>
      <c r="G217" s="188"/>
      <c r="H217" s="188"/>
      <c r="I217" s="189"/>
    </row>
    <row r="218" spans="1:9" ht="30" customHeight="1" x14ac:dyDescent="0.25">
      <c r="A218" s="182" t="s">
        <v>4819</v>
      </c>
      <c r="B218" s="155" t="s">
        <v>4820</v>
      </c>
      <c r="C218" s="4" t="s">
        <v>4821</v>
      </c>
      <c r="D218" s="4" t="s">
        <v>4822</v>
      </c>
      <c r="E218" s="88" t="s">
        <v>4823</v>
      </c>
      <c r="F218" s="88" t="s">
        <v>4824</v>
      </c>
      <c r="G218" s="88" t="s">
        <v>4825</v>
      </c>
      <c r="H218" s="4" t="s">
        <v>4826</v>
      </c>
      <c r="I218" s="29" t="s">
        <v>4827</v>
      </c>
    </row>
    <row r="219" spans="1:9" ht="35.65" customHeight="1" x14ac:dyDescent="0.25">
      <c r="A219" s="183"/>
      <c r="B219" s="156"/>
      <c r="C219" s="13" t="s">
        <v>4828</v>
      </c>
      <c r="D219" s="13" t="s">
        <v>4828</v>
      </c>
      <c r="E219" s="13" t="s">
        <v>4828</v>
      </c>
      <c r="F219" s="13" t="s">
        <v>4828</v>
      </c>
      <c r="G219" s="13" t="s">
        <v>4828</v>
      </c>
      <c r="H219" s="13" t="s">
        <v>4828</v>
      </c>
      <c r="I219" s="30"/>
    </row>
    <row r="220" spans="1:9" ht="15.75" customHeight="1" x14ac:dyDescent="0.25">
      <c r="A220" s="23">
        <v>695</v>
      </c>
      <c r="B220" s="6" t="str">
        <f>CADASTROS!$C$133</f>
        <v>José Silva Bispo</v>
      </c>
      <c r="C220" s="159"/>
      <c r="D220" s="159"/>
      <c r="E220" s="159"/>
      <c r="F220" s="159"/>
      <c r="G220" s="159"/>
      <c r="H220" s="159"/>
      <c r="I220" s="7">
        <f>SUM(C220+D220+E220+F220+G220+H220)</f>
        <v>0</v>
      </c>
    </row>
    <row r="221" spans="1:9" ht="15.75" x14ac:dyDescent="0.25">
      <c r="A221" s="23">
        <v>696</v>
      </c>
      <c r="B221" s="6" t="str">
        <f>CADASTROS!$C$134</f>
        <v>Leandro de Jesus Cruz</v>
      </c>
      <c r="C221" s="159">
        <v>22.5</v>
      </c>
      <c r="D221" s="159">
        <v>23</v>
      </c>
      <c r="E221" s="159">
        <v>22</v>
      </c>
      <c r="F221" s="159"/>
      <c r="G221" s="159">
        <v>10</v>
      </c>
      <c r="H221" s="159"/>
      <c r="I221" s="7">
        <f t="shared" ref="I221:I246" si="32">SUM(C221+D221+E221+F221+G221+H221)</f>
        <v>77.5</v>
      </c>
    </row>
    <row r="222" spans="1:9" ht="15.75" x14ac:dyDescent="0.25">
      <c r="A222" s="23">
        <v>700</v>
      </c>
      <c r="B222" s="6" t="str">
        <f>CADASTROS!$C$135</f>
        <v>Alailson Almeida de Souza</v>
      </c>
      <c r="C222" s="159"/>
      <c r="D222" s="159"/>
      <c r="E222" s="159"/>
      <c r="F222" s="159"/>
      <c r="G222" s="159"/>
      <c r="H222" s="159"/>
      <c r="I222" s="7">
        <f t="shared" si="32"/>
        <v>0</v>
      </c>
    </row>
    <row r="223" spans="1:9" ht="15.75" x14ac:dyDescent="0.25">
      <c r="A223" s="23">
        <v>701</v>
      </c>
      <c r="B223" s="6" t="str">
        <f>CADASTROS!$C$136</f>
        <v>Emanuel Salomão de Jesus</v>
      </c>
      <c r="C223" s="159"/>
      <c r="D223" s="159"/>
      <c r="E223" s="159"/>
      <c r="F223" s="159"/>
      <c r="G223" s="159"/>
      <c r="H223" s="159"/>
      <c r="I223" s="7">
        <f t="shared" si="32"/>
        <v>0</v>
      </c>
    </row>
    <row r="224" spans="1:9" ht="15.75" x14ac:dyDescent="0.25">
      <c r="A224" s="23">
        <v>702</v>
      </c>
      <c r="B224" s="6" t="str">
        <f>CADASTROS!$C$137</f>
        <v>Sirlaine Sousa da Silva</v>
      </c>
      <c r="C224" s="159"/>
      <c r="D224" s="159"/>
      <c r="E224" s="159"/>
      <c r="F224" s="159"/>
      <c r="G224" s="159"/>
      <c r="H224" s="159"/>
      <c r="I224" s="7">
        <f t="shared" si="32"/>
        <v>0</v>
      </c>
    </row>
    <row r="225" spans="1:9" ht="15.75" x14ac:dyDescent="0.25">
      <c r="A225" s="23">
        <v>703</v>
      </c>
      <c r="B225" s="6" t="str">
        <f>CADASTROS!$C$138</f>
        <v>Juliana Costa Silva</v>
      </c>
      <c r="C225" s="159"/>
      <c r="D225" s="159"/>
      <c r="E225" s="159"/>
      <c r="F225" s="159"/>
      <c r="G225" s="159"/>
      <c r="H225" s="159"/>
      <c r="I225" s="7">
        <f t="shared" si="32"/>
        <v>0</v>
      </c>
    </row>
    <row r="226" spans="1:9" ht="15.75" x14ac:dyDescent="0.25">
      <c r="A226" s="23">
        <v>719</v>
      </c>
      <c r="B226" s="6" t="str">
        <f>CADASTROS!$C$139</f>
        <v>Enesio Maria Alves</v>
      </c>
      <c r="C226" s="159"/>
      <c r="D226" s="159">
        <v>13</v>
      </c>
      <c r="E226" s="159">
        <v>8</v>
      </c>
      <c r="F226" s="159"/>
      <c r="G226" s="159"/>
      <c r="H226" s="159"/>
      <c r="I226" s="7">
        <f t="shared" si="32"/>
        <v>21</v>
      </c>
    </row>
    <row r="227" spans="1:9" ht="15.75" x14ac:dyDescent="0.25">
      <c r="A227" s="23">
        <v>738</v>
      </c>
      <c r="B227" s="6" t="str">
        <f>CADASTROS!$C$140</f>
        <v>Jurandi Alves de Sousa</v>
      </c>
      <c r="C227" s="159"/>
      <c r="D227" s="159"/>
      <c r="E227" s="159"/>
      <c r="F227" s="159"/>
      <c r="G227" s="159"/>
      <c r="H227" s="159"/>
      <c r="I227" s="7">
        <f t="shared" si="32"/>
        <v>0</v>
      </c>
    </row>
    <row r="228" spans="1:9" ht="15.75" x14ac:dyDescent="0.25">
      <c r="A228" s="23">
        <v>739</v>
      </c>
      <c r="B228" s="6" t="str">
        <f>CADASTROS!$C$141</f>
        <v>Ronaldo da Silva Bispo</v>
      </c>
      <c r="C228" s="159"/>
      <c r="D228" s="159"/>
      <c r="E228" s="159"/>
      <c r="F228" s="159"/>
      <c r="G228" s="159"/>
      <c r="H228" s="159"/>
      <c r="I228" s="7">
        <f t="shared" si="32"/>
        <v>0</v>
      </c>
    </row>
    <row r="229" spans="1:9" ht="15.75" x14ac:dyDescent="0.25">
      <c r="A229" s="23">
        <v>740</v>
      </c>
      <c r="B229" s="6" t="str">
        <f>CADASTROS!$C$142</f>
        <v>Girlene Alves Damasceno</v>
      </c>
      <c r="C229" s="159"/>
      <c r="D229" s="159"/>
      <c r="E229" s="159"/>
      <c r="F229" s="159"/>
      <c r="G229" s="159"/>
      <c r="H229" s="159"/>
      <c r="I229" s="7">
        <f t="shared" si="32"/>
        <v>0</v>
      </c>
    </row>
    <row r="230" spans="1:9" ht="15.75" x14ac:dyDescent="0.25">
      <c r="A230" s="23">
        <v>750</v>
      </c>
      <c r="B230" s="6" t="str">
        <f>CADASTROS!$C$143</f>
        <v>Eliana Santos Matos</v>
      </c>
      <c r="C230" s="159"/>
      <c r="D230" s="159"/>
      <c r="E230" s="159"/>
      <c r="F230" s="159"/>
      <c r="G230" s="159"/>
      <c r="H230" s="159"/>
      <c r="I230" s="7">
        <f t="shared" si="32"/>
        <v>0</v>
      </c>
    </row>
    <row r="231" spans="1:9" ht="15.75" x14ac:dyDescent="0.25">
      <c r="A231" s="23">
        <v>751</v>
      </c>
      <c r="B231" s="6" t="str">
        <f>CADASTROS!$C$144</f>
        <v>Miralva de Souza Andrade</v>
      </c>
      <c r="C231" s="159"/>
      <c r="D231" s="159"/>
      <c r="E231" s="159"/>
      <c r="F231" s="159"/>
      <c r="G231" s="159"/>
      <c r="H231" s="159"/>
      <c r="I231" s="7">
        <f t="shared" si="32"/>
        <v>0</v>
      </c>
    </row>
    <row r="232" spans="1:9" ht="15.75" x14ac:dyDescent="0.25">
      <c r="A232" s="23">
        <v>769</v>
      </c>
      <c r="B232" s="6" t="str">
        <f>CADASTROS!$C$145</f>
        <v>Cleuza Souza Nascimento</v>
      </c>
      <c r="C232" s="159"/>
      <c r="D232" s="159"/>
      <c r="E232" s="159"/>
      <c r="F232" s="159"/>
      <c r="G232" s="159"/>
      <c r="H232" s="159"/>
      <c r="I232" s="7">
        <f t="shared" si="32"/>
        <v>0</v>
      </c>
    </row>
    <row r="233" spans="1:9" ht="15.75" x14ac:dyDescent="0.25">
      <c r="A233" s="23">
        <v>770</v>
      </c>
      <c r="B233" s="6" t="str">
        <f>CADASTROS!$C$146</f>
        <v>Dalton de Oliveira de Souza</v>
      </c>
      <c r="C233" s="159"/>
      <c r="D233" s="159"/>
      <c r="E233" s="159"/>
      <c r="F233" s="159"/>
      <c r="G233" s="159"/>
      <c r="H233" s="159"/>
      <c r="I233" s="7">
        <f t="shared" si="32"/>
        <v>0</v>
      </c>
    </row>
    <row r="234" spans="1:9" ht="15.75" x14ac:dyDescent="0.25">
      <c r="A234" s="23">
        <v>771</v>
      </c>
      <c r="B234" s="6" t="str">
        <f>CADASTROS!$C$147</f>
        <v>Vanilde Goncalves da Silva</v>
      </c>
      <c r="C234" s="159"/>
      <c r="D234" s="159"/>
      <c r="E234" s="159"/>
      <c r="F234" s="159"/>
      <c r="G234" s="159"/>
      <c r="H234" s="159"/>
      <c r="I234" s="7">
        <f t="shared" si="32"/>
        <v>0</v>
      </c>
    </row>
    <row r="235" spans="1:9" ht="15.75" x14ac:dyDescent="0.25">
      <c r="A235" s="23">
        <v>811</v>
      </c>
      <c r="B235" s="6" t="str">
        <f>CADASTROS!$C$148</f>
        <v>Marcos Cesar Santos de Araújo</v>
      </c>
      <c r="C235" s="159"/>
      <c r="D235" s="159">
        <v>10</v>
      </c>
      <c r="E235" s="159">
        <v>15</v>
      </c>
      <c r="F235" s="159"/>
      <c r="G235" s="159">
        <v>10</v>
      </c>
      <c r="H235" s="159"/>
      <c r="I235" s="7">
        <f t="shared" si="32"/>
        <v>35</v>
      </c>
    </row>
    <row r="236" spans="1:9" ht="15.75" x14ac:dyDescent="0.25">
      <c r="A236" s="23">
        <v>855</v>
      </c>
      <c r="B236" s="6" t="str">
        <f>CADASTROS!$C$149</f>
        <v>Jaciana Oliveira de Souza</v>
      </c>
      <c r="C236" s="159"/>
      <c r="D236" s="159"/>
      <c r="E236" s="159"/>
      <c r="F236" s="159"/>
      <c r="G236" s="159"/>
      <c r="H236" s="159"/>
      <c r="I236" s="7">
        <f t="shared" si="32"/>
        <v>0</v>
      </c>
    </row>
    <row r="237" spans="1:9" ht="15.75" x14ac:dyDescent="0.25">
      <c r="A237" s="23">
        <v>856</v>
      </c>
      <c r="B237" s="6" t="str">
        <f>CADASTROS!$C$150</f>
        <v>Eduarda Pires Brandão</v>
      </c>
      <c r="C237" s="159"/>
      <c r="D237" s="159"/>
      <c r="E237" s="159"/>
      <c r="F237" s="159"/>
      <c r="G237" s="159"/>
      <c r="H237" s="159"/>
      <c r="I237" s="7">
        <f t="shared" si="32"/>
        <v>0</v>
      </c>
    </row>
    <row r="238" spans="1:9" ht="15.75" x14ac:dyDescent="0.25">
      <c r="A238" s="23">
        <v>857</v>
      </c>
      <c r="B238" s="6" t="str">
        <f>CADASTROS!$C$151</f>
        <v>Elisangela Bispo da Silva</v>
      </c>
      <c r="C238" s="159"/>
      <c r="D238" s="159"/>
      <c r="E238" s="159"/>
      <c r="F238" s="159"/>
      <c r="G238" s="159"/>
      <c r="H238" s="159"/>
      <c r="I238" s="7">
        <f t="shared" si="32"/>
        <v>0</v>
      </c>
    </row>
    <row r="239" spans="1:9" ht="15.75" x14ac:dyDescent="0.25">
      <c r="A239" s="23">
        <v>858</v>
      </c>
      <c r="B239" s="6" t="str">
        <f>CADASTROS!$C$152</f>
        <v>Robson Miranda Santos</v>
      </c>
      <c r="C239" s="159"/>
      <c r="D239" s="159"/>
      <c r="E239" s="159"/>
      <c r="F239" s="159"/>
      <c r="G239" s="159"/>
      <c r="H239" s="159"/>
      <c r="I239" s="7">
        <f t="shared" si="32"/>
        <v>0</v>
      </c>
    </row>
    <row r="240" spans="1:9" ht="15.75" x14ac:dyDescent="0.25">
      <c r="A240" s="23">
        <v>859</v>
      </c>
      <c r="B240" s="6" t="str">
        <f>CADASTROS!$C$153</f>
        <v>Rita de Cássia Lisboa da Silva</v>
      </c>
      <c r="C240" s="159"/>
      <c r="D240" s="159"/>
      <c r="E240" s="159"/>
      <c r="F240" s="159"/>
      <c r="G240" s="159"/>
      <c r="H240" s="159"/>
      <c r="I240" s="7">
        <f t="shared" si="32"/>
        <v>0</v>
      </c>
    </row>
    <row r="241" spans="1:9" ht="15.75" x14ac:dyDescent="0.25">
      <c r="A241" s="23">
        <v>860</v>
      </c>
      <c r="B241" s="6" t="str">
        <f>CADASTROS!$C$154</f>
        <v>Eliene Oliveira Moraes</v>
      </c>
      <c r="C241" s="159"/>
      <c r="D241" s="159"/>
      <c r="E241" s="159"/>
      <c r="F241" s="159"/>
      <c r="G241" s="159"/>
      <c r="H241" s="159"/>
      <c r="I241" s="7">
        <f t="shared" si="32"/>
        <v>0</v>
      </c>
    </row>
    <row r="242" spans="1:9" ht="15.75" x14ac:dyDescent="0.25">
      <c r="A242" s="23">
        <v>861</v>
      </c>
      <c r="B242" s="6" t="str">
        <f>CADASTROS!$C$155</f>
        <v>Elias Dantas Moura</v>
      </c>
      <c r="C242" s="159"/>
      <c r="D242" s="159"/>
      <c r="E242" s="159"/>
      <c r="F242" s="159"/>
      <c r="G242" s="159"/>
      <c r="H242" s="159"/>
      <c r="I242" s="7">
        <f t="shared" si="32"/>
        <v>0</v>
      </c>
    </row>
    <row r="243" spans="1:9" ht="15.75" x14ac:dyDescent="0.25">
      <c r="A243" s="23">
        <v>862</v>
      </c>
      <c r="B243" s="6" t="str">
        <f>CADASTROS!$C$156</f>
        <v>José Santos Souza</v>
      </c>
      <c r="C243" s="159"/>
      <c r="D243" s="159"/>
      <c r="E243" s="159"/>
      <c r="F243" s="159"/>
      <c r="G243" s="159"/>
      <c r="H243" s="159"/>
      <c r="I243" s="7">
        <f t="shared" si="32"/>
        <v>0</v>
      </c>
    </row>
    <row r="244" spans="1:9" ht="15.75" x14ac:dyDescent="0.25">
      <c r="A244" s="23">
        <v>863</v>
      </c>
      <c r="B244" s="6" t="str">
        <f>CADASTROS!$C$157</f>
        <v>Ailton Souza Pereira</v>
      </c>
      <c r="C244" s="159"/>
      <c r="D244" s="159"/>
      <c r="E244" s="159"/>
      <c r="F244" s="159"/>
      <c r="G244" s="159"/>
      <c r="H244" s="159"/>
      <c r="I244" s="7">
        <f t="shared" si="32"/>
        <v>0</v>
      </c>
    </row>
    <row r="245" spans="1:9" ht="15.75" x14ac:dyDescent="0.25">
      <c r="A245" s="23">
        <v>867</v>
      </c>
      <c r="B245" s="6" t="str">
        <f>CADASTROS!$C$158</f>
        <v>Elielma da Silva Nunes</v>
      </c>
      <c r="C245" s="159"/>
      <c r="D245" s="159"/>
      <c r="E245" s="159"/>
      <c r="F245" s="159"/>
      <c r="G245" s="159"/>
      <c r="H245" s="159"/>
      <c r="I245" s="7">
        <f t="shared" si="32"/>
        <v>0</v>
      </c>
    </row>
    <row r="246" spans="1:9" ht="15.75" x14ac:dyDescent="0.25">
      <c r="A246" s="23">
        <v>868</v>
      </c>
      <c r="B246" s="6" t="str">
        <f>CADASTROS!$C$159</f>
        <v>Jurandir Silva Oliveira</v>
      </c>
      <c r="C246" s="159"/>
      <c r="D246" s="159"/>
      <c r="E246" s="159">
        <v>14.5</v>
      </c>
      <c r="F246" s="159"/>
      <c r="G246" s="159">
        <v>14</v>
      </c>
      <c r="H246" s="159"/>
      <c r="I246" s="7">
        <f t="shared" si="32"/>
        <v>28.5</v>
      </c>
    </row>
    <row r="247" spans="1:9" ht="15.75" x14ac:dyDescent="0.25">
      <c r="B247" s="159" t="s">
        <v>4829</v>
      </c>
      <c r="C247" s="159">
        <f>SUM(C220:C246)</f>
        <v>22.5</v>
      </c>
      <c r="D247" s="159">
        <f>SUM(D220:D246)</f>
        <v>46</v>
      </c>
      <c r="E247" s="159">
        <f>SUM(E220:E246)</f>
        <v>59.5</v>
      </c>
      <c r="F247" s="159">
        <f>SUM(F220:F246)</f>
        <v>0</v>
      </c>
      <c r="G247" s="159">
        <f t="shared" ref="G247" si="33">SUM(G220:G246)</f>
        <v>34</v>
      </c>
      <c r="H247" s="159">
        <f t="shared" ref="H247" si="34">SUM(H220:H246)</f>
        <v>0</v>
      </c>
      <c r="I247" s="159">
        <f>SUM(I220:I246)</f>
        <v>162</v>
      </c>
    </row>
    <row r="249" spans="1:9" ht="15.75" x14ac:dyDescent="0.25">
      <c r="B249" s="8" t="s">
        <v>4830</v>
      </c>
      <c r="C249" s="159"/>
      <c r="D249" s="159"/>
      <c r="E249" s="159"/>
      <c r="F249" s="159"/>
      <c r="G249" s="159"/>
      <c r="H249" s="159"/>
      <c r="I249" s="159">
        <f>SUM(C249:H249)</f>
        <v>0</v>
      </c>
    </row>
    <row r="250" spans="1:9" x14ac:dyDescent="0.25">
      <c r="B250" s="167"/>
    </row>
    <row r="251" spans="1:9" ht="15.75" x14ac:dyDescent="0.25">
      <c r="B251" s="8" t="s">
        <v>4831</v>
      </c>
      <c r="C251" s="9" t="e">
        <f>C247/C249</f>
        <v>#DIV/0!</v>
      </c>
      <c r="D251" s="9" t="e">
        <f t="shared" ref="D251:H251" si="35">D247/D249</f>
        <v>#DIV/0!</v>
      </c>
      <c r="E251" s="9" t="e">
        <f t="shared" si="35"/>
        <v>#DIV/0!</v>
      </c>
      <c r="F251" s="9" t="e">
        <f t="shared" si="35"/>
        <v>#DIV/0!</v>
      </c>
      <c r="G251" s="9" t="e">
        <f t="shared" si="35"/>
        <v>#DIV/0!</v>
      </c>
      <c r="H251" s="9" t="e">
        <f t="shared" si="35"/>
        <v>#DIV/0!</v>
      </c>
      <c r="I251" s="9"/>
    </row>
    <row r="252" spans="1:9" ht="15.75" x14ac:dyDescent="0.25">
      <c r="B252" s="163"/>
      <c r="C252" s="10"/>
      <c r="D252" s="10"/>
      <c r="E252" s="10"/>
      <c r="F252" s="10"/>
      <c r="G252" s="10"/>
      <c r="H252" s="163"/>
      <c r="I252" s="163"/>
    </row>
    <row r="253" spans="1:9" ht="15.75" x14ac:dyDescent="0.25">
      <c r="B253" s="8" t="s">
        <v>4832</v>
      </c>
      <c r="C253" s="159"/>
      <c r="D253" s="159"/>
      <c r="E253" s="6"/>
      <c r="F253" s="6"/>
      <c r="G253" s="6"/>
      <c r="H253" s="6"/>
      <c r="I253" s="11"/>
    </row>
    <row r="254" spans="1:9" ht="15.75" x14ac:dyDescent="0.25">
      <c r="B254" s="28"/>
      <c r="C254" s="28"/>
      <c r="D254" s="28"/>
      <c r="E254" s="11"/>
      <c r="F254" s="11"/>
      <c r="G254" s="11"/>
      <c r="H254" s="11"/>
      <c r="I254" s="11"/>
    </row>
    <row r="255" spans="1:9" ht="15.75" x14ac:dyDescent="0.25">
      <c r="B255" s="28"/>
      <c r="C255" s="28"/>
      <c r="D255" s="28"/>
      <c r="E255" s="11"/>
      <c r="F255" s="11"/>
      <c r="G255" s="11"/>
      <c r="H255" s="11"/>
      <c r="I255" s="11"/>
    </row>
    <row r="256" spans="1:9" ht="15.75" x14ac:dyDescent="0.25">
      <c r="B256" s="28"/>
      <c r="C256" s="28"/>
      <c r="D256" s="28"/>
      <c r="E256" s="11"/>
      <c r="F256" s="11"/>
      <c r="G256" s="11"/>
      <c r="H256" s="11"/>
      <c r="I256" s="11"/>
    </row>
    <row r="257" spans="1:9" ht="15.75" x14ac:dyDescent="0.25">
      <c r="B257" s="28"/>
      <c r="C257" s="28"/>
      <c r="D257" s="28"/>
      <c r="E257" s="11"/>
      <c r="F257" s="11"/>
      <c r="G257" s="11"/>
      <c r="H257" s="11"/>
      <c r="I257" s="11"/>
    </row>
    <row r="258" spans="1:9" ht="21" x14ac:dyDescent="0.35">
      <c r="B258" s="184" t="s">
        <v>4816</v>
      </c>
      <c r="C258" s="185"/>
      <c r="D258" s="185"/>
      <c r="E258" s="185"/>
      <c r="F258" s="185"/>
      <c r="G258" s="185"/>
      <c r="H258" s="185"/>
      <c r="I258" s="186"/>
    </row>
    <row r="259" spans="1:9" ht="6" customHeight="1" x14ac:dyDescent="0.25">
      <c r="I259" s="3"/>
    </row>
    <row r="260" spans="1:9" ht="33.6" customHeight="1" x14ac:dyDescent="0.35">
      <c r="B260" s="192" t="s">
        <v>4817</v>
      </c>
      <c r="C260" s="193"/>
      <c r="D260" s="193"/>
      <c r="E260" s="193"/>
      <c r="F260" s="193"/>
      <c r="G260" s="193"/>
      <c r="H260" s="193"/>
      <c r="I260" s="194"/>
    </row>
    <row r="261" spans="1:9" ht="15" customHeight="1" x14ac:dyDescent="0.25"/>
    <row r="262" spans="1:9" ht="37.15" customHeight="1" x14ac:dyDescent="0.25">
      <c r="B262" s="187" t="s">
        <v>4818</v>
      </c>
      <c r="C262" s="188"/>
      <c r="D262" s="188"/>
      <c r="E262" s="188"/>
      <c r="F262" s="188"/>
      <c r="G262" s="188"/>
      <c r="H262" s="188"/>
      <c r="I262" s="189"/>
    </row>
    <row r="263" spans="1:9" ht="30" customHeight="1" x14ac:dyDescent="0.25">
      <c r="A263" s="155" t="s">
        <v>4819</v>
      </c>
      <c r="B263" s="155" t="s">
        <v>4820</v>
      </c>
      <c r="C263" s="4" t="s">
        <v>4821</v>
      </c>
      <c r="D263" s="4" t="s">
        <v>4822</v>
      </c>
      <c r="E263" s="88" t="s">
        <v>4823</v>
      </c>
      <c r="F263" s="88" t="s">
        <v>4824</v>
      </c>
      <c r="G263" s="88" t="s">
        <v>4825</v>
      </c>
      <c r="H263" s="4" t="s">
        <v>4826</v>
      </c>
      <c r="I263" s="29" t="s">
        <v>4827</v>
      </c>
    </row>
    <row r="264" spans="1:9" ht="36" customHeight="1" x14ac:dyDescent="0.25">
      <c r="A264" s="156"/>
      <c r="B264" s="156"/>
      <c r="C264" s="13" t="s">
        <v>4828</v>
      </c>
      <c r="D264" s="13" t="s">
        <v>4828</v>
      </c>
      <c r="E264" s="13" t="s">
        <v>4828</v>
      </c>
      <c r="F264" s="13" t="s">
        <v>4828</v>
      </c>
      <c r="G264" s="13" t="s">
        <v>4828</v>
      </c>
      <c r="H264" s="13" t="s">
        <v>4828</v>
      </c>
      <c r="I264" s="30"/>
    </row>
    <row r="265" spans="1:9" ht="15.75" x14ac:dyDescent="0.25">
      <c r="A265" s="23">
        <v>869</v>
      </c>
      <c r="B265" s="6" t="str">
        <f>CADASTROS!$C$160</f>
        <v>Luziene Silva de Souza</v>
      </c>
      <c r="C265" s="159"/>
      <c r="D265" s="159"/>
      <c r="E265" s="159"/>
      <c r="F265" s="159"/>
      <c r="G265" s="159"/>
      <c r="H265" s="159"/>
      <c r="I265" s="7">
        <f>SUM(C265+D265+E265+F265+G265+H265)</f>
        <v>0</v>
      </c>
    </row>
    <row r="266" spans="1:9" ht="15.75" x14ac:dyDescent="0.25">
      <c r="A266" s="23">
        <v>870</v>
      </c>
      <c r="B266" s="6" t="str">
        <f>CADASTROS!$C$161</f>
        <v>Natiele do Espírito Santo</v>
      </c>
      <c r="C266" s="159"/>
      <c r="D266" s="159"/>
      <c r="E266" s="159"/>
      <c r="F266" s="159"/>
      <c r="G266" s="159"/>
      <c r="H266" s="159"/>
      <c r="I266" s="7">
        <f t="shared" ref="I266:I291" si="36">SUM(C266+D266+E266+F266+G266+H266)</f>
        <v>0</v>
      </c>
    </row>
    <row r="267" spans="1:9" ht="15.75" x14ac:dyDescent="0.25">
      <c r="A267" s="23">
        <v>871</v>
      </c>
      <c r="B267" s="6" t="str">
        <f>CADASTROS!$C$162</f>
        <v>Elizabete Santos da Cruz</v>
      </c>
      <c r="C267" s="159"/>
      <c r="D267" s="159"/>
      <c r="E267" s="159"/>
      <c r="F267" s="159"/>
      <c r="G267" s="159"/>
      <c r="H267" s="159"/>
      <c r="I267" s="7">
        <f t="shared" si="36"/>
        <v>0</v>
      </c>
    </row>
    <row r="268" spans="1:9" ht="15.75" x14ac:dyDescent="0.25">
      <c r="A268" s="23">
        <v>872</v>
      </c>
      <c r="B268" s="6" t="str">
        <f>CADASTROS!$C$163</f>
        <v>Valdinei Araújo Gomes</v>
      </c>
      <c r="C268" s="159"/>
      <c r="D268" s="159"/>
      <c r="E268" s="159"/>
      <c r="F268" s="159"/>
      <c r="G268" s="159"/>
      <c r="H268" s="159"/>
      <c r="I268" s="7">
        <f t="shared" si="36"/>
        <v>0</v>
      </c>
    </row>
    <row r="269" spans="1:9" ht="15.75" x14ac:dyDescent="0.25">
      <c r="A269" s="23">
        <v>874</v>
      </c>
      <c r="B269" s="6" t="str">
        <f>CADASTROS!$C$164</f>
        <v>Noelma Novais Carvalho</v>
      </c>
      <c r="C269" s="159"/>
      <c r="D269" s="159"/>
      <c r="E269" s="159"/>
      <c r="F269" s="159"/>
      <c r="G269" s="159"/>
      <c r="H269" s="159"/>
      <c r="I269" s="7">
        <f t="shared" si="36"/>
        <v>0</v>
      </c>
    </row>
    <row r="270" spans="1:9" ht="15.75" x14ac:dyDescent="0.25">
      <c r="A270" s="23">
        <v>875</v>
      </c>
      <c r="B270" s="6" t="str">
        <f>CADASTROS!$C$165</f>
        <v>Evando Oliveira Medrado</v>
      </c>
      <c r="C270" s="159"/>
      <c r="D270" s="159"/>
      <c r="E270" s="159"/>
      <c r="F270" s="159"/>
      <c r="G270" s="159"/>
      <c r="H270" s="159"/>
      <c r="I270" s="7">
        <f t="shared" si="36"/>
        <v>0</v>
      </c>
    </row>
    <row r="271" spans="1:9" ht="15.75" x14ac:dyDescent="0.25">
      <c r="A271" s="23">
        <v>876</v>
      </c>
      <c r="B271" s="6" t="str">
        <f>CADASTROS!$C$166</f>
        <v>Gilberto de Souza Viana</v>
      </c>
      <c r="C271" s="159"/>
      <c r="D271" s="159"/>
      <c r="E271" s="159"/>
      <c r="F271" s="159"/>
      <c r="G271" s="159"/>
      <c r="H271" s="159"/>
      <c r="I271" s="7">
        <f t="shared" si="36"/>
        <v>0</v>
      </c>
    </row>
    <row r="272" spans="1:9" ht="15.75" x14ac:dyDescent="0.25">
      <c r="A272" s="23">
        <v>877</v>
      </c>
      <c r="B272" s="6" t="str">
        <f>CADASTROS!$C$167</f>
        <v>Gilberto Carlos Sousa Santana</v>
      </c>
      <c r="C272" s="159"/>
      <c r="D272" s="159"/>
      <c r="E272" s="159"/>
      <c r="F272" s="159"/>
      <c r="G272" s="159"/>
      <c r="H272" s="159"/>
      <c r="I272" s="7">
        <f t="shared" si="36"/>
        <v>0</v>
      </c>
    </row>
    <row r="273" spans="1:9" ht="15.75" x14ac:dyDescent="0.25">
      <c r="A273" s="23">
        <v>878</v>
      </c>
      <c r="B273" s="6" t="str">
        <f>CADASTROS!$C$168</f>
        <v>José Antônio Silva de Oliveira</v>
      </c>
      <c r="C273" s="159"/>
      <c r="D273" s="159"/>
      <c r="E273" s="159"/>
      <c r="F273" s="159"/>
      <c r="G273" s="159"/>
      <c r="H273" s="159"/>
      <c r="I273" s="7">
        <f t="shared" si="36"/>
        <v>0</v>
      </c>
    </row>
    <row r="274" spans="1:9" ht="15.75" x14ac:dyDescent="0.25">
      <c r="A274" s="23">
        <v>879</v>
      </c>
      <c r="B274" s="6" t="str">
        <f>CADASTROS!$C$169</f>
        <v>Edvaldo Brito da Silva</v>
      </c>
      <c r="C274" s="159"/>
      <c r="D274" s="159"/>
      <c r="E274" s="159"/>
      <c r="F274" s="159"/>
      <c r="G274" s="159"/>
      <c r="H274" s="159"/>
      <c r="I274" s="7">
        <f t="shared" si="36"/>
        <v>0</v>
      </c>
    </row>
    <row r="275" spans="1:9" ht="15.75" x14ac:dyDescent="0.25">
      <c r="A275" s="23">
        <v>880</v>
      </c>
      <c r="B275" s="6" t="str">
        <f>CADASTROS!$C$170</f>
        <v>Jéssica Santos Costa</v>
      </c>
      <c r="C275" s="159"/>
      <c r="D275" s="159"/>
      <c r="E275" s="159"/>
      <c r="F275" s="159"/>
      <c r="G275" s="159"/>
      <c r="H275" s="159"/>
      <c r="I275" s="7">
        <f t="shared" si="36"/>
        <v>0</v>
      </c>
    </row>
    <row r="276" spans="1:9" ht="15.75" x14ac:dyDescent="0.25">
      <c r="A276" s="23">
        <v>883</v>
      </c>
      <c r="B276" s="6" t="str">
        <f>CADASTROS!$C$171</f>
        <v>Eunice Jesus Santos</v>
      </c>
      <c r="C276" s="159"/>
      <c r="D276" s="159"/>
      <c r="E276" s="159"/>
      <c r="F276" s="159"/>
      <c r="G276" s="159"/>
      <c r="H276" s="159"/>
      <c r="I276" s="7">
        <f t="shared" si="36"/>
        <v>0</v>
      </c>
    </row>
    <row r="277" spans="1:9" ht="15.75" x14ac:dyDescent="0.25">
      <c r="A277" s="23">
        <v>884</v>
      </c>
      <c r="B277" s="6" t="str">
        <f>CADASTROS!$C$172</f>
        <v>Flávio de Sousa Santos</v>
      </c>
      <c r="C277" s="159"/>
      <c r="D277" s="159"/>
      <c r="E277" s="159"/>
      <c r="F277" s="159"/>
      <c r="G277" s="159"/>
      <c r="H277" s="159"/>
      <c r="I277" s="7">
        <f t="shared" si="36"/>
        <v>0</v>
      </c>
    </row>
    <row r="278" spans="1:9" ht="15.75" x14ac:dyDescent="0.25">
      <c r="A278" s="23">
        <v>886</v>
      </c>
      <c r="B278" s="6" t="str">
        <f>CADASTROS!$C$173</f>
        <v>Paulo Cesar dos Santos</v>
      </c>
      <c r="C278" s="159"/>
      <c r="D278" s="159"/>
      <c r="E278" s="159"/>
      <c r="F278" s="159"/>
      <c r="G278" s="159"/>
      <c r="H278" s="159"/>
      <c r="I278" s="7">
        <f t="shared" si="36"/>
        <v>0</v>
      </c>
    </row>
    <row r="279" spans="1:9" ht="15.75" x14ac:dyDescent="0.25">
      <c r="A279" s="23">
        <v>887</v>
      </c>
      <c r="B279" s="6" t="str">
        <f>CADASTROS!$C$174</f>
        <v>Adailton Sabino da Silva</v>
      </c>
      <c r="C279" s="159"/>
      <c r="D279" s="159">
        <v>7.5</v>
      </c>
      <c r="E279" s="159">
        <v>8</v>
      </c>
      <c r="F279" s="159">
        <v>7</v>
      </c>
      <c r="G279" s="159"/>
      <c r="H279" s="159"/>
      <c r="I279" s="7">
        <f t="shared" si="36"/>
        <v>22.5</v>
      </c>
    </row>
    <row r="280" spans="1:9" ht="15.75" x14ac:dyDescent="0.25">
      <c r="A280" s="23">
        <v>888</v>
      </c>
      <c r="B280" s="6" t="str">
        <f>CADASTROS!$C$175</f>
        <v>Laelson Sateles Neves</v>
      </c>
      <c r="C280" s="159"/>
      <c r="D280" s="159"/>
      <c r="E280" s="159"/>
      <c r="F280" s="159"/>
      <c r="G280" s="159"/>
      <c r="H280" s="159"/>
      <c r="I280" s="7">
        <f t="shared" si="36"/>
        <v>0</v>
      </c>
    </row>
    <row r="281" spans="1:9" ht="15.75" x14ac:dyDescent="0.25">
      <c r="A281" s="23">
        <v>889</v>
      </c>
      <c r="B281" s="6" t="str">
        <f>CADASTROS!$C$176</f>
        <v>Vivaldo Bispo de Almeida</v>
      </c>
      <c r="C281" s="159"/>
      <c r="D281" s="159"/>
      <c r="E281" s="159"/>
      <c r="F281" s="159"/>
      <c r="G281" s="159"/>
      <c r="H281" s="159"/>
      <c r="I281" s="7">
        <f t="shared" si="36"/>
        <v>0</v>
      </c>
    </row>
    <row r="282" spans="1:9" ht="15.75" x14ac:dyDescent="0.25">
      <c r="A282" s="23">
        <v>890</v>
      </c>
      <c r="B282" s="6" t="str">
        <f>CADASTROS!$C$177</f>
        <v>Antônio C Costa</v>
      </c>
      <c r="C282" s="159"/>
      <c r="D282" s="159"/>
      <c r="E282" s="159"/>
      <c r="F282" s="159"/>
      <c r="G282" s="159"/>
      <c r="H282" s="159"/>
      <c r="I282" s="7">
        <f t="shared" si="36"/>
        <v>0</v>
      </c>
    </row>
    <row r="283" spans="1:9" ht="15.75" x14ac:dyDescent="0.25">
      <c r="A283" s="23">
        <v>891</v>
      </c>
      <c r="B283" s="6" t="str">
        <f>CADASTROS!$C$178</f>
        <v>Gleide Brito da Silva</v>
      </c>
      <c r="C283" s="159">
        <v>11.5</v>
      </c>
      <c r="D283" s="159">
        <v>10</v>
      </c>
      <c r="E283" s="159">
        <v>21.5</v>
      </c>
      <c r="F283" s="159"/>
      <c r="G283" s="159">
        <v>21</v>
      </c>
      <c r="H283" s="159"/>
      <c r="I283" s="7">
        <f t="shared" si="36"/>
        <v>64</v>
      </c>
    </row>
    <row r="284" spans="1:9" ht="15.75" x14ac:dyDescent="0.25">
      <c r="A284" s="23">
        <v>892</v>
      </c>
      <c r="B284" s="6" t="str">
        <f>CADASTROS!$C$179</f>
        <v>Sandra Miranda de Souza</v>
      </c>
      <c r="C284" s="159"/>
      <c r="D284" s="159"/>
      <c r="E284" s="159"/>
      <c r="F284" s="159"/>
      <c r="G284" s="159"/>
      <c r="H284" s="159"/>
      <c r="I284" s="7">
        <f t="shared" si="36"/>
        <v>0</v>
      </c>
    </row>
    <row r="285" spans="1:9" ht="15.75" x14ac:dyDescent="0.25">
      <c r="A285" s="23">
        <v>893</v>
      </c>
      <c r="B285" s="6" t="str">
        <f>CADASTROS!$C$180</f>
        <v>Maridete Lino dos Santos</v>
      </c>
      <c r="C285" s="159"/>
      <c r="D285" s="159"/>
      <c r="E285" s="159"/>
      <c r="F285" s="159"/>
      <c r="G285" s="159"/>
      <c r="H285" s="159"/>
      <c r="I285" s="7">
        <f t="shared" si="36"/>
        <v>0</v>
      </c>
    </row>
    <row r="286" spans="1:9" ht="15.75" x14ac:dyDescent="0.25">
      <c r="A286" s="23">
        <v>894</v>
      </c>
      <c r="B286" s="6" t="str">
        <f>CADASTROS!$C$181</f>
        <v>Nedian Hilário Rodrigues</v>
      </c>
      <c r="C286" s="159"/>
      <c r="D286" s="159"/>
      <c r="E286" s="159"/>
      <c r="F286" s="159"/>
      <c r="G286" s="159"/>
      <c r="H286" s="159"/>
      <c r="I286" s="7">
        <f t="shared" si="36"/>
        <v>0</v>
      </c>
    </row>
    <row r="287" spans="1:9" ht="15.75" x14ac:dyDescent="0.25">
      <c r="A287" s="23">
        <v>895</v>
      </c>
      <c r="B287" s="6" t="str">
        <f>CADASTROS!$C$632</f>
        <v>Ana Gleide Rosa Sateles</v>
      </c>
      <c r="C287" s="159"/>
      <c r="D287" s="159"/>
      <c r="E287" s="159"/>
      <c r="F287" s="159"/>
      <c r="G287" s="159"/>
      <c r="H287" s="159"/>
      <c r="I287" s="7">
        <f t="shared" si="36"/>
        <v>0</v>
      </c>
    </row>
    <row r="288" spans="1:9" ht="15.75" x14ac:dyDescent="0.25">
      <c r="A288" s="23">
        <v>897</v>
      </c>
      <c r="B288" s="6" t="str">
        <f>CADASTROS!$C$633</f>
        <v>Lindinalva J Fernandes</v>
      </c>
      <c r="C288" s="159"/>
      <c r="D288" s="159"/>
      <c r="E288" s="159"/>
      <c r="F288" s="159"/>
      <c r="G288" s="159"/>
      <c r="H288" s="159"/>
      <c r="I288" s="7">
        <f t="shared" si="36"/>
        <v>0</v>
      </c>
    </row>
    <row r="289" spans="1:9" ht="15.75" x14ac:dyDescent="0.25">
      <c r="A289" s="23">
        <v>898</v>
      </c>
      <c r="B289" s="6" t="str">
        <f>CADASTROS!$C$634</f>
        <v>Glecione de Novais Anjos</v>
      </c>
      <c r="C289" s="159"/>
      <c r="D289" s="159"/>
      <c r="E289" s="159"/>
      <c r="F289" s="159"/>
      <c r="G289" s="159"/>
      <c r="H289" s="159"/>
      <c r="I289" s="7">
        <f t="shared" si="36"/>
        <v>0</v>
      </c>
    </row>
    <row r="290" spans="1:9" ht="15.75" x14ac:dyDescent="0.25">
      <c r="A290" s="23">
        <v>899</v>
      </c>
      <c r="B290" s="6" t="str">
        <f>CADASTROS!$C$635</f>
        <v>José Romilton M da Silva</v>
      </c>
      <c r="C290" s="159"/>
      <c r="D290" s="159"/>
      <c r="E290" s="159"/>
      <c r="F290" s="159"/>
      <c r="G290" s="159"/>
      <c r="H290" s="159"/>
      <c r="I290" s="7">
        <f t="shared" si="36"/>
        <v>0</v>
      </c>
    </row>
    <row r="291" spans="1:9" ht="15.75" x14ac:dyDescent="0.25">
      <c r="A291" s="23">
        <v>900</v>
      </c>
      <c r="B291" s="6" t="str">
        <f>CADASTROS!$C$636</f>
        <v>Sorlete Rodrigues Almeida</v>
      </c>
      <c r="C291" s="159"/>
      <c r="D291" s="159"/>
      <c r="E291" s="159"/>
      <c r="F291" s="159"/>
      <c r="G291" s="159"/>
      <c r="H291" s="159"/>
      <c r="I291" s="7">
        <f t="shared" si="36"/>
        <v>0</v>
      </c>
    </row>
    <row r="292" spans="1:9" ht="15.75" x14ac:dyDescent="0.25">
      <c r="B292" s="159" t="s">
        <v>4829</v>
      </c>
      <c r="C292" s="159">
        <f>SUM(C265:C291)</f>
        <v>11.5</v>
      </c>
      <c r="D292" s="159">
        <f t="shared" ref="D292" si="37">SUM(D265:D291)</f>
        <v>17.5</v>
      </c>
      <c r="E292" s="159">
        <f t="shared" ref="E292" si="38">SUM(E265:E291)</f>
        <v>29.5</v>
      </c>
      <c r="F292" s="159">
        <f t="shared" ref="F292" si="39">SUM(F265:F291)</f>
        <v>7</v>
      </c>
      <c r="G292" s="159">
        <f t="shared" ref="G292" si="40">SUM(G265:G291)</f>
        <v>21</v>
      </c>
      <c r="H292" s="159">
        <f t="shared" ref="H292" si="41">SUM(H265:H291)</f>
        <v>0</v>
      </c>
      <c r="I292" s="159">
        <f>SUM(I265:I291)</f>
        <v>86.5</v>
      </c>
    </row>
    <row r="294" spans="1:9" ht="15.75" x14ac:dyDescent="0.25">
      <c r="B294" s="8" t="s">
        <v>4830</v>
      </c>
      <c r="C294" s="159"/>
      <c r="D294" s="159"/>
      <c r="E294" s="159"/>
      <c r="F294" s="159"/>
      <c r="G294" s="159"/>
      <c r="H294" s="159"/>
      <c r="I294" s="159">
        <f>SUM(C294:H294)</f>
        <v>0</v>
      </c>
    </row>
    <row r="295" spans="1:9" x14ac:dyDescent="0.25">
      <c r="B295" s="167"/>
    </row>
    <row r="296" spans="1:9" ht="15.75" x14ac:dyDescent="0.25">
      <c r="B296" s="8" t="s">
        <v>4831</v>
      </c>
      <c r="C296" s="9" t="e">
        <f>C292/C294</f>
        <v>#DIV/0!</v>
      </c>
      <c r="D296" s="9" t="e">
        <f t="shared" ref="D296:H296" si="42">D292/D294</f>
        <v>#DIV/0!</v>
      </c>
      <c r="E296" s="9" t="e">
        <f t="shared" si="42"/>
        <v>#DIV/0!</v>
      </c>
      <c r="F296" s="9" t="e">
        <f t="shared" si="42"/>
        <v>#DIV/0!</v>
      </c>
      <c r="G296" s="9" t="e">
        <f t="shared" si="42"/>
        <v>#DIV/0!</v>
      </c>
      <c r="H296" s="9" t="e">
        <f t="shared" si="42"/>
        <v>#DIV/0!</v>
      </c>
      <c r="I296" s="9"/>
    </row>
    <row r="297" spans="1:9" ht="15.75" x14ac:dyDescent="0.25">
      <c r="B297" s="163"/>
      <c r="C297" s="10"/>
      <c r="D297" s="10"/>
      <c r="E297" s="10"/>
      <c r="F297" s="10"/>
      <c r="G297" s="10"/>
      <c r="H297" s="163"/>
      <c r="I297" s="163"/>
    </row>
    <row r="298" spans="1:9" ht="15.75" x14ac:dyDescent="0.25">
      <c r="B298" s="8" t="s">
        <v>4832</v>
      </c>
      <c r="C298" s="159"/>
      <c r="D298" s="159"/>
      <c r="E298" s="6"/>
      <c r="F298" s="6"/>
      <c r="G298" s="6"/>
      <c r="H298" s="6"/>
      <c r="I298" s="11"/>
    </row>
    <row r="299" spans="1:9" ht="15.75" x14ac:dyDescent="0.25">
      <c r="B299" s="28"/>
      <c r="C299" s="28"/>
      <c r="D299" s="28"/>
      <c r="E299" s="11"/>
      <c r="F299" s="11"/>
      <c r="G299" s="11"/>
      <c r="H299" s="11"/>
      <c r="I299" s="11"/>
    </row>
    <row r="300" spans="1:9" ht="15.75" x14ac:dyDescent="0.25">
      <c r="B300" s="28"/>
      <c r="C300" s="28"/>
      <c r="D300" s="28"/>
      <c r="E300" s="11"/>
      <c r="F300" s="11"/>
      <c r="G300" s="11"/>
      <c r="H300" s="11"/>
      <c r="I300" s="11"/>
    </row>
    <row r="302" spans="1:9" ht="21" x14ac:dyDescent="0.35">
      <c r="B302" s="184" t="s">
        <v>4816</v>
      </c>
      <c r="C302" s="185"/>
      <c r="D302" s="185"/>
      <c r="E302" s="185"/>
      <c r="F302" s="185"/>
      <c r="G302" s="185"/>
      <c r="H302" s="185"/>
      <c r="I302" s="186"/>
    </row>
    <row r="303" spans="1:9" ht="6" customHeight="1" x14ac:dyDescent="0.25">
      <c r="I303" s="3"/>
    </row>
    <row r="304" spans="1:9" ht="28.5" customHeight="1" x14ac:dyDescent="0.35">
      <c r="B304" s="192" t="s">
        <v>4817</v>
      </c>
      <c r="C304" s="193"/>
      <c r="D304" s="193"/>
      <c r="E304" s="193"/>
      <c r="F304" s="193"/>
      <c r="G304" s="193"/>
      <c r="H304" s="193"/>
      <c r="I304" s="194"/>
    </row>
    <row r="305" spans="1:9" ht="15" customHeight="1" x14ac:dyDescent="0.25"/>
    <row r="306" spans="1:9" ht="36" customHeight="1" x14ac:dyDescent="0.25">
      <c r="B306" s="187" t="s">
        <v>4833</v>
      </c>
      <c r="C306" s="188"/>
      <c r="D306" s="188"/>
      <c r="E306" s="188"/>
      <c r="F306" s="188"/>
      <c r="G306" s="188"/>
      <c r="H306" s="188"/>
      <c r="I306" s="189"/>
    </row>
    <row r="307" spans="1:9" ht="30" customHeight="1" x14ac:dyDescent="0.25">
      <c r="A307" s="155" t="s">
        <v>4819</v>
      </c>
      <c r="B307" s="155" t="s">
        <v>4820</v>
      </c>
      <c r="C307" s="4" t="s">
        <v>4821</v>
      </c>
      <c r="D307" s="4" t="s">
        <v>4822</v>
      </c>
      <c r="E307" s="88" t="s">
        <v>4823</v>
      </c>
      <c r="F307" s="88" t="s">
        <v>4824</v>
      </c>
      <c r="G307" s="88" t="s">
        <v>4825</v>
      </c>
      <c r="H307" s="4" t="s">
        <v>4826</v>
      </c>
      <c r="I307" s="29" t="s">
        <v>4827</v>
      </c>
    </row>
    <row r="308" spans="1:9" ht="36.75" customHeight="1" x14ac:dyDescent="0.25">
      <c r="A308" s="156"/>
      <c r="B308" s="156"/>
      <c r="C308" s="13" t="s">
        <v>4828</v>
      </c>
      <c r="D308" s="13" t="s">
        <v>4828</v>
      </c>
      <c r="E308" s="13" t="s">
        <v>4828</v>
      </c>
      <c r="F308" s="13" t="s">
        <v>4828</v>
      </c>
      <c r="G308" s="13" t="s">
        <v>4828</v>
      </c>
      <c r="H308" s="13" t="s">
        <v>4828</v>
      </c>
      <c r="I308" s="30"/>
    </row>
    <row r="309" spans="1:9" ht="15.75" x14ac:dyDescent="0.25">
      <c r="A309" s="23">
        <v>316</v>
      </c>
      <c r="B309" s="6" t="str">
        <f>CADASTROS!$C$182</f>
        <v>Ideiblem de Santana Lima</v>
      </c>
      <c r="C309" s="159"/>
      <c r="D309" s="159"/>
      <c r="E309" s="159"/>
      <c r="F309" s="159"/>
      <c r="G309" s="159"/>
      <c r="H309" s="159"/>
      <c r="I309" s="7">
        <f>SUM(C309+D309+E309+F309+G309+H309)</f>
        <v>0</v>
      </c>
    </row>
    <row r="310" spans="1:9" ht="15.75" x14ac:dyDescent="0.25">
      <c r="A310" s="23">
        <v>317</v>
      </c>
      <c r="B310" s="6" t="str">
        <f>CADASTROS!$C$183</f>
        <v>Romeilton de Jesus Souza</v>
      </c>
      <c r="C310" s="159"/>
      <c r="D310" s="159"/>
      <c r="E310" s="159"/>
      <c r="F310" s="159"/>
      <c r="G310" s="159"/>
      <c r="H310" s="159"/>
      <c r="I310" s="7">
        <f t="shared" ref="I310:I335" si="43">SUM(C310+D310+E310+F310+G310+H310)</f>
        <v>0</v>
      </c>
    </row>
    <row r="311" spans="1:9" ht="15.75" x14ac:dyDescent="0.25">
      <c r="A311" s="23">
        <v>318</v>
      </c>
      <c r="B311" s="6" t="str">
        <f>CADASTROS!$C$184</f>
        <v>Lucas Pereira Gomes</v>
      </c>
      <c r="C311" s="159"/>
      <c r="D311" s="159"/>
      <c r="E311" s="159"/>
      <c r="F311" s="159"/>
      <c r="G311" s="159"/>
      <c r="H311" s="159"/>
      <c r="I311" s="7">
        <f t="shared" si="43"/>
        <v>0</v>
      </c>
    </row>
    <row r="312" spans="1:9" ht="15.75" x14ac:dyDescent="0.25">
      <c r="A312" s="23">
        <v>319</v>
      </c>
      <c r="B312" s="6" t="str">
        <f>CADASTROS!$C$185</f>
        <v>Erivaldo Souza da Silva</v>
      </c>
      <c r="C312" s="159"/>
      <c r="D312" s="159"/>
      <c r="E312" s="159"/>
      <c r="F312" s="159"/>
      <c r="G312" s="159"/>
      <c r="H312" s="159"/>
      <c r="I312" s="7">
        <f t="shared" si="43"/>
        <v>0</v>
      </c>
    </row>
    <row r="313" spans="1:9" ht="15.75" x14ac:dyDescent="0.25">
      <c r="A313" s="23">
        <v>320</v>
      </c>
      <c r="B313" s="6" t="str">
        <f>CADASTROS!$C$186</f>
        <v>Marilene de Araújo Souza</v>
      </c>
      <c r="C313" s="159"/>
      <c r="D313" s="159"/>
      <c r="E313" s="159"/>
      <c r="F313" s="159"/>
      <c r="G313" s="159"/>
      <c r="H313" s="159"/>
      <c r="I313" s="7">
        <f t="shared" si="43"/>
        <v>0</v>
      </c>
    </row>
    <row r="314" spans="1:9" ht="15.75" x14ac:dyDescent="0.25">
      <c r="A314" s="23">
        <v>322</v>
      </c>
      <c r="B314" s="6" t="str">
        <f>CADASTROS!$C$187</f>
        <v>Leonardo da Silva Moura</v>
      </c>
      <c r="C314" s="159"/>
      <c r="D314" s="159"/>
      <c r="E314" s="159"/>
      <c r="F314" s="159"/>
      <c r="G314" s="159"/>
      <c r="H314" s="159"/>
      <c r="I314" s="7">
        <f t="shared" si="43"/>
        <v>0</v>
      </c>
    </row>
    <row r="315" spans="1:9" ht="15.75" x14ac:dyDescent="0.25">
      <c r="A315" s="23">
        <v>323</v>
      </c>
      <c r="B315" s="6" t="str">
        <f>CADASTROS!$C$188</f>
        <v>Jaelson Araújo dos Anjos</v>
      </c>
      <c r="C315" s="159"/>
      <c r="D315" s="159"/>
      <c r="E315" s="159"/>
      <c r="F315" s="159"/>
      <c r="G315" s="159"/>
      <c r="H315" s="159"/>
      <c r="I315" s="7">
        <f t="shared" si="43"/>
        <v>0</v>
      </c>
    </row>
    <row r="316" spans="1:9" ht="15.75" x14ac:dyDescent="0.25">
      <c r="A316" s="23">
        <v>324</v>
      </c>
      <c r="B316" s="6" t="str">
        <f>CADASTROS!$C$189</f>
        <v>Welton Araújo dos Anjos</v>
      </c>
      <c r="C316" s="159"/>
      <c r="D316" s="159"/>
      <c r="E316" s="159"/>
      <c r="F316" s="159"/>
      <c r="G316" s="159"/>
      <c r="H316" s="159"/>
      <c r="I316" s="7">
        <f t="shared" si="43"/>
        <v>0</v>
      </c>
    </row>
    <row r="317" spans="1:9" ht="15.75" x14ac:dyDescent="0.25">
      <c r="A317" s="23">
        <v>325</v>
      </c>
      <c r="B317" s="6" t="str">
        <f>CADASTROS!$C$190</f>
        <v>Evanildo Souza de Oliveira</v>
      </c>
      <c r="C317" s="159"/>
      <c r="D317" s="159"/>
      <c r="E317" s="159"/>
      <c r="F317" s="159"/>
      <c r="G317" s="159"/>
      <c r="H317" s="159"/>
      <c r="I317" s="7">
        <f t="shared" si="43"/>
        <v>0</v>
      </c>
    </row>
    <row r="318" spans="1:9" ht="15.75" x14ac:dyDescent="0.25">
      <c r="A318" s="23">
        <v>326</v>
      </c>
      <c r="B318" s="6" t="str">
        <f>CADASTROS!$C$191</f>
        <v>Reinan Maciel Pinto</v>
      </c>
      <c r="C318" s="159"/>
      <c r="D318" s="159"/>
      <c r="E318" s="159"/>
      <c r="F318" s="159"/>
      <c r="G318" s="159"/>
      <c r="H318" s="159"/>
      <c r="I318" s="7">
        <f t="shared" si="43"/>
        <v>0</v>
      </c>
    </row>
    <row r="319" spans="1:9" ht="15.75" x14ac:dyDescent="0.25">
      <c r="A319" s="23">
        <v>327</v>
      </c>
      <c r="B319" s="6" t="str">
        <f>CADASTROS!$C$192</f>
        <v>Sirleide da Silva Santana</v>
      </c>
      <c r="C319" s="159"/>
      <c r="D319" s="159"/>
      <c r="E319" s="159"/>
      <c r="F319" s="159"/>
      <c r="G319" s="159"/>
      <c r="H319" s="159"/>
      <c r="I319" s="7">
        <f t="shared" si="43"/>
        <v>0</v>
      </c>
    </row>
    <row r="320" spans="1:9" ht="15.75" x14ac:dyDescent="0.25">
      <c r="A320" s="23">
        <v>328</v>
      </c>
      <c r="B320" s="6" t="str">
        <f>CADASTROS!$C$193</f>
        <v>Iranilda M Souza</v>
      </c>
      <c r="C320" s="159">
        <v>38</v>
      </c>
      <c r="D320" s="159">
        <v>39</v>
      </c>
      <c r="E320" s="159">
        <v>32</v>
      </c>
      <c r="F320" s="159"/>
      <c r="G320" s="159"/>
      <c r="H320" s="159"/>
      <c r="I320" s="7">
        <f t="shared" si="43"/>
        <v>109</v>
      </c>
    </row>
    <row r="321" spans="1:9" ht="15.75" x14ac:dyDescent="0.25">
      <c r="A321" s="23">
        <v>329</v>
      </c>
      <c r="B321" s="6" t="str">
        <f>CADASTROS!$C$194</f>
        <v>Hildete Rosa da Silva</v>
      </c>
      <c r="C321" s="159"/>
      <c r="D321" s="159"/>
      <c r="E321" s="159"/>
      <c r="F321" s="159"/>
      <c r="G321" s="159"/>
      <c r="H321" s="159"/>
      <c r="I321" s="7">
        <f t="shared" si="43"/>
        <v>0</v>
      </c>
    </row>
    <row r="322" spans="1:9" ht="15.75" x14ac:dyDescent="0.25">
      <c r="A322" s="23">
        <v>330</v>
      </c>
      <c r="B322" s="6" t="str">
        <f>CADASTROS!$C$195</f>
        <v>João Batista Rocha</v>
      </c>
      <c r="C322" s="159"/>
      <c r="D322" s="159"/>
      <c r="E322" s="159"/>
      <c r="F322" s="159"/>
      <c r="G322" s="159"/>
      <c r="H322" s="159"/>
      <c r="I322" s="7">
        <f t="shared" si="43"/>
        <v>0</v>
      </c>
    </row>
    <row r="323" spans="1:9" ht="15.75" x14ac:dyDescent="0.25">
      <c r="A323" s="23">
        <v>331</v>
      </c>
      <c r="B323" s="6" t="str">
        <f>CADASTROS!$C$196</f>
        <v>Juciel S. França</v>
      </c>
      <c r="C323" s="159"/>
      <c r="D323" s="159"/>
      <c r="E323" s="159"/>
      <c r="F323" s="159"/>
      <c r="G323" s="159"/>
      <c r="H323" s="159"/>
      <c r="I323" s="7">
        <f t="shared" si="43"/>
        <v>0</v>
      </c>
    </row>
    <row r="324" spans="1:9" ht="15.75" x14ac:dyDescent="0.25">
      <c r="A324" s="23">
        <v>332</v>
      </c>
      <c r="B324" s="6" t="str">
        <f>CADASTROS!$C$197</f>
        <v>Joilson Alves de Oliveira</v>
      </c>
      <c r="C324" s="159"/>
      <c r="D324" s="159"/>
      <c r="E324" s="159"/>
      <c r="F324" s="159"/>
      <c r="G324" s="159"/>
      <c r="H324" s="159"/>
      <c r="I324" s="7">
        <f t="shared" si="43"/>
        <v>0</v>
      </c>
    </row>
    <row r="325" spans="1:9" ht="15.75" x14ac:dyDescent="0.25">
      <c r="A325" s="23">
        <v>333</v>
      </c>
      <c r="B325" s="6" t="str">
        <f>CADASTROS!$C$198</f>
        <v>Josiane Alves de Oliveira</v>
      </c>
      <c r="C325" s="159"/>
      <c r="D325" s="159"/>
      <c r="E325" s="159"/>
      <c r="F325" s="159"/>
      <c r="G325" s="159"/>
      <c r="H325" s="159"/>
      <c r="I325" s="7">
        <f t="shared" si="43"/>
        <v>0</v>
      </c>
    </row>
    <row r="326" spans="1:9" ht="15.75" x14ac:dyDescent="0.25">
      <c r="A326" s="23">
        <v>334</v>
      </c>
      <c r="B326" s="6" t="str">
        <f>CADASTROS!$C$199</f>
        <v>Marcos Souza Carneiro</v>
      </c>
      <c r="C326" s="159"/>
      <c r="D326" s="159"/>
      <c r="E326" s="159"/>
      <c r="F326" s="159"/>
      <c r="G326" s="159"/>
      <c r="H326" s="159"/>
      <c r="I326" s="7">
        <f t="shared" si="43"/>
        <v>0</v>
      </c>
    </row>
    <row r="327" spans="1:9" ht="15.75" x14ac:dyDescent="0.25">
      <c r="A327" s="23">
        <v>335</v>
      </c>
      <c r="B327" s="6" t="str">
        <f>CADASTROS!$C$200</f>
        <v>Normeide Santos Almeida</v>
      </c>
      <c r="C327" s="159"/>
      <c r="D327" s="159"/>
      <c r="E327" s="159"/>
      <c r="F327" s="159"/>
      <c r="G327" s="159"/>
      <c r="H327" s="159"/>
      <c r="I327" s="7">
        <f t="shared" si="43"/>
        <v>0</v>
      </c>
    </row>
    <row r="328" spans="1:9" ht="15.75" x14ac:dyDescent="0.25">
      <c r="A328" s="23">
        <v>336</v>
      </c>
      <c r="B328" s="6" t="str">
        <f>CADASTROS!$C$201</f>
        <v>Laese Souza Silva</v>
      </c>
      <c r="C328" s="159"/>
      <c r="D328" s="159"/>
      <c r="E328" s="159"/>
      <c r="F328" s="159"/>
      <c r="G328" s="159"/>
      <c r="H328" s="159"/>
      <c r="I328" s="7">
        <f t="shared" si="43"/>
        <v>0</v>
      </c>
    </row>
    <row r="329" spans="1:9" ht="15.75" x14ac:dyDescent="0.25">
      <c r="A329" s="23">
        <v>337</v>
      </c>
      <c r="B329" s="6" t="str">
        <f>CADASTROS!$C$202</f>
        <v>Roseni Rodrigues Lopes</v>
      </c>
      <c r="C329" s="159"/>
      <c r="D329" s="159"/>
      <c r="E329" s="159"/>
      <c r="F329" s="159"/>
      <c r="G329" s="159"/>
      <c r="H329" s="159"/>
      <c r="I329" s="7">
        <f t="shared" si="43"/>
        <v>0</v>
      </c>
    </row>
    <row r="330" spans="1:9" ht="15.75" x14ac:dyDescent="0.25">
      <c r="A330" s="23">
        <v>338</v>
      </c>
      <c r="B330" s="6" t="str">
        <f>CADASTROS!$C$203</f>
        <v>Elielma da Silva Nunes</v>
      </c>
      <c r="C330" s="159"/>
      <c r="D330" s="159"/>
      <c r="E330" s="159"/>
      <c r="F330" s="159"/>
      <c r="G330" s="159"/>
      <c r="H330" s="159"/>
      <c r="I330" s="7">
        <f t="shared" si="43"/>
        <v>0</v>
      </c>
    </row>
    <row r="331" spans="1:9" ht="15.75" x14ac:dyDescent="0.25">
      <c r="A331" s="23">
        <v>339</v>
      </c>
      <c r="B331" s="6" t="str">
        <f>CADASTROS!$C$204</f>
        <v>João Lopes do Nascimento Filho</v>
      </c>
      <c r="C331" s="159"/>
      <c r="D331" s="159"/>
      <c r="E331" s="159"/>
      <c r="F331" s="159"/>
      <c r="G331" s="159"/>
      <c r="H331" s="159"/>
      <c r="I331" s="7">
        <f t="shared" si="43"/>
        <v>0</v>
      </c>
    </row>
    <row r="332" spans="1:9" ht="15.75" x14ac:dyDescent="0.25">
      <c r="A332" s="23">
        <v>340</v>
      </c>
      <c r="B332" s="6" t="str">
        <f>CADASTROS!$C$205</f>
        <v>Adilton Souza dos Anjos</v>
      </c>
      <c r="C332" s="159"/>
      <c r="D332" s="159"/>
      <c r="E332" s="159"/>
      <c r="F332" s="159"/>
      <c r="G332" s="159"/>
      <c r="H332" s="159"/>
      <c r="I332" s="7">
        <f t="shared" si="43"/>
        <v>0</v>
      </c>
    </row>
    <row r="333" spans="1:9" ht="15.75" x14ac:dyDescent="0.25">
      <c r="A333" s="23">
        <v>341</v>
      </c>
      <c r="B333" s="6" t="str">
        <f>CADASTROS!$C$206</f>
        <v>Rosineia das Virgens de Souza</v>
      </c>
      <c r="C333" s="159"/>
      <c r="D333" s="159"/>
      <c r="E333" s="159"/>
      <c r="F333" s="159"/>
      <c r="G333" s="159"/>
      <c r="H333" s="159"/>
      <c r="I333" s="7">
        <f t="shared" si="43"/>
        <v>0</v>
      </c>
    </row>
    <row r="334" spans="1:9" ht="15.75" x14ac:dyDescent="0.25">
      <c r="A334" s="23">
        <v>342</v>
      </c>
      <c r="B334" s="6" t="str">
        <f>CADASTROS!$C$207</f>
        <v>Claudia Ribeiro de Jesus</v>
      </c>
      <c r="C334" s="159"/>
      <c r="D334" s="159"/>
      <c r="E334" s="159"/>
      <c r="F334" s="159"/>
      <c r="G334" s="159"/>
      <c r="H334" s="159"/>
      <c r="I334" s="7">
        <f t="shared" si="43"/>
        <v>0</v>
      </c>
    </row>
    <row r="335" spans="1:9" ht="15.75" x14ac:dyDescent="0.25">
      <c r="A335" s="23">
        <v>343</v>
      </c>
      <c r="B335" s="6" t="str">
        <f>CADASTROS!$C$208</f>
        <v>Claudio Pires dos Santos</v>
      </c>
      <c r="C335" s="159"/>
      <c r="D335" s="159"/>
      <c r="E335" s="159"/>
      <c r="F335" s="159"/>
      <c r="G335" s="159"/>
      <c r="H335" s="159"/>
      <c r="I335" s="7">
        <f t="shared" si="43"/>
        <v>0</v>
      </c>
    </row>
    <row r="336" spans="1:9" ht="15.75" x14ac:dyDescent="0.25">
      <c r="B336" s="159" t="s">
        <v>4829</v>
      </c>
      <c r="C336" s="159">
        <f>SUM(C309:C335)</f>
        <v>38</v>
      </c>
      <c r="D336" s="159">
        <f t="shared" ref="D336:H336" si="44">SUM(D309:D335)</f>
        <v>39</v>
      </c>
      <c r="E336" s="159">
        <f t="shared" si="44"/>
        <v>32</v>
      </c>
      <c r="F336" s="159">
        <f t="shared" si="44"/>
        <v>0</v>
      </c>
      <c r="G336" s="159">
        <f t="shared" si="44"/>
        <v>0</v>
      </c>
      <c r="H336" s="159">
        <f t="shared" si="44"/>
        <v>0</v>
      </c>
      <c r="I336" s="159">
        <f>SUM(I309:I335)</f>
        <v>109</v>
      </c>
    </row>
    <row r="338" spans="1:9" ht="15.75" x14ac:dyDescent="0.25">
      <c r="B338" s="8" t="s">
        <v>4830</v>
      </c>
      <c r="C338" s="159"/>
      <c r="D338" s="159"/>
      <c r="E338" s="159"/>
      <c r="F338" s="159"/>
      <c r="G338" s="159"/>
      <c r="H338" s="159"/>
      <c r="I338" s="159">
        <f>SUM(C338:H338)</f>
        <v>0</v>
      </c>
    </row>
    <row r="339" spans="1:9" x14ac:dyDescent="0.25">
      <c r="B339" s="167"/>
    </row>
    <row r="340" spans="1:9" ht="15.75" x14ac:dyDescent="0.25">
      <c r="B340" s="8" t="s">
        <v>4831</v>
      </c>
      <c r="C340" s="9" t="e">
        <f>C336/C338</f>
        <v>#DIV/0!</v>
      </c>
      <c r="D340" s="9" t="e">
        <f t="shared" ref="D340:H340" si="45">D336/D338</f>
        <v>#DIV/0!</v>
      </c>
      <c r="E340" s="9" t="e">
        <f t="shared" si="45"/>
        <v>#DIV/0!</v>
      </c>
      <c r="F340" s="9" t="e">
        <f t="shared" si="45"/>
        <v>#DIV/0!</v>
      </c>
      <c r="G340" s="9" t="e">
        <f t="shared" si="45"/>
        <v>#DIV/0!</v>
      </c>
      <c r="H340" s="9" t="e">
        <f t="shared" si="45"/>
        <v>#DIV/0!</v>
      </c>
      <c r="I340" s="9"/>
    </row>
    <row r="341" spans="1:9" ht="15.75" x14ac:dyDescent="0.25">
      <c r="B341" s="163"/>
      <c r="C341" s="10"/>
      <c r="D341" s="10"/>
      <c r="E341" s="10"/>
      <c r="F341" s="10"/>
      <c r="G341" s="10"/>
      <c r="H341" s="163"/>
      <c r="I341" s="163"/>
    </row>
    <row r="342" spans="1:9" ht="15.75" x14ac:dyDescent="0.25">
      <c r="B342" s="8" t="s">
        <v>4832</v>
      </c>
      <c r="C342" s="159"/>
      <c r="D342" s="159"/>
      <c r="E342" s="6"/>
      <c r="F342" s="6"/>
      <c r="G342" s="6"/>
      <c r="H342" s="6"/>
      <c r="I342" s="11"/>
    </row>
    <row r="345" spans="1:9" ht="21" x14ac:dyDescent="0.35">
      <c r="B345" s="184" t="s">
        <v>4816</v>
      </c>
      <c r="C345" s="185"/>
      <c r="D345" s="185"/>
      <c r="E345" s="185"/>
      <c r="F345" s="185"/>
      <c r="G345" s="185"/>
      <c r="H345" s="185"/>
      <c r="I345" s="186"/>
    </row>
    <row r="346" spans="1:9" ht="33.6" customHeight="1" x14ac:dyDescent="0.25">
      <c r="I346" s="3"/>
    </row>
    <row r="347" spans="1:9" ht="21" x14ac:dyDescent="0.35">
      <c r="B347" s="192" t="s">
        <v>4817</v>
      </c>
      <c r="C347" s="193"/>
      <c r="D347" s="193"/>
      <c r="E347" s="193"/>
      <c r="F347" s="193"/>
      <c r="G347" s="193"/>
      <c r="H347" s="193"/>
      <c r="I347" s="194"/>
    </row>
    <row r="348" spans="1:9" ht="15" customHeight="1" x14ac:dyDescent="0.25"/>
    <row r="349" spans="1:9" ht="39" customHeight="1" x14ac:dyDescent="0.25">
      <c r="B349" s="187" t="s">
        <v>4834</v>
      </c>
      <c r="C349" s="195"/>
      <c r="D349" s="195"/>
      <c r="E349" s="195"/>
      <c r="F349" s="195"/>
      <c r="G349" s="195"/>
      <c r="H349" s="195"/>
      <c r="I349" s="196"/>
    </row>
    <row r="350" spans="1:9" ht="30" customHeight="1" x14ac:dyDescent="0.25">
      <c r="A350" s="182" t="s">
        <v>4819</v>
      </c>
      <c r="B350" s="182" t="s">
        <v>4820</v>
      </c>
      <c r="C350" s="4" t="s">
        <v>4821</v>
      </c>
      <c r="D350" s="4" t="s">
        <v>4822</v>
      </c>
      <c r="E350" s="88" t="s">
        <v>4823</v>
      </c>
      <c r="F350" s="88" t="s">
        <v>4824</v>
      </c>
      <c r="G350" s="88" t="s">
        <v>4825</v>
      </c>
      <c r="H350" s="4" t="s">
        <v>4826</v>
      </c>
      <c r="I350" s="198" t="s">
        <v>4827</v>
      </c>
    </row>
    <row r="351" spans="1:9" ht="36.75" customHeight="1" x14ac:dyDescent="0.25">
      <c r="A351" s="197"/>
      <c r="B351" s="183"/>
      <c r="C351" s="13" t="s">
        <v>4828</v>
      </c>
      <c r="D351" s="13" t="s">
        <v>4828</v>
      </c>
      <c r="E351" s="13" t="s">
        <v>4828</v>
      </c>
      <c r="F351" s="13" t="s">
        <v>4828</v>
      </c>
      <c r="G351" s="13" t="s">
        <v>4828</v>
      </c>
      <c r="H351" s="13" t="s">
        <v>4828</v>
      </c>
      <c r="I351" s="198"/>
    </row>
    <row r="352" spans="1:9" ht="15.75" x14ac:dyDescent="0.25">
      <c r="A352" s="23">
        <v>344</v>
      </c>
      <c r="B352" s="6" t="str">
        <f>CADASTROS!$C$209</f>
        <v>José de Jesus Santos</v>
      </c>
      <c r="C352" s="159"/>
      <c r="D352" s="159"/>
      <c r="E352" s="159"/>
      <c r="F352" s="159"/>
      <c r="G352" s="159"/>
      <c r="H352" s="159"/>
      <c r="I352" s="7">
        <f>SUM(C352+D352+E352+F352+G352+H352)</f>
        <v>0</v>
      </c>
    </row>
    <row r="353" spans="1:9" ht="15.75" x14ac:dyDescent="0.25">
      <c r="A353" s="23">
        <v>345</v>
      </c>
      <c r="B353" s="6" t="str">
        <f>CADASTROS!$C$210</f>
        <v>Irailde Mª de Jesus</v>
      </c>
      <c r="C353" s="159"/>
      <c r="D353" s="159"/>
      <c r="E353" s="159"/>
      <c r="F353" s="159"/>
      <c r="G353" s="159"/>
      <c r="H353" s="159"/>
      <c r="I353" s="7">
        <f t="shared" ref="I353:I379" si="46">SUM(C353+D353+E353+F353+G353+H353)</f>
        <v>0</v>
      </c>
    </row>
    <row r="354" spans="1:9" ht="15.75" x14ac:dyDescent="0.25">
      <c r="A354" s="23">
        <v>346</v>
      </c>
      <c r="B354" s="6" t="str">
        <f>CADASTROS!$C$211</f>
        <v>Cezar Silva Santos</v>
      </c>
      <c r="C354" s="159"/>
      <c r="D354" s="159"/>
      <c r="E354" s="159"/>
      <c r="F354" s="159"/>
      <c r="G354" s="159"/>
      <c r="H354" s="159"/>
      <c r="I354" s="7">
        <f t="shared" si="46"/>
        <v>0</v>
      </c>
    </row>
    <row r="355" spans="1:9" ht="15.75" x14ac:dyDescent="0.25">
      <c r="A355" s="23">
        <v>347</v>
      </c>
      <c r="B355" s="6" t="str">
        <f>CADASTROS!$C$212</f>
        <v>Edvan Silva de Jesus</v>
      </c>
      <c r="C355" s="159"/>
      <c r="D355" s="159"/>
      <c r="E355" s="159"/>
      <c r="F355" s="159"/>
      <c r="G355" s="159"/>
      <c r="H355" s="159"/>
      <c r="I355" s="7">
        <f t="shared" si="46"/>
        <v>0</v>
      </c>
    </row>
    <row r="356" spans="1:9" ht="15.75" x14ac:dyDescent="0.25">
      <c r="A356" s="23">
        <v>348</v>
      </c>
      <c r="B356" s="6" t="str">
        <f>CADASTROS!$C$213</f>
        <v>Cariza Silva Pereira</v>
      </c>
      <c r="C356" s="159"/>
      <c r="D356" s="159"/>
      <c r="E356" s="159"/>
      <c r="F356" s="159"/>
      <c r="G356" s="159"/>
      <c r="H356" s="159"/>
      <c r="I356" s="7">
        <f t="shared" si="46"/>
        <v>0</v>
      </c>
    </row>
    <row r="357" spans="1:9" ht="15.75" x14ac:dyDescent="0.25">
      <c r="A357" s="23">
        <v>349</v>
      </c>
      <c r="B357" s="6" t="str">
        <f>CADASTROS!$C$214</f>
        <v>Jaine da Cruz Almeida</v>
      </c>
      <c r="C357" s="159"/>
      <c r="D357" s="159"/>
      <c r="E357" s="159"/>
      <c r="F357" s="159"/>
      <c r="G357" s="159"/>
      <c r="H357" s="159"/>
      <c r="I357" s="7">
        <f t="shared" si="46"/>
        <v>0</v>
      </c>
    </row>
    <row r="358" spans="1:9" ht="15.75" x14ac:dyDescent="0.25">
      <c r="A358" s="27">
        <v>350</v>
      </c>
      <c r="B358" s="6" t="str">
        <f>CADASTROS!$C$215</f>
        <v>Juliana Dos Anjos Oliveira</v>
      </c>
      <c r="C358" s="159"/>
      <c r="D358" s="159"/>
      <c r="E358" s="159"/>
      <c r="F358" s="159"/>
      <c r="G358" s="159"/>
      <c r="H358" s="159"/>
      <c r="I358" s="7">
        <f t="shared" si="46"/>
        <v>0</v>
      </c>
    </row>
    <row r="359" spans="1:9" ht="15.75" x14ac:dyDescent="0.25">
      <c r="A359" s="23">
        <v>351</v>
      </c>
      <c r="B359" s="6" t="str">
        <f>CADASTROS!$C$216</f>
        <v>Jocelma Costa dos Santos</v>
      </c>
      <c r="C359" s="159"/>
      <c r="D359" s="159">
        <v>18.5</v>
      </c>
      <c r="E359" s="159">
        <v>19.5</v>
      </c>
      <c r="F359" s="159"/>
      <c r="G359" s="159"/>
      <c r="H359" s="159"/>
      <c r="I359" s="7">
        <f t="shared" si="46"/>
        <v>38</v>
      </c>
    </row>
    <row r="360" spans="1:9" ht="15.75" x14ac:dyDescent="0.25">
      <c r="A360" s="23">
        <v>352</v>
      </c>
      <c r="B360" s="6" t="str">
        <f>CADASTROS!$C$217</f>
        <v>Barbara Rosa de Miranda</v>
      </c>
      <c r="C360" s="159"/>
      <c r="D360" s="159"/>
      <c r="E360" s="159"/>
      <c r="F360" s="159"/>
      <c r="G360" s="159"/>
      <c r="H360" s="159"/>
      <c r="I360" s="7">
        <f t="shared" si="46"/>
        <v>0</v>
      </c>
    </row>
    <row r="361" spans="1:9" ht="15.75" x14ac:dyDescent="0.25">
      <c r="A361" s="23">
        <v>353</v>
      </c>
      <c r="B361" s="6" t="str">
        <f>CADASTROS!$C$218</f>
        <v>Gelsione Silva Lima</v>
      </c>
      <c r="C361" s="159"/>
      <c r="D361" s="159"/>
      <c r="E361" s="159"/>
      <c r="F361" s="159"/>
      <c r="G361" s="159"/>
      <c r="H361" s="159"/>
      <c r="I361" s="7">
        <f t="shared" si="46"/>
        <v>0</v>
      </c>
    </row>
    <row r="362" spans="1:9" ht="15.75" x14ac:dyDescent="0.25">
      <c r="A362" s="23">
        <v>354</v>
      </c>
      <c r="B362" s="6" t="str">
        <f>CADASTROS!$C$219</f>
        <v>Jocileide Silva Caldeiras</v>
      </c>
      <c r="C362" s="159"/>
      <c r="D362" s="159"/>
      <c r="E362" s="159"/>
      <c r="F362" s="159"/>
      <c r="G362" s="159"/>
      <c r="H362" s="159"/>
      <c r="I362" s="7">
        <f t="shared" si="46"/>
        <v>0</v>
      </c>
    </row>
    <row r="363" spans="1:9" ht="15.75" x14ac:dyDescent="0.25">
      <c r="A363" s="23">
        <v>355</v>
      </c>
      <c r="B363" s="6" t="str">
        <f>CADASTROS!$C$220</f>
        <v>Guiomar Silva Santos</v>
      </c>
      <c r="C363" s="159"/>
      <c r="D363" s="159"/>
      <c r="E363" s="159"/>
      <c r="F363" s="159"/>
      <c r="G363" s="159"/>
      <c r="H363" s="159"/>
      <c r="I363" s="7">
        <f t="shared" si="46"/>
        <v>0</v>
      </c>
    </row>
    <row r="364" spans="1:9" ht="15.75" x14ac:dyDescent="0.25">
      <c r="A364" s="23">
        <v>356</v>
      </c>
      <c r="B364" s="6" t="str">
        <f>CADASTROS!$C$221</f>
        <v>Cleia Rosa de Souza</v>
      </c>
      <c r="C364" s="159"/>
      <c r="D364" s="159"/>
      <c r="E364" s="159"/>
      <c r="F364" s="159"/>
      <c r="G364" s="159"/>
      <c r="H364" s="159"/>
      <c r="I364" s="7">
        <f t="shared" si="46"/>
        <v>0</v>
      </c>
    </row>
    <row r="365" spans="1:9" ht="15.75" x14ac:dyDescent="0.25">
      <c r="A365" s="23">
        <v>357</v>
      </c>
      <c r="B365" s="6" t="str">
        <f>CADASTROS!$C$222</f>
        <v>Evelyn Gomes Santos</v>
      </c>
      <c r="C365" s="159"/>
      <c r="D365" s="159"/>
      <c r="E365" s="159"/>
      <c r="F365" s="159"/>
      <c r="G365" s="159"/>
      <c r="H365" s="159"/>
      <c r="I365" s="7">
        <f t="shared" si="46"/>
        <v>0</v>
      </c>
    </row>
    <row r="366" spans="1:9" ht="15.75" x14ac:dyDescent="0.25">
      <c r="A366" s="23">
        <v>358</v>
      </c>
      <c r="B366" s="6" t="str">
        <f>CADASTROS!$C$223</f>
        <v>Bruno Souza Novais</v>
      </c>
      <c r="C366" s="159"/>
      <c r="D366" s="159"/>
      <c r="E366" s="159"/>
      <c r="F366" s="159"/>
      <c r="G366" s="159"/>
      <c r="H366" s="159"/>
      <c r="I366" s="7">
        <f t="shared" si="46"/>
        <v>0</v>
      </c>
    </row>
    <row r="367" spans="1:9" ht="15.75" x14ac:dyDescent="0.25">
      <c r="A367" s="23">
        <v>359</v>
      </c>
      <c r="B367" s="6" t="str">
        <f>CADASTROS!$C$224</f>
        <v>Robson Bispo dos Santos</v>
      </c>
      <c r="C367" s="159"/>
      <c r="D367" s="159"/>
      <c r="E367" s="159"/>
      <c r="F367" s="159"/>
      <c r="G367" s="159"/>
      <c r="H367" s="159"/>
      <c r="I367" s="7">
        <f t="shared" si="46"/>
        <v>0</v>
      </c>
    </row>
    <row r="368" spans="1:9" ht="15.75" x14ac:dyDescent="0.25">
      <c r="A368" s="23">
        <v>360</v>
      </c>
      <c r="B368" s="6" t="str">
        <f>CADASTROS!$C$225</f>
        <v>Marenice Souza Lomes</v>
      </c>
      <c r="C368" s="159"/>
      <c r="D368" s="159"/>
      <c r="E368" s="159"/>
      <c r="F368" s="159"/>
      <c r="G368" s="159"/>
      <c r="H368" s="159"/>
      <c r="I368" s="7">
        <f t="shared" si="46"/>
        <v>0</v>
      </c>
    </row>
    <row r="369" spans="1:9" ht="15.75" x14ac:dyDescent="0.25">
      <c r="A369" s="23">
        <v>361</v>
      </c>
      <c r="B369" s="6" t="str">
        <f>CADASTROS!$C$226</f>
        <v>Sandro Rodrigues do Nascimento</v>
      </c>
      <c r="C369" s="159"/>
      <c r="D369" s="159"/>
      <c r="E369" s="159"/>
      <c r="F369" s="159"/>
      <c r="G369" s="159"/>
      <c r="H369" s="159"/>
      <c r="I369" s="7">
        <f t="shared" si="46"/>
        <v>0</v>
      </c>
    </row>
    <row r="370" spans="1:9" ht="15.75" x14ac:dyDescent="0.25">
      <c r="A370" s="23">
        <v>418</v>
      </c>
      <c r="B370" s="6" t="str">
        <f>CADASTROS!$C$227</f>
        <v>Elizabete Francisco</v>
      </c>
      <c r="C370" s="159"/>
      <c r="D370" s="159"/>
      <c r="E370" s="159"/>
      <c r="F370" s="159"/>
      <c r="G370" s="159"/>
      <c r="H370" s="159"/>
      <c r="I370" s="7">
        <f t="shared" si="46"/>
        <v>0</v>
      </c>
    </row>
    <row r="371" spans="1:9" ht="15.75" x14ac:dyDescent="0.25">
      <c r="A371" s="23">
        <v>419</v>
      </c>
      <c r="B371" s="6" t="str">
        <f>CADASTROS!$C$228</f>
        <v>Florisvaldo Silva Campos</v>
      </c>
      <c r="C371" s="159">
        <v>38</v>
      </c>
      <c r="D371" s="159">
        <v>38.5</v>
      </c>
      <c r="E371" s="159">
        <v>27.5</v>
      </c>
      <c r="F371" s="159"/>
      <c r="G371" s="159"/>
      <c r="H371" s="159"/>
      <c r="I371" s="7">
        <f t="shared" si="46"/>
        <v>104</v>
      </c>
    </row>
    <row r="372" spans="1:9" ht="15.75" x14ac:dyDescent="0.25">
      <c r="A372" s="23">
        <v>420</v>
      </c>
      <c r="B372" s="6" t="str">
        <f>CADASTROS!$C$229</f>
        <v>Emerson Matos Lima</v>
      </c>
      <c r="C372" s="159"/>
      <c r="D372" s="159"/>
      <c r="E372" s="159"/>
      <c r="F372" s="159"/>
      <c r="G372" s="159"/>
      <c r="H372" s="159"/>
      <c r="I372" s="7">
        <f t="shared" si="46"/>
        <v>0</v>
      </c>
    </row>
    <row r="373" spans="1:9" ht="15.75" x14ac:dyDescent="0.25">
      <c r="A373" s="23">
        <v>421</v>
      </c>
      <c r="B373" s="6" t="str">
        <f>CADASTROS!$C$230</f>
        <v>Roque Moreira Silva</v>
      </c>
      <c r="C373" s="159"/>
      <c r="D373" s="159"/>
      <c r="E373" s="159"/>
      <c r="F373" s="159"/>
      <c r="G373" s="159"/>
      <c r="H373" s="159"/>
      <c r="I373" s="7">
        <f t="shared" si="46"/>
        <v>0</v>
      </c>
    </row>
    <row r="374" spans="1:9" ht="15.75" x14ac:dyDescent="0.25">
      <c r="A374" s="23">
        <v>422</v>
      </c>
      <c r="B374" s="6" t="str">
        <f>CADASTROS!$C$231</f>
        <v>Edelvan Laranjeira</v>
      </c>
      <c r="C374" s="159"/>
      <c r="D374" s="159"/>
      <c r="E374" s="159"/>
      <c r="F374" s="159"/>
      <c r="G374" s="159"/>
      <c r="H374" s="159"/>
      <c r="I374" s="7">
        <f t="shared" si="46"/>
        <v>0</v>
      </c>
    </row>
    <row r="375" spans="1:9" ht="15.75" x14ac:dyDescent="0.25">
      <c r="A375" s="23">
        <v>432</v>
      </c>
      <c r="B375" s="6" t="str">
        <f>CADASTROS!$C$232</f>
        <v>Marcos Antônio Rodrigues de Oliveira</v>
      </c>
      <c r="C375" s="159"/>
      <c r="D375" s="159"/>
      <c r="E375" s="159"/>
      <c r="F375" s="159"/>
      <c r="G375" s="159"/>
      <c r="H375" s="159"/>
      <c r="I375" s="7">
        <f t="shared" si="46"/>
        <v>0</v>
      </c>
    </row>
    <row r="376" spans="1:9" ht="15.75" x14ac:dyDescent="0.25">
      <c r="A376" s="23">
        <v>433</v>
      </c>
      <c r="B376" s="6" t="str">
        <f>CADASTROS!$C$233</f>
        <v>Mª A. B. Oliveira</v>
      </c>
      <c r="C376" s="159"/>
      <c r="D376" s="159"/>
      <c r="E376" s="159"/>
      <c r="F376" s="159"/>
      <c r="G376" s="159"/>
      <c r="H376" s="159"/>
      <c r="I376" s="7">
        <f t="shared" si="46"/>
        <v>0</v>
      </c>
    </row>
    <row r="377" spans="1:9" ht="15.75" x14ac:dyDescent="0.25">
      <c r="A377" s="23">
        <v>434</v>
      </c>
      <c r="B377" s="6" t="str">
        <f>CADASTROS!$C$234</f>
        <v>Rozeli Das Virgens de Souza</v>
      </c>
      <c r="C377" s="159"/>
      <c r="D377" s="159"/>
      <c r="E377" s="159"/>
      <c r="F377" s="159"/>
      <c r="G377" s="159"/>
      <c r="H377" s="159"/>
      <c r="I377" s="7">
        <f t="shared" si="46"/>
        <v>0</v>
      </c>
    </row>
    <row r="378" spans="1:9" ht="15.75" x14ac:dyDescent="0.25">
      <c r="A378" s="23">
        <v>435</v>
      </c>
      <c r="B378" s="6" t="str">
        <f>CADASTROS!$C$235</f>
        <v>Daniel de Souza Andrade</v>
      </c>
      <c r="C378" s="159"/>
      <c r="D378" s="159"/>
      <c r="E378" s="159"/>
      <c r="F378" s="159"/>
      <c r="G378" s="159"/>
      <c r="H378" s="159"/>
      <c r="I378" s="7">
        <f t="shared" si="46"/>
        <v>0</v>
      </c>
    </row>
    <row r="379" spans="1:9" ht="15.75" x14ac:dyDescent="0.25">
      <c r="B379" s="159" t="s">
        <v>4829</v>
      </c>
      <c r="C379" s="159">
        <f>SUM(C352:C378)</f>
        <v>38</v>
      </c>
      <c r="D379" s="159">
        <f t="shared" ref="D379:H379" si="47">SUM(D352:D378)</f>
        <v>57</v>
      </c>
      <c r="E379" s="159">
        <f t="shared" si="47"/>
        <v>47</v>
      </c>
      <c r="F379" s="159">
        <f t="shared" si="47"/>
        <v>0</v>
      </c>
      <c r="G379" s="159">
        <f t="shared" si="47"/>
        <v>0</v>
      </c>
      <c r="H379" s="159">
        <f t="shared" si="47"/>
        <v>0</v>
      </c>
      <c r="I379" s="7">
        <f t="shared" si="46"/>
        <v>142</v>
      </c>
    </row>
    <row r="381" spans="1:9" ht="15.75" x14ac:dyDescent="0.25">
      <c r="B381" s="8" t="s">
        <v>4830</v>
      </c>
      <c r="C381" s="159"/>
      <c r="D381" s="159"/>
      <c r="E381" s="159"/>
      <c r="F381" s="159"/>
      <c r="G381" s="159"/>
      <c r="H381" s="159"/>
      <c r="I381" s="159">
        <f>SUM(C381:H381)</f>
        <v>0</v>
      </c>
    </row>
    <row r="382" spans="1:9" x14ac:dyDescent="0.25">
      <c r="B382" s="167"/>
    </row>
    <row r="383" spans="1:9" ht="15.75" x14ac:dyDescent="0.25">
      <c r="B383" s="8" t="s">
        <v>4831</v>
      </c>
      <c r="C383" s="9" t="e">
        <f>C379/C381</f>
        <v>#DIV/0!</v>
      </c>
      <c r="D383" s="9" t="e">
        <f t="shared" ref="D383:H383" si="48">D379/D381</f>
        <v>#DIV/0!</v>
      </c>
      <c r="E383" s="9" t="e">
        <f t="shared" si="48"/>
        <v>#DIV/0!</v>
      </c>
      <c r="F383" s="9" t="e">
        <f t="shared" si="48"/>
        <v>#DIV/0!</v>
      </c>
      <c r="G383" s="9" t="e">
        <f t="shared" si="48"/>
        <v>#DIV/0!</v>
      </c>
      <c r="H383" s="9" t="e">
        <f t="shared" si="48"/>
        <v>#DIV/0!</v>
      </c>
      <c r="I383" s="9"/>
    </row>
    <row r="384" spans="1:9" ht="15.75" x14ac:dyDescent="0.25">
      <c r="B384" s="163"/>
      <c r="C384" s="10"/>
      <c r="D384" s="10"/>
      <c r="E384" s="10"/>
      <c r="F384" s="10"/>
      <c r="G384" s="10"/>
      <c r="H384" s="163"/>
      <c r="I384" s="163"/>
    </row>
    <row r="385" spans="1:9" ht="15.75" x14ac:dyDescent="0.25">
      <c r="B385" s="8" t="s">
        <v>4832</v>
      </c>
      <c r="C385" s="159"/>
      <c r="D385" s="159"/>
      <c r="E385" s="6"/>
      <c r="F385" s="6"/>
      <c r="G385" s="6"/>
      <c r="H385" s="6"/>
      <c r="I385" s="11"/>
    </row>
    <row r="387" spans="1:9" ht="21" x14ac:dyDescent="0.35">
      <c r="B387" s="184" t="s">
        <v>4816</v>
      </c>
      <c r="C387" s="185"/>
      <c r="D387" s="185"/>
      <c r="E387" s="185"/>
      <c r="F387" s="185"/>
      <c r="G387" s="185"/>
      <c r="H387" s="185"/>
      <c r="I387" s="186"/>
    </row>
    <row r="388" spans="1:9" x14ac:dyDescent="0.25">
      <c r="I388" s="3"/>
    </row>
    <row r="389" spans="1:9" ht="21" x14ac:dyDescent="0.35">
      <c r="B389" s="192" t="s">
        <v>4817</v>
      </c>
      <c r="C389" s="193"/>
      <c r="D389" s="193"/>
      <c r="E389" s="193"/>
      <c r="F389" s="193"/>
      <c r="G389" s="193"/>
      <c r="H389" s="193"/>
      <c r="I389" s="194"/>
    </row>
    <row r="390" spans="1:9" ht="15" customHeight="1" x14ac:dyDescent="0.25"/>
    <row r="391" spans="1:9" ht="36" customHeight="1" x14ac:dyDescent="0.25">
      <c r="B391" s="187" t="s">
        <v>4835</v>
      </c>
      <c r="C391" s="195"/>
      <c r="D391" s="195"/>
      <c r="E391" s="195"/>
      <c r="F391" s="195"/>
      <c r="G391" s="195"/>
      <c r="H391" s="195"/>
      <c r="I391" s="196"/>
    </row>
    <row r="392" spans="1:9" ht="30" customHeight="1" x14ac:dyDescent="0.25">
      <c r="A392" s="182" t="s">
        <v>4819</v>
      </c>
      <c r="B392" s="182" t="s">
        <v>4820</v>
      </c>
      <c r="C392" s="4" t="s">
        <v>4821</v>
      </c>
      <c r="D392" s="4" t="s">
        <v>4822</v>
      </c>
      <c r="E392" s="88" t="s">
        <v>4823</v>
      </c>
      <c r="F392" s="88" t="s">
        <v>4824</v>
      </c>
      <c r="G392" s="88" t="s">
        <v>4825</v>
      </c>
      <c r="H392" s="4" t="s">
        <v>4826</v>
      </c>
      <c r="I392" s="198" t="s">
        <v>4827</v>
      </c>
    </row>
    <row r="393" spans="1:9" ht="35.65" customHeight="1" x14ac:dyDescent="0.25">
      <c r="A393" s="197"/>
      <c r="B393" s="183"/>
      <c r="C393" s="13" t="s">
        <v>4828</v>
      </c>
      <c r="D393" s="13" t="s">
        <v>4828</v>
      </c>
      <c r="E393" s="13" t="s">
        <v>4828</v>
      </c>
      <c r="F393" s="13" t="s">
        <v>4828</v>
      </c>
      <c r="G393" s="13" t="s">
        <v>4828</v>
      </c>
      <c r="H393" s="13" t="s">
        <v>4828</v>
      </c>
      <c r="I393" s="198"/>
    </row>
    <row r="394" spans="1:9" ht="15.75" x14ac:dyDescent="0.25">
      <c r="A394" s="23">
        <v>437</v>
      </c>
      <c r="B394" s="6" t="str">
        <f>CADASTROS!$C$236</f>
        <v>Antônio Pereira Damasceno</v>
      </c>
      <c r="C394" s="159"/>
      <c r="D394" s="159"/>
      <c r="E394" s="159"/>
      <c r="F394" s="159"/>
      <c r="G394" s="159"/>
      <c r="H394" s="159"/>
      <c r="I394" s="7">
        <f>SUM(C394+D394+E394+F394+G394+H394)</f>
        <v>0</v>
      </c>
    </row>
    <row r="395" spans="1:9" ht="15.75" x14ac:dyDescent="0.25">
      <c r="A395" s="23">
        <v>438</v>
      </c>
      <c r="B395" s="6" t="str">
        <f>CADASTROS!$C$237</f>
        <v>Samara Silva de Sena</v>
      </c>
      <c r="C395" s="159"/>
      <c r="D395" s="159"/>
      <c r="E395" s="159"/>
      <c r="F395" s="159"/>
      <c r="G395" s="159"/>
      <c r="H395" s="159"/>
      <c r="I395" s="7">
        <f t="shared" ref="I395:I421" si="49">SUM(C395+D395+E395+F395+G395+H395)</f>
        <v>0</v>
      </c>
    </row>
    <row r="396" spans="1:9" ht="15.75" x14ac:dyDescent="0.25">
      <c r="A396" s="23">
        <v>439</v>
      </c>
      <c r="B396" s="6" t="str">
        <f>CADASTROS!$C$238</f>
        <v>Maria do Carmo Sousa Santos</v>
      </c>
      <c r="C396" s="159"/>
      <c r="D396" s="159"/>
      <c r="E396" s="159"/>
      <c r="F396" s="159"/>
      <c r="G396" s="159"/>
      <c r="H396" s="159"/>
      <c r="I396" s="7">
        <f t="shared" si="49"/>
        <v>0</v>
      </c>
    </row>
    <row r="397" spans="1:9" ht="15.75" x14ac:dyDescent="0.25">
      <c r="A397" s="23">
        <v>440</v>
      </c>
      <c r="B397" s="6" t="str">
        <f>CADASTROS!$C$239</f>
        <v>Diana Sousa Lima</v>
      </c>
      <c r="C397" s="159"/>
      <c r="D397" s="159"/>
      <c r="E397" s="159"/>
      <c r="F397" s="159"/>
      <c r="G397" s="159"/>
      <c r="H397" s="159"/>
      <c r="I397" s="7">
        <f t="shared" si="49"/>
        <v>0</v>
      </c>
    </row>
    <row r="398" spans="1:9" ht="15.75" x14ac:dyDescent="0.25">
      <c r="A398" s="23">
        <v>441</v>
      </c>
      <c r="B398" s="6" t="str">
        <f>CADASTROS!$C$240</f>
        <v>Andreane Souza Batista</v>
      </c>
      <c r="C398" s="159"/>
      <c r="D398" s="159"/>
      <c r="E398" s="159"/>
      <c r="F398" s="159"/>
      <c r="G398" s="159"/>
      <c r="H398" s="159"/>
      <c r="I398" s="7">
        <f t="shared" si="49"/>
        <v>0</v>
      </c>
    </row>
    <row r="399" spans="1:9" ht="15.75" x14ac:dyDescent="0.25">
      <c r="A399" s="23">
        <v>442</v>
      </c>
      <c r="B399" s="6" t="str">
        <f>CADASTROS!$C$241</f>
        <v>Naili Oliveira de Souza</v>
      </c>
      <c r="C399" s="159"/>
      <c r="D399" s="159"/>
      <c r="E399" s="159"/>
      <c r="F399" s="159"/>
      <c r="G399" s="159"/>
      <c r="H399" s="159"/>
      <c r="I399" s="7">
        <f t="shared" si="49"/>
        <v>0</v>
      </c>
    </row>
    <row r="400" spans="1:9" ht="15.75" x14ac:dyDescent="0.25">
      <c r="A400" s="23">
        <v>444</v>
      </c>
      <c r="B400" s="6" t="str">
        <f>CADASTROS!$C$242</f>
        <v>Valtei Jesus de Sousa</v>
      </c>
      <c r="C400" s="159"/>
      <c r="D400" s="159"/>
      <c r="E400" s="159"/>
      <c r="F400" s="159"/>
      <c r="G400" s="159"/>
      <c r="H400" s="159"/>
      <c r="I400" s="7">
        <f t="shared" si="49"/>
        <v>0</v>
      </c>
    </row>
    <row r="401" spans="1:9" ht="15.75" x14ac:dyDescent="0.25">
      <c r="A401" s="23">
        <v>450</v>
      </c>
      <c r="B401" s="6" t="str">
        <f>CADASTROS!$C$243</f>
        <v>Desiane M Jesus dos Santos</v>
      </c>
      <c r="C401" s="159"/>
      <c r="D401" s="159"/>
      <c r="E401" s="159"/>
      <c r="F401" s="159"/>
      <c r="G401" s="159"/>
      <c r="H401" s="159"/>
      <c r="I401" s="7">
        <f t="shared" si="49"/>
        <v>0</v>
      </c>
    </row>
    <row r="402" spans="1:9" ht="15.75" x14ac:dyDescent="0.25">
      <c r="A402" s="23">
        <v>436</v>
      </c>
      <c r="B402" s="6" t="str">
        <f>CADASTROS!$C$244</f>
        <v>Noires de Jesus Moreira</v>
      </c>
      <c r="C402" s="159"/>
      <c r="D402" s="159"/>
      <c r="E402" s="159"/>
      <c r="F402" s="159"/>
      <c r="G402" s="159"/>
      <c r="H402" s="159"/>
      <c r="I402" s="7">
        <f t="shared" si="49"/>
        <v>0</v>
      </c>
    </row>
    <row r="403" spans="1:9" ht="15.75" x14ac:dyDescent="0.25">
      <c r="A403" s="23"/>
      <c r="B403" s="6" t="str">
        <f>CADASTROS!$C$245</f>
        <v>Rita de Cássia J Souza</v>
      </c>
      <c r="C403" s="159"/>
      <c r="D403" s="159"/>
      <c r="E403" s="159"/>
      <c r="F403" s="159"/>
      <c r="G403" s="159"/>
      <c r="H403" s="159"/>
      <c r="I403" s="7">
        <f t="shared" si="49"/>
        <v>0</v>
      </c>
    </row>
    <row r="404" spans="1:9" ht="15.75" x14ac:dyDescent="0.25">
      <c r="A404" s="23"/>
      <c r="B404" s="6" t="str">
        <f>CADASTROS!$C$246</f>
        <v>Jeferson de Souza Pires</v>
      </c>
      <c r="C404" s="159"/>
      <c r="D404" s="159"/>
      <c r="E404" s="159"/>
      <c r="F404" s="159"/>
      <c r="G404" s="159"/>
      <c r="H404" s="159"/>
      <c r="I404" s="7">
        <f t="shared" si="49"/>
        <v>0</v>
      </c>
    </row>
    <row r="405" spans="1:9" ht="15.75" x14ac:dyDescent="0.25">
      <c r="A405" s="23">
        <v>448</v>
      </c>
      <c r="B405" s="6" t="str">
        <f>CADASTROS!$C$247</f>
        <v>Geisa Costa Silva</v>
      </c>
      <c r="C405" s="159"/>
      <c r="D405" s="159"/>
      <c r="E405" s="159"/>
      <c r="F405" s="159"/>
      <c r="G405" s="159"/>
      <c r="H405" s="159"/>
      <c r="I405" s="7">
        <f t="shared" si="49"/>
        <v>0</v>
      </c>
    </row>
    <row r="406" spans="1:9" ht="15.75" x14ac:dyDescent="0.25">
      <c r="A406" s="23">
        <v>443</v>
      </c>
      <c r="B406" s="6" t="str">
        <f>CADASTROS!$C$248</f>
        <v>José Paulo  Medrado Souza</v>
      </c>
      <c r="C406" s="159"/>
      <c r="D406" s="159"/>
      <c r="E406" s="159"/>
      <c r="F406" s="159"/>
      <c r="G406" s="159"/>
      <c r="H406" s="159"/>
      <c r="I406" s="7">
        <f t="shared" si="49"/>
        <v>0</v>
      </c>
    </row>
    <row r="407" spans="1:9" ht="15.75" x14ac:dyDescent="0.25">
      <c r="A407" s="23">
        <v>476</v>
      </c>
      <c r="B407" s="6" t="str">
        <f>CADASTROS!$C$249</f>
        <v>Gleivison Lima dos Santos</v>
      </c>
      <c r="C407" s="159"/>
      <c r="D407" s="159"/>
      <c r="E407" s="159"/>
      <c r="F407" s="159"/>
      <c r="G407" s="159"/>
      <c r="H407" s="159"/>
      <c r="I407" s="7">
        <f t="shared" si="49"/>
        <v>0</v>
      </c>
    </row>
    <row r="408" spans="1:9" ht="15.75" x14ac:dyDescent="0.25">
      <c r="A408" s="23">
        <v>482</v>
      </c>
      <c r="B408" s="6" t="str">
        <f>CADASTROS!$C$250</f>
        <v>Mª Cleuma R Souza</v>
      </c>
      <c r="C408" s="159"/>
      <c r="D408" s="159"/>
      <c r="E408" s="159"/>
      <c r="F408" s="159"/>
      <c r="G408" s="159"/>
      <c r="H408" s="159"/>
      <c r="I408" s="7">
        <f t="shared" si="49"/>
        <v>0</v>
      </c>
    </row>
    <row r="409" spans="1:9" ht="15.75" x14ac:dyDescent="0.25">
      <c r="A409" s="23">
        <v>452</v>
      </c>
      <c r="B409" s="6" t="str">
        <f>CADASTROS!$C$251</f>
        <v>Josevaldo N de Souza</v>
      </c>
      <c r="C409" s="159"/>
      <c r="D409" s="159"/>
      <c r="E409" s="159"/>
      <c r="F409" s="159"/>
      <c r="G409" s="159"/>
      <c r="H409" s="159"/>
      <c r="I409" s="7">
        <f t="shared" si="49"/>
        <v>0</v>
      </c>
    </row>
    <row r="410" spans="1:9" ht="15.75" x14ac:dyDescent="0.25">
      <c r="A410" s="23">
        <v>453</v>
      </c>
      <c r="B410" s="6" t="str">
        <f>CADASTROS!$C$252</f>
        <v>Noelio Ferreira dos Santos</v>
      </c>
      <c r="C410" s="159"/>
      <c r="D410" s="159"/>
      <c r="E410" s="159"/>
      <c r="F410" s="159"/>
      <c r="G410" s="159"/>
      <c r="H410" s="159"/>
      <c r="I410" s="7">
        <f t="shared" si="49"/>
        <v>0</v>
      </c>
    </row>
    <row r="411" spans="1:9" ht="15.75" x14ac:dyDescent="0.25">
      <c r="A411" s="23">
        <v>454</v>
      </c>
      <c r="B411" s="6" t="str">
        <f>CADASTROS!$C$253</f>
        <v>João Cruz dos Santos</v>
      </c>
      <c r="C411" s="159"/>
      <c r="D411" s="159"/>
      <c r="E411" s="159"/>
      <c r="F411" s="159"/>
      <c r="G411" s="159"/>
      <c r="H411" s="159"/>
      <c r="I411" s="7">
        <f t="shared" si="49"/>
        <v>0</v>
      </c>
    </row>
    <row r="412" spans="1:9" ht="15.75" x14ac:dyDescent="0.25">
      <c r="A412" s="23">
        <v>455</v>
      </c>
      <c r="B412" s="6" t="str">
        <f>CADASTROS!$C$254</f>
        <v>Viviane Alves de Souza</v>
      </c>
      <c r="C412" s="159"/>
      <c r="D412" s="159"/>
      <c r="E412" s="159"/>
      <c r="F412" s="159"/>
      <c r="G412" s="159"/>
      <c r="H412" s="159"/>
      <c r="I412" s="7">
        <f t="shared" si="49"/>
        <v>0</v>
      </c>
    </row>
    <row r="413" spans="1:9" ht="15.75" x14ac:dyDescent="0.25">
      <c r="A413" s="23">
        <v>456</v>
      </c>
      <c r="B413" s="6" t="str">
        <f>CADASTROS!$C$255</f>
        <v>Luiz Meira Almeida</v>
      </c>
      <c r="C413" s="159"/>
      <c r="D413" s="159"/>
      <c r="E413" s="159"/>
      <c r="F413" s="159"/>
      <c r="G413" s="159"/>
      <c r="H413" s="159"/>
      <c r="I413" s="7">
        <f t="shared" si="49"/>
        <v>0</v>
      </c>
    </row>
    <row r="414" spans="1:9" ht="15.75" x14ac:dyDescent="0.25">
      <c r="A414" s="23">
        <v>457</v>
      </c>
      <c r="B414" s="6" t="str">
        <f>CADASTROS!$C$256</f>
        <v>Iraildes Calixto Alves</v>
      </c>
      <c r="C414" s="159"/>
      <c r="D414" s="159"/>
      <c r="E414" s="159"/>
      <c r="F414" s="159"/>
      <c r="G414" s="159"/>
      <c r="H414" s="159"/>
      <c r="I414" s="7">
        <f t="shared" si="49"/>
        <v>0</v>
      </c>
    </row>
    <row r="415" spans="1:9" ht="15.75" x14ac:dyDescent="0.25">
      <c r="A415" s="23">
        <v>459</v>
      </c>
      <c r="B415" s="6" t="str">
        <f>CADASTROS!$C$257</f>
        <v>Janio Souza de Jesus</v>
      </c>
      <c r="C415" s="159"/>
      <c r="D415" s="159"/>
      <c r="E415" s="159"/>
      <c r="F415" s="159"/>
      <c r="G415" s="159"/>
      <c r="H415" s="159"/>
      <c r="I415" s="7">
        <f t="shared" si="49"/>
        <v>0</v>
      </c>
    </row>
    <row r="416" spans="1:9" ht="15.75" x14ac:dyDescent="0.25">
      <c r="A416" s="23">
        <v>460</v>
      </c>
      <c r="B416" s="6" t="str">
        <f>CADASTROS!$C$258</f>
        <v>Taciana Longim do Nascimento</v>
      </c>
      <c r="C416" s="159"/>
      <c r="D416" s="159"/>
      <c r="E416" s="159"/>
      <c r="F416" s="159"/>
      <c r="G416" s="159"/>
      <c r="H416" s="159"/>
      <c r="I416" s="7">
        <f t="shared" si="49"/>
        <v>0</v>
      </c>
    </row>
    <row r="417" spans="1:9" ht="15.75" x14ac:dyDescent="0.25">
      <c r="A417" s="23">
        <v>461</v>
      </c>
      <c r="B417" s="6" t="str">
        <f>CADASTROS!$C$259</f>
        <v>Edivan Morais de Oliveira</v>
      </c>
      <c r="C417" s="159"/>
      <c r="D417" s="159"/>
      <c r="E417" s="159"/>
      <c r="F417" s="159"/>
      <c r="G417" s="159">
        <v>13</v>
      </c>
      <c r="H417" s="159">
        <v>11.5</v>
      </c>
      <c r="I417" s="7">
        <f t="shared" si="49"/>
        <v>24.5</v>
      </c>
    </row>
    <row r="418" spans="1:9" ht="15.75" x14ac:dyDescent="0.25">
      <c r="A418" s="23">
        <v>462</v>
      </c>
      <c r="B418" s="6" t="str">
        <f>CADASTROS!$C$260</f>
        <v>Carlos Araújo</v>
      </c>
      <c r="C418" s="159"/>
      <c r="D418" s="159"/>
      <c r="E418" s="159"/>
      <c r="F418" s="159"/>
      <c r="G418" s="159"/>
      <c r="H418" s="159"/>
      <c r="I418" s="7">
        <f t="shared" si="49"/>
        <v>0</v>
      </c>
    </row>
    <row r="419" spans="1:9" ht="15.75" x14ac:dyDescent="0.25">
      <c r="A419" s="23">
        <v>463</v>
      </c>
      <c r="B419" s="6" t="str">
        <f>CADASTROS!$C$261</f>
        <v>Mª Nalva Jesus de Souza</v>
      </c>
      <c r="C419" s="159"/>
      <c r="D419" s="159"/>
      <c r="E419" s="159"/>
      <c r="F419" s="159"/>
      <c r="G419" s="159"/>
      <c r="H419" s="159"/>
      <c r="I419" s="7">
        <f t="shared" si="49"/>
        <v>0</v>
      </c>
    </row>
    <row r="420" spans="1:9" ht="15.75" x14ac:dyDescent="0.25">
      <c r="A420" s="23">
        <v>464</v>
      </c>
      <c r="B420" s="6" t="str">
        <f>CADASTROS!$C$262</f>
        <v>Wesley Gonçalves Rios</v>
      </c>
      <c r="C420" s="159"/>
      <c r="D420" s="159"/>
      <c r="E420" s="159"/>
      <c r="F420" s="159"/>
      <c r="G420" s="159"/>
      <c r="H420" s="159"/>
      <c r="I420" s="7">
        <f t="shared" si="49"/>
        <v>0</v>
      </c>
    </row>
    <row r="421" spans="1:9" ht="15.75" x14ac:dyDescent="0.25">
      <c r="B421" s="159" t="s">
        <v>4829</v>
      </c>
      <c r="C421" s="159">
        <f>SUM(C394:C420)</f>
        <v>0</v>
      </c>
      <c r="D421" s="159">
        <f t="shared" ref="D421:H421" si="50">SUM(D394:D420)</f>
        <v>0</v>
      </c>
      <c r="E421" s="159">
        <f t="shared" si="50"/>
        <v>0</v>
      </c>
      <c r="F421" s="159">
        <f t="shared" si="50"/>
        <v>0</v>
      </c>
      <c r="G421" s="159">
        <f t="shared" si="50"/>
        <v>13</v>
      </c>
      <c r="H421" s="159">
        <f t="shared" si="50"/>
        <v>11.5</v>
      </c>
      <c r="I421" s="7">
        <f t="shared" si="49"/>
        <v>24.5</v>
      </c>
    </row>
    <row r="423" spans="1:9" ht="15.75" x14ac:dyDescent="0.25">
      <c r="B423" s="8" t="s">
        <v>4830</v>
      </c>
      <c r="C423" s="159"/>
      <c r="D423" s="159"/>
      <c r="E423" s="159"/>
      <c r="F423" s="159"/>
      <c r="G423" s="159"/>
      <c r="H423" s="159"/>
      <c r="I423" s="159">
        <f>SUM(C423:H423)</f>
        <v>0</v>
      </c>
    </row>
    <row r="424" spans="1:9" x14ac:dyDescent="0.25">
      <c r="B424" s="167"/>
    </row>
    <row r="425" spans="1:9" ht="15.75" x14ac:dyDescent="0.25">
      <c r="B425" s="8" t="s">
        <v>4831</v>
      </c>
      <c r="C425" s="9" t="e">
        <f>C421/C423</f>
        <v>#DIV/0!</v>
      </c>
      <c r="D425" s="9" t="e">
        <f t="shared" ref="D425:H425" si="51">D421/D423</f>
        <v>#DIV/0!</v>
      </c>
      <c r="E425" s="9" t="e">
        <f t="shared" si="51"/>
        <v>#DIV/0!</v>
      </c>
      <c r="F425" s="9" t="e">
        <f t="shared" si="51"/>
        <v>#DIV/0!</v>
      </c>
      <c r="G425" s="9" t="e">
        <f t="shared" si="51"/>
        <v>#DIV/0!</v>
      </c>
      <c r="H425" s="9" t="e">
        <f t="shared" si="51"/>
        <v>#DIV/0!</v>
      </c>
      <c r="I425" s="9"/>
    </row>
    <row r="426" spans="1:9" ht="15.75" x14ac:dyDescent="0.25">
      <c r="B426" s="163"/>
      <c r="C426" s="10"/>
      <c r="D426" s="10"/>
      <c r="E426" s="10"/>
      <c r="F426" s="10"/>
      <c r="G426" s="10"/>
      <c r="H426" s="163"/>
      <c r="I426" s="163"/>
    </row>
    <row r="427" spans="1:9" ht="15.75" x14ac:dyDescent="0.25">
      <c r="B427" s="8" t="s">
        <v>4832</v>
      </c>
      <c r="C427" s="159"/>
      <c r="D427" s="159"/>
      <c r="E427" s="6"/>
      <c r="F427" s="6"/>
      <c r="G427" s="6"/>
      <c r="H427" s="6"/>
      <c r="I427" s="11"/>
    </row>
    <row r="430" spans="1:9" ht="21" x14ac:dyDescent="0.35">
      <c r="B430" s="184" t="s">
        <v>4816</v>
      </c>
      <c r="C430" s="185"/>
      <c r="D430" s="185"/>
      <c r="E430" s="185"/>
      <c r="F430" s="185"/>
      <c r="G430" s="185"/>
      <c r="H430" s="185"/>
      <c r="I430" s="186"/>
    </row>
    <row r="431" spans="1:9" x14ac:dyDescent="0.25">
      <c r="I431" s="3"/>
    </row>
    <row r="432" spans="1:9" ht="21" x14ac:dyDescent="0.35">
      <c r="B432" s="192" t="s">
        <v>4817</v>
      </c>
      <c r="C432" s="193"/>
      <c r="D432" s="193"/>
      <c r="E432" s="193"/>
      <c r="F432" s="193"/>
      <c r="G432" s="193"/>
      <c r="H432" s="193"/>
      <c r="I432" s="194"/>
    </row>
    <row r="433" spans="1:9" ht="33" customHeight="1" x14ac:dyDescent="0.25"/>
    <row r="434" spans="1:9" ht="37.5" customHeight="1" x14ac:dyDescent="0.25">
      <c r="B434" s="187" t="s">
        <v>4836</v>
      </c>
      <c r="C434" s="195"/>
      <c r="D434" s="195"/>
      <c r="E434" s="195"/>
      <c r="F434" s="195"/>
      <c r="G434" s="195"/>
      <c r="H434" s="195"/>
      <c r="I434" s="196"/>
    </row>
    <row r="435" spans="1:9" ht="47.25" x14ac:dyDescent="0.25">
      <c r="A435" s="182" t="s">
        <v>4819</v>
      </c>
      <c r="B435" s="182" t="s">
        <v>4820</v>
      </c>
      <c r="C435" s="4" t="s">
        <v>4821</v>
      </c>
      <c r="D435" s="4" t="s">
        <v>4822</v>
      </c>
      <c r="E435" s="88" t="s">
        <v>4823</v>
      </c>
      <c r="F435" s="88" t="s">
        <v>4824</v>
      </c>
      <c r="G435" s="88" t="s">
        <v>4825</v>
      </c>
      <c r="H435" s="4" t="s">
        <v>4826</v>
      </c>
      <c r="I435" s="198" t="s">
        <v>4827</v>
      </c>
    </row>
    <row r="436" spans="1:9" ht="25.5" x14ac:dyDescent="0.25">
      <c r="A436" s="197"/>
      <c r="B436" s="183"/>
      <c r="C436" s="13" t="s">
        <v>4828</v>
      </c>
      <c r="D436" s="13" t="s">
        <v>4828</v>
      </c>
      <c r="E436" s="13" t="s">
        <v>4828</v>
      </c>
      <c r="F436" s="13" t="s">
        <v>4828</v>
      </c>
      <c r="G436" s="13" t="s">
        <v>4828</v>
      </c>
      <c r="H436" s="13" t="s">
        <v>4828</v>
      </c>
      <c r="I436" s="198"/>
    </row>
    <row r="437" spans="1:9" ht="15.75" x14ac:dyDescent="0.25">
      <c r="A437" s="23">
        <v>465</v>
      </c>
      <c r="B437" s="6" t="str">
        <f>CADASTROS!$C$263</f>
        <v>Gleide Celma Jesus Santos</v>
      </c>
      <c r="C437" s="159"/>
      <c r="D437" s="159"/>
      <c r="E437" s="159"/>
      <c r="F437" s="159"/>
      <c r="G437" s="159"/>
      <c r="H437" s="159"/>
      <c r="I437" s="7">
        <f>SUM(C437+D437+E437+F437+G437+H437)</f>
        <v>0</v>
      </c>
    </row>
    <row r="438" spans="1:9" ht="15.75" x14ac:dyDescent="0.25">
      <c r="A438" s="23">
        <v>466</v>
      </c>
      <c r="B438" s="6" t="str">
        <f>CADASTROS!$C$264</f>
        <v>Maicom Souza de Oliveira</v>
      </c>
      <c r="C438" s="159"/>
      <c r="D438" s="159"/>
      <c r="E438" s="159"/>
      <c r="F438" s="159"/>
      <c r="G438" s="159"/>
      <c r="H438" s="159"/>
      <c r="I438" s="7">
        <f t="shared" ref="I438:I464" si="52">SUM(C438+D438+E438+F438+G438+H438)</f>
        <v>0</v>
      </c>
    </row>
    <row r="439" spans="1:9" ht="15.75" x14ac:dyDescent="0.25">
      <c r="A439" s="23">
        <v>467</v>
      </c>
      <c r="B439" s="6" t="str">
        <f>CADASTROS!$C$265</f>
        <v>Sandro Morais de Oliveira</v>
      </c>
      <c r="C439" s="159"/>
      <c r="D439" s="159"/>
      <c r="E439" s="159"/>
      <c r="F439" s="159"/>
      <c r="G439" s="159"/>
      <c r="H439" s="159"/>
      <c r="I439" s="7">
        <f t="shared" si="52"/>
        <v>0</v>
      </c>
    </row>
    <row r="440" spans="1:9" ht="15.75" x14ac:dyDescent="0.25">
      <c r="A440" s="23">
        <v>468</v>
      </c>
      <c r="B440" s="6" t="str">
        <f>CADASTROS!$C$266</f>
        <v>Amauri Dutra do Nascimento</v>
      </c>
      <c r="C440" s="159">
        <v>13</v>
      </c>
      <c r="D440" s="159">
        <v>12.5</v>
      </c>
      <c r="E440" s="159">
        <v>12</v>
      </c>
      <c r="F440" s="159"/>
      <c r="G440" s="159">
        <v>11</v>
      </c>
      <c r="H440" s="159"/>
      <c r="I440" s="7">
        <f t="shared" si="52"/>
        <v>48.5</v>
      </c>
    </row>
    <row r="441" spans="1:9" ht="15.75" x14ac:dyDescent="0.25">
      <c r="A441" s="23">
        <v>469</v>
      </c>
      <c r="B441" s="6" t="str">
        <f>CADASTROS!$C$267</f>
        <v>Edemir Jesus de Oliveira</v>
      </c>
      <c r="C441" s="159"/>
      <c r="D441" s="159"/>
      <c r="E441" s="159"/>
      <c r="F441" s="159"/>
      <c r="G441" s="159"/>
      <c r="H441" s="159"/>
      <c r="I441" s="7">
        <f>SUM(C441+D441+E441+F441+G441+H441)</f>
        <v>0</v>
      </c>
    </row>
    <row r="442" spans="1:9" ht="15.75" x14ac:dyDescent="0.25">
      <c r="A442" s="23">
        <v>470</v>
      </c>
      <c r="B442" s="6" t="str">
        <f>CADASTROS!$C$268</f>
        <v>Divina dos Anjos Souza</v>
      </c>
      <c r="C442" s="159"/>
      <c r="D442" s="159"/>
      <c r="E442" s="159"/>
      <c r="F442" s="159"/>
      <c r="G442" s="159"/>
      <c r="H442" s="159"/>
      <c r="I442" s="7">
        <f t="shared" si="52"/>
        <v>0</v>
      </c>
    </row>
    <row r="443" spans="1:9" ht="15.75" x14ac:dyDescent="0.25">
      <c r="A443" s="23">
        <v>471</v>
      </c>
      <c r="B443" s="6" t="str">
        <f>CADASTROS!$C$269</f>
        <v>Jane Maria de Jesus</v>
      </c>
      <c r="C443" s="159"/>
      <c r="D443" s="159"/>
      <c r="E443" s="159"/>
      <c r="F443" s="159"/>
      <c r="G443" s="159"/>
      <c r="H443" s="159"/>
      <c r="I443" s="7">
        <f t="shared" si="52"/>
        <v>0</v>
      </c>
    </row>
    <row r="444" spans="1:9" ht="15.75" x14ac:dyDescent="0.25">
      <c r="A444" s="23">
        <v>472</v>
      </c>
      <c r="B444" s="6" t="str">
        <f>CADASTROS!$C$270</f>
        <v>João de  Jesus S Junior</v>
      </c>
      <c r="C444" s="159"/>
      <c r="D444" s="159"/>
      <c r="E444" s="159"/>
      <c r="F444" s="159"/>
      <c r="G444" s="159"/>
      <c r="H444" s="159"/>
      <c r="I444" s="7">
        <f t="shared" si="52"/>
        <v>0</v>
      </c>
    </row>
    <row r="445" spans="1:9" ht="15.75" x14ac:dyDescent="0.25">
      <c r="A445" s="23">
        <v>473</v>
      </c>
      <c r="B445" s="6" t="str">
        <f>CADASTROS!$C$271</f>
        <v>Tânia Martinha Santos Machado Sousa</v>
      </c>
      <c r="C445" s="159"/>
      <c r="D445" s="159"/>
      <c r="E445" s="159"/>
      <c r="F445" s="159"/>
      <c r="G445" s="159"/>
      <c r="H445" s="159"/>
      <c r="I445" s="7">
        <f t="shared" si="52"/>
        <v>0</v>
      </c>
    </row>
    <row r="446" spans="1:9" ht="15.75" x14ac:dyDescent="0.25">
      <c r="A446" s="23">
        <v>474</v>
      </c>
      <c r="B446" s="6" t="str">
        <f>CADASTROS!$C$272</f>
        <v>Mª Aparecida F. dos Santos</v>
      </c>
      <c r="C446" s="159"/>
      <c r="D446" s="159"/>
      <c r="E446" s="159"/>
      <c r="F446" s="159"/>
      <c r="G446" s="159"/>
      <c r="H446" s="159"/>
      <c r="I446" s="7">
        <f t="shared" si="52"/>
        <v>0</v>
      </c>
    </row>
    <row r="447" spans="1:9" ht="15.75" x14ac:dyDescent="0.25">
      <c r="A447" s="23">
        <v>475</v>
      </c>
      <c r="B447" s="6" t="str">
        <f>CADASTROS!$C$273</f>
        <v>José Morais de Oliveira</v>
      </c>
      <c r="C447" s="159"/>
      <c r="D447" s="159"/>
      <c r="E447" s="159"/>
      <c r="F447" s="159"/>
      <c r="G447" s="159"/>
      <c r="H447" s="159"/>
      <c r="I447" s="7">
        <f t="shared" si="52"/>
        <v>0</v>
      </c>
    </row>
    <row r="448" spans="1:9" ht="15.75" x14ac:dyDescent="0.25">
      <c r="A448" s="23">
        <v>477</v>
      </c>
      <c r="B448" s="6" t="str">
        <f>CADASTROS!$C$274</f>
        <v>Marcílio Ramos de Souza</v>
      </c>
      <c r="C448" s="159"/>
      <c r="D448" s="159"/>
      <c r="E448" s="159"/>
      <c r="F448" s="159"/>
      <c r="G448" s="159"/>
      <c r="H448" s="159"/>
      <c r="I448" s="7">
        <f t="shared" si="52"/>
        <v>0</v>
      </c>
    </row>
    <row r="449" spans="1:9" ht="15.75" x14ac:dyDescent="0.25">
      <c r="A449" s="23">
        <v>175</v>
      </c>
      <c r="B449" s="80" t="str">
        <f>CADASTROS!$C$275</f>
        <v>Elton Conceição dos Santos</v>
      </c>
      <c r="C449" s="159">
        <v>7.5</v>
      </c>
      <c r="D449" s="159">
        <v>9</v>
      </c>
      <c r="E449" s="159">
        <v>9</v>
      </c>
      <c r="F449" s="159"/>
      <c r="G449" s="159">
        <v>8.5</v>
      </c>
      <c r="H449" s="159">
        <v>5</v>
      </c>
      <c r="I449" s="7">
        <f t="shared" si="52"/>
        <v>39</v>
      </c>
    </row>
    <row r="450" spans="1:9" ht="15.75" x14ac:dyDescent="0.25">
      <c r="A450" s="23">
        <v>524</v>
      </c>
      <c r="B450" s="6" t="str">
        <f>CADASTROS!$C$276</f>
        <v>Paula Renata Ferreira Silva</v>
      </c>
      <c r="C450" s="159"/>
      <c r="D450" s="159"/>
      <c r="E450" s="159"/>
      <c r="F450" s="159"/>
      <c r="G450" s="159"/>
      <c r="H450" s="159"/>
      <c r="I450" s="7">
        <f t="shared" si="52"/>
        <v>0</v>
      </c>
    </row>
    <row r="451" spans="1:9" ht="15.75" x14ac:dyDescent="0.25">
      <c r="A451" s="23">
        <v>525</v>
      </c>
      <c r="B451" s="6" t="str">
        <f>CADASTROS!$C$277</f>
        <v>Vanderlei dos Santos</v>
      </c>
      <c r="C451" s="159"/>
      <c r="D451" s="159"/>
      <c r="E451" s="159"/>
      <c r="F451" s="159"/>
      <c r="G451" s="159"/>
      <c r="H451" s="159"/>
      <c r="I451" s="7">
        <f t="shared" si="52"/>
        <v>0</v>
      </c>
    </row>
    <row r="452" spans="1:9" ht="15.75" x14ac:dyDescent="0.25">
      <c r="A452" s="23">
        <v>487</v>
      </c>
      <c r="B452" s="6" t="str">
        <f>CADASTROS!$C$278</f>
        <v>Odivanio de Barros Cruz</v>
      </c>
      <c r="C452" s="159"/>
      <c r="D452" s="159"/>
      <c r="E452" s="159"/>
      <c r="F452" s="159"/>
      <c r="G452" s="159"/>
      <c r="H452" s="159"/>
      <c r="I452" s="7">
        <f t="shared" si="52"/>
        <v>0</v>
      </c>
    </row>
    <row r="453" spans="1:9" ht="15.75" x14ac:dyDescent="0.25">
      <c r="A453" s="23">
        <v>527</v>
      </c>
      <c r="B453" s="6" t="str">
        <f>CADASTROS!$C$279</f>
        <v>Mª Bastos da Silva</v>
      </c>
      <c r="C453" s="159"/>
      <c r="D453" s="159"/>
      <c r="E453" s="159"/>
      <c r="F453" s="159"/>
      <c r="G453" s="159"/>
      <c r="H453" s="159"/>
      <c r="I453" s="7">
        <f t="shared" si="52"/>
        <v>0</v>
      </c>
    </row>
    <row r="454" spans="1:9" ht="15.75" x14ac:dyDescent="0.25">
      <c r="A454" s="23">
        <v>528</v>
      </c>
      <c r="B454" s="6" t="str">
        <f>CADASTROS!$C$280</f>
        <v>Clécio C. Santos</v>
      </c>
      <c r="C454" s="159"/>
      <c r="D454" s="159"/>
      <c r="E454" s="159"/>
      <c r="F454" s="159"/>
      <c r="G454" s="159"/>
      <c r="H454" s="159"/>
      <c r="I454" s="7">
        <f t="shared" si="52"/>
        <v>0</v>
      </c>
    </row>
    <row r="455" spans="1:9" ht="15.75" x14ac:dyDescent="0.25">
      <c r="A455" s="23">
        <v>529</v>
      </c>
      <c r="B455" s="6" t="str">
        <f>CADASTROS!$C$281</f>
        <v>Patrícia A. Souza</v>
      </c>
      <c r="C455" s="159"/>
      <c r="D455" s="159"/>
      <c r="E455" s="159"/>
      <c r="F455" s="159"/>
      <c r="G455" s="159"/>
      <c r="H455" s="159"/>
      <c r="I455" s="7">
        <f t="shared" si="52"/>
        <v>0</v>
      </c>
    </row>
    <row r="456" spans="1:9" ht="15.75" x14ac:dyDescent="0.25">
      <c r="A456" s="23">
        <v>530</v>
      </c>
      <c r="B456" s="6" t="str">
        <f>CADASTROS!$C$282</f>
        <v>Alexsandro Alves Gaspar</v>
      </c>
      <c r="C456" s="159"/>
      <c r="D456" s="159"/>
      <c r="E456" s="159"/>
      <c r="F456" s="159"/>
      <c r="G456" s="159"/>
      <c r="H456" s="159"/>
      <c r="I456" s="7">
        <f t="shared" si="52"/>
        <v>0</v>
      </c>
    </row>
    <row r="457" spans="1:9" ht="15.75" x14ac:dyDescent="0.25">
      <c r="A457" s="23">
        <v>531</v>
      </c>
      <c r="B457" s="6" t="str">
        <f>CADASTROS!$C$283</f>
        <v>Edvania de Souza Silva</v>
      </c>
      <c r="C457" s="159"/>
      <c r="D457" s="159"/>
      <c r="E457" s="159"/>
      <c r="F457" s="159"/>
      <c r="G457" s="159"/>
      <c r="H457" s="159"/>
      <c r="I457" s="7">
        <f t="shared" si="52"/>
        <v>0</v>
      </c>
    </row>
    <row r="458" spans="1:9" ht="15.75" x14ac:dyDescent="0.25">
      <c r="A458" s="23">
        <v>532</v>
      </c>
      <c r="B458" s="6" t="str">
        <f>CADASTROS!$C$284</f>
        <v>Dionei Ferreira Calado</v>
      </c>
      <c r="C458" s="159"/>
      <c r="D458" s="159"/>
      <c r="E458" s="159"/>
      <c r="F458" s="159"/>
      <c r="G458" s="159"/>
      <c r="H458" s="159"/>
      <c r="I458" s="7">
        <f t="shared" si="52"/>
        <v>0</v>
      </c>
    </row>
    <row r="459" spans="1:9" ht="15.75" x14ac:dyDescent="0.25">
      <c r="A459" s="23">
        <v>533</v>
      </c>
      <c r="B459" s="6" t="str">
        <f>CADASTROS!$C$285</f>
        <v>Benedito José Miranda</v>
      </c>
      <c r="C459" s="159"/>
      <c r="D459" s="159"/>
      <c r="E459" s="159"/>
      <c r="F459" s="159"/>
      <c r="G459" s="159"/>
      <c r="H459" s="159"/>
      <c r="I459" s="7">
        <f>SUM(C459+D459+E459+F459+G459+H459)</f>
        <v>0</v>
      </c>
    </row>
    <row r="460" spans="1:9" ht="15.75" x14ac:dyDescent="0.25">
      <c r="A460" s="23">
        <v>534</v>
      </c>
      <c r="B460" s="6" t="str">
        <f>CADASTROS!$C$286</f>
        <v>Noemia Conceição Araújo</v>
      </c>
      <c r="C460" s="159"/>
      <c r="D460" s="159"/>
      <c r="E460" s="159"/>
      <c r="F460" s="159"/>
      <c r="G460" s="159"/>
      <c r="H460" s="159"/>
      <c r="I460" s="7">
        <f t="shared" si="52"/>
        <v>0</v>
      </c>
    </row>
    <row r="461" spans="1:9" ht="15.75" x14ac:dyDescent="0.25">
      <c r="A461" s="23">
        <v>535</v>
      </c>
      <c r="B461" s="6" t="str">
        <f>CADASTROS!$C$287</f>
        <v>André Costa Pires</v>
      </c>
      <c r="C461" s="159"/>
      <c r="D461" s="159"/>
      <c r="E461" s="159"/>
      <c r="F461" s="159"/>
      <c r="G461" s="159"/>
      <c r="H461" s="159"/>
      <c r="I461" s="7">
        <f>SUM(C461+D461+E461+F461+G461+H461)</f>
        <v>0</v>
      </c>
    </row>
    <row r="462" spans="1:9" ht="15.75" x14ac:dyDescent="0.25">
      <c r="A462" s="23">
        <v>536</v>
      </c>
      <c r="B462" s="6" t="str">
        <f>CADASTROS!$C$288</f>
        <v>Elias dos Santos Ferreira</v>
      </c>
      <c r="C462" s="159"/>
      <c r="D462" s="159"/>
      <c r="E462" s="159"/>
      <c r="F462" s="159"/>
      <c r="G462" s="159"/>
      <c r="H462" s="159"/>
      <c r="I462" s="7">
        <f t="shared" si="52"/>
        <v>0</v>
      </c>
    </row>
    <row r="463" spans="1:9" ht="15.75" x14ac:dyDescent="0.25">
      <c r="A463" s="23">
        <v>537</v>
      </c>
      <c r="B463" s="6" t="str">
        <f>CADASTROS!$C$289</f>
        <v>Reizania Rosa de Souza</v>
      </c>
      <c r="C463" s="159"/>
      <c r="D463" s="159"/>
      <c r="E463" s="159"/>
      <c r="F463" s="159"/>
      <c r="G463" s="159"/>
      <c r="H463" s="159"/>
      <c r="I463" s="7">
        <f t="shared" si="52"/>
        <v>0</v>
      </c>
    </row>
    <row r="464" spans="1:9" ht="15.75" x14ac:dyDescent="0.25">
      <c r="B464" s="159" t="s">
        <v>4829</v>
      </c>
      <c r="C464" s="159">
        <f>SUM(C437:C463)</f>
        <v>20.5</v>
      </c>
      <c r="D464" s="159">
        <f>SUM(D437:D463)</f>
        <v>21.5</v>
      </c>
      <c r="E464" s="159">
        <f>SUM(E437:E463)</f>
        <v>21</v>
      </c>
      <c r="F464" s="159">
        <f t="shared" ref="F464:H464" si="53">SUM(F437:F463)</f>
        <v>0</v>
      </c>
      <c r="G464" s="159">
        <f t="shared" si="53"/>
        <v>19.5</v>
      </c>
      <c r="H464" s="159">
        <f t="shared" si="53"/>
        <v>5</v>
      </c>
      <c r="I464" s="7">
        <f t="shared" si="52"/>
        <v>87.5</v>
      </c>
    </row>
    <row r="466" spans="1:9" ht="15.75" x14ac:dyDescent="0.25">
      <c r="B466" s="8" t="s">
        <v>4830</v>
      </c>
      <c r="C466" s="159"/>
      <c r="D466" s="159"/>
      <c r="E466" s="159"/>
      <c r="F466" s="159"/>
      <c r="G466" s="159"/>
      <c r="H466" s="159"/>
      <c r="I466" s="159">
        <f>SUM(C466:H466)</f>
        <v>0</v>
      </c>
    </row>
    <row r="467" spans="1:9" x14ac:dyDescent="0.25">
      <c r="B467" s="167"/>
    </row>
    <row r="468" spans="1:9" ht="15.75" x14ac:dyDescent="0.25">
      <c r="B468" s="8" t="s">
        <v>4831</v>
      </c>
      <c r="C468" s="9" t="e">
        <f>C464/C466</f>
        <v>#DIV/0!</v>
      </c>
      <c r="D468" s="9" t="e">
        <f t="shared" ref="D468:H468" si="54">D464/D466</f>
        <v>#DIV/0!</v>
      </c>
      <c r="E468" s="9" t="e">
        <f t="shared" si="54"/>
        <v>#DIV/0!</v>
      </c>
      <c r="F468" s="9" t="e">
        <f t="shared" si="54"/>
        <v>#DIV/0!</v>
      </c>
      <c r="G468" s="9" t="e">
        <f t="shared" si="54"/>
        <v>#DIV/0!</v>
      </c>
      <c r="H468" s="9" t="e">
        <f t="shared" si="54"/>
        <v>#DIV/0!</v>
      </c>
      <c r="I468" s="9"/>
    </row>
    <row r="469" spans="1:9" ht="15.75" x14ac:dyDescent="0.25">
      <c r="B469" s="163"/>
      <c r="C469" s="10"/>
      <c r="D469" s="10"/>
      <c r="E469" s="10"/>
      <c r="F469" s="10"/>
      <c r="G469" s="10"/>
      <c r="H469" s="163"/>
      <c r="I469" s="163"/>
    </row>
    <row r="470" spans="1:9" ht="15.75" x14ac:dyDescent="0.25">
      <c r="B470" s="8" t="s">
        <v>4832</v>
      </c>
      <c r="C470" s="159"/>
      <c r="D470" s="159"/>
      <c r="E470" s="6"/>
      <c r="F470" s="6"/>
      <c r="G470" s="6"/>
      <c r="H470" s="6"/>
      <c r="I470" s="11"/>
    </row>
    <row r="473" spans="1:9" ht="21" x14ac:dyDescent="0.35">
      <c r="B473" s="184" t="s">
        <v>4816</v>
      </c>
      <c r="C473" s="185"/>
      <c r="D473" s="185"/>
      <c r="E473" s="185"/>
      <c r="F473" s="185"/>
      <c r="G473" s="185"/>
      <c r="H473" s="185"/>
      <c r="I473" s="186"/>
    </row>
    <row r="474" spans="1:9" x14ac:dyDescent="0.25">
      <c r="I474" s="3"/>
    </row>
    <row r="475" spans="1:9" ht="21" x14ac:dyDescent="0.35">
      <c r="B475" s="192" t="s">
        <v>4817</v>
      </c>
      <c r="C475" s="193"/>
      <c r="D475" s="193"/>
      <c r="E475" s="193"/>
      <c r="F475" s="193"/>
      <c r="G475" s="193"/>
      <c r="H475" s="193"/>
      <c r="I475" s="194"/>
    </row>
    <row r="477" spans="1:9" ht="36.75" customHeight="1" x14ac:dyDescent="0.25">
      <c r="B477" s="187" t="s">
        <v>4837</v>
      </c>
      <c r="C477" s="195"/>
      <c r="D477" s="195"/>
      <c r="E477" s="195"/>
      <c r="F477" s="195"/>
      <c r="G477" s="195"/>
      <c r="H477" s="195"/>
      <c r="I477" s="196"/>
    </row>
    <row r="478" spans="1:9" ht="47.25" x14ac:dyDescent="0.25">
      <c r="A478" s="182" t="s">
        <v>4819</v>
      </c>
      <c r="B478" s="182" t="s">
        <v>4820</v>
      </c>
      <c r="C478" s="4" t="s">
        <v>4821</v>
      </c>
      <c r="D478" s="4" t="s">
        <v>4822</v>
      </c>
      <c r="E478" s="88" t="s">
        <v>4823</v>
      </c>
      <c r="F478" s="88" t="s">
        <v>4824</v>
      </c>
      <c r="G478" s="88" t="s">
        <v>4825</v>
      </c>
      <c r="H478" s="4" t="s">
        <v>4826</v>
      </c>
      <c r="I478" s="198" t="s">
        <v>4827</v>
      </c>
    </row>
    <row r="479" spans="1:9" ht="36.75" customHeight="1" x14ac:dyDescent="0.25">
      <c r="A479" s="197"/>
      <c r="B479" s="183"/>
      <c r="C479" s="13" t="s">
        <v>4828</v>
      </c>
      <c r="D479" s="13" t="s">
        <v>4828</v>
      </c>
      <c r="E479" s="13" t="s">
        <v>4828</v>
      </c>
      <c r="F479" s="13" t="s">
        <v>4828</v>
      </c>
      <c r="G479" s="13" t="s">
        <v>4828</v>
      </c>
      <c r="H479" s="13" t="s">
        <v>4828</v>
      </c>
      <c r="I479" s="198"/>
    </row>
    <row r="480" spans="1:9" ht="15.75" x14ac:dyDescent="0.25">
      <c r="A480" s="27">
        <v>538</v>
      </c>
      <c r="B480" s="6" t="str">
        <f>CADASTROS!$C$290</f>
        <v>Terezinha Jesus de Souza</v>
      </c>
      <c r="C480" s="159"/>
      <c r="D480" s="159"/>
      <c r="E480" s="159"/>
      <c r="F480" s="159"/>
      <c r="G480" s="159"/>
      <c r="H480" s="159"/>
      <c r="I480" s="7">
        <f>SUM(C480+D480+E480+F480+G480+H480)</f>
        <v>0</v>
      </c>
    </row>
    <row r="481" spans="1:9" ht="15.75" x14ac:dyDescent="0.25">
      <c r="A481" s="23">
        <v>539</v>
      </c>
      <c r="B481" s="6" t="str">
        <f>CADASTROS!$C$291</f>
        <v>Edileusa Souza Costa</v>
      </c>
      <c r="C481" s="159"/>
      <c r="D481" s="159"/>
      <c r="E481" s="159"/>
      <c r="F481" s="159"/>
      <c r="G481" s="159"/>
      <c r="H481" s="159"/>
      <c r="I481" s="7">
        <f t="shared" ref="I481:I507" si="55">SUM(C481+D481+E481+F481+G481+H481)</f>
        <v>0</v>
      </c>
    </row>
    <row r="482" spans="1:9" ht="15.75" x14ac:dyDescent="0.25">
      <c r="A482" s="23">
        <v>540</v>
      </c>
      <c r="B482" s="6" t="str">
        <f>CADASTROS!$C$292</f>
        <v>Jaiara Moreira da Silva</v>
      </c>
      <c r="C482" s="159"/>
      <c r="D482" s="159"/>
      <c r="E482" s="159"/>
      <c r="F482" s="159"/>
      <c r="G482" s="159"/>
      <c r="H482" s="159"/>
      <c r="I482" s="7">
        <f t="shared" si="55"/>
        <v>0</v>
      </c>
    </row>
    <row r="483" spans="1:9" ht="15.75" x14ac:dyDescent="0.25">
      <c r="A483" s="23">
        <v>541</v>
      </c>
      <c r="B483" s="6" t="str">
        <f>CADASTROS!$C$293</f>
        <v>Marone José de Souza</v>
      </c>
      <c r="C483" s="159"/>
      <c r="D483" s="159"/>
      <c r="E483" s="159"/>
      <c r="F483" s="159"/>
      <c r="G483" s="159"/>
      <c r="H483" s="159"/>
      <c r="I483" s="7">
        <f t="shared" si="55"/>
        <v>0</v>
      </c>
    </row>
    <row r="484" spans="1:9" ht="15.75" x14ac:dyDescent="0.25">
      <c r="A484" s="23">
        <v>526</v>
      </c>
      <c r="B484" s="6" t="str">
        <f>CADASTROS!$C$294</f>
        <v>Augusto F. M. Almeida</v>
      </c>
      <c r="C484" s="159"/>
      <c r="D484" s="159"/>
      <c r="E484" s="159"/>
      <c r="F484" s="159"/>
      <c r="G484" s="159"/>
      <c r="H484" s="159"/>
      <c r="I484" s="7">
        <f t="shared" si="55"/>
        <v>0</v>
      </c>
    </row>
    <row r="485" spans="1:9" ht="15.75" x14ac:dyDescent="0.25">
      <c r="A485" s="23">
        <v>543</v>
      </c>
      <c r="B485" s="6" t="str">
        <f>CADASTROS!$C$295</f>
        <v>Damiana dos Santos</v>
      </c>
      <c r="C485" s="159"/>
      <c r="D485" s="159"/>
      <c r="E485" s="159"/>
      <c r="F485" s="159"/>
      <c r="G485" s="159"/>
      <c r="H485" s="159"/>
      <c r="I485" s="7">
        <f t="shared" si="55"/>
        <v>0</v>
      </c>
    </row>
    <row r="486" spans="1:9" ht="15.75" x14ac:dyDescent="0.25">
      <c r="A486" s="23">
        <v>544</v>
      </c>
      <c r="B486" s="6" t="str">
        <f>CADASTROS!$C$296</f>
        <v>Luzimar dos Santos Lima</v>
      </c>
      <c r="C486" s="159"/>
      <c r="D486" s="159"/>
      <c r="E486" s="159"/>
      <c r="F486" s="159"/>
      <c r="G486" s="159"/>
      <c r="H486" s="159"/>
      <c r="I486" s="7">
        <f t="shared" si="55"/>
        <v>0</v>
      </c>
    </row>
    <row r="487" spans="1:9" ht="15.75" x14ac:dyDescent="0.25">
      <c r="A487" s="23">
        <v>545</v>
      </c>
      <c r="B487" s="6" t="str">
        <f>CADASTROS!$C$297</f>
        <v>Girlane Fernandes dos Santos</v>
      </c>
      <c r="C487" s="159"/>
      <c r="D487" s="159"/>
      <c r="E487" s="159"/>
      <c r="F487" s="159"/>
      <c r="G487" s="159"/>
      <c r="H487" s="159"/>
      <c r="I487" s="7">
        <f t="shared" si="55"/>
        <v>0</v>
      </c>
    </row>
    <row r="488" spans="1:9" ht="15.75" x14ac:dyDescent="0.25">
      <c r="A488" s="23">
        <v>546</v>
      </c>
      <c r="B488" s="6" t="str">
        <f>CADASTROS!$C$298</f>
        <v>Lusivete Soares Passos</v>
      </c>
      <c r="C488" s="159"/>
      <c r="D488" s="159"/>
      <c r="E488" s="159"/>
      <c r="F488" s="159"/>
      <c r="G488" s="159"/>
      <c r="H488" s="159"/>
      <c r="I488" s="7">
        <f t="shared" si="55"/>
        <v>0</v>
      </c>
    </row>
    <row r="489" spans="1:9" ht="15.75" x14ac:dyDescent="0.25">
      <c r="A489" s="23">
        <v>547</v>
      </c>
      <c r="B489" s="6" t="str">
        <f>CADASTROS!$C$299</f>
        <v>Luciana Lopes de Jesus</v>
      </c>
      <c r="C489" s="159"/>
      <c r="D489" s="159"/>
      <c r="E489" s="159"/>
      <c r="F489" s="159"/>
      <c r="G489" s="159"/>
      <c r="H489" s="159"/>
      <c r="I489" s="7">
        <f t="shared" si="55"/>
        <v>0</v>
      </c>
    </row>
    <row r="490" spans="1:9" ht="15.75" x14ac:dyDescent="0.25">
      <c r="A490" s="23">
        <v>548</v>
      </c>
      <c r="B490" s="6" t="str">
        <f>CADASTROS!$C$300</f>
        <v>Antoniel Oliveira Barreto</v>
      </c>
      <c r="C490" s="159"/>
      <c r="D490" s="159"/>
      <c r="E490" s="159"/>
      <c r="F490" s="159"/>
      <c r="G490" s="159"/>
      <c r="H490" s="159"/>
      <c r="I490" s="7">
        <f t="shared" si="55"/>
        <v>0</v>
      </c>
    </row>
    <row r="491" spans="1:9" ht="15.75" x14ac:dyDescent="0.25">
      <c r="A491" s="23">
        <v>549</v>
      </c>
      <c r="B491" s="6" t="str">
        <f>CADASTROS!$C$301</f>
        <v>Ailton Sateles Barreto</v>
      </c>
      <c r="C491" s="159"/>
      <c r="D491" s="159"/>
      <c r="E491" s="159"/>
      <c r="F491" s="159"/>
      <c r="G491" s="159"/>
      <c r="H491" s="159"/>
      <c r="I491" s="7">
        <f t="shared" si="55"/>
        <v>0</v>
      </c>
    </row>
    <row r="492" spans="1:9" ht="15.75" x14ac:dyDescent="0.25">
      <c r="A492" s="23">
        <v>550</v>
      </c>
      <c r="B492" s="6" t="str">
        <f>CADASTROS!$C$302</f>
        <v>Edilson Souza Lima</v>
      </c>
      <c r="C492" s="159"/>
      <c r="D492" s="159"/>
      <c r="E492" s="159"/>
      <c r="F492" s="159"/>
      <c r="G492" s="159"/>
      <c r="H492" s="159"/>
      <c r="I492" s="7">
        <f t="shared" si="55"/>
        <v>0</v>
      </c>
    </row>
    <row r="493" spans="1:9" ht="15.75" x14ac:dyDescent="0.25">
      <c r="A493" s="23">
        <v>551</v>
      </c>
      <c r="B493" s="6" t="str">
        <f>CADASTROS!$C$303</f>
        <v>Simone Ferreira Silva</v>
      </c>
      <c r="C493" s="159"/>
      <c r="D493" s="159"/>
      <c r="E493" s="159"/>
      <c r="F493" s="159"/>
      <c r="G493" s="159"/>
      <c r="H493" s="159"/>
      <c r="I493" s="7">
        <f t="shared" si="55"/>
        <v>0</v>
      </c>
    </row>
    <row r="494" spans="1:9" ht="15.75" x14ac:dyDescent="0.25">
      <c r="A494" s="23">
        <v>552</v>
      </c>
      <c r="B494" s="6" t="str">
        <f>CADASTROS!$C$304</f>
        <v>Reini Rosa A. Souza</v>
      </c>
      <c r="C494" s="159"/>
      <c r="D494" s="159"/>
      <c r="E494" s="159"/>
      <c r="F494" s="159"/>
      <c r="G494" s="159"/>
      <c r="H494" s="159"/>
      <c r="I494" s="7">
        <f t="shared" si="55"/>
        <v>0</v>
      </c>
    </row>
    <row r="495" spans="1:9" ht="15.75" x14ac:dyDescent="0.25">
      <c r="A495" s="23">
        <v>553</v>
      </c>
      <c r="B495" s="6" t="str">
        <f>CADASTROS!$C$305</f>
        <v>Tais Pinheiro Dourado</v>
      </c>
      <c r="C495" s="159"/>
      <c r="D495" s="159"/>
      <c r="E495" s="159"/>
      <c r="F495" s="159"/>
      <c r="G495" s="159"/>
      <c r="H495" s="159"/>
      <c r="I495" s="7">
        <f t="shared" si="55"/>
        <v>0</v>
      </c>
    </row>
    <row r="496" spans="1:9" ht="15.75" x14ac:dyDescent="0.25">
      <c r="A496" s="23">
        <v>554</v>
      </c>
      <c r="B496" s="6" t="str">
        <f>CADASTROS!$C$306</f>
        <v>Maria de Lourdes Pereira</v>
      </c>
      <c r="C496" s="159"/>
      <c r="D496" s="159"/>
      <c r="E496" s="159"/>
      <c r="F496" s="159"/>
      <c r="G496" s="159"/>
      <c r="H496" s="159"/>
      <c r="I496" s="7">
        <f t="shared" si="55"/>
        <v>0</v>
      </c>
    </row>
    <row r="497" spans="1:9" ht="15.75" x14ac:dyDescent="0.25">
      <c r="A497" s="23">
        <v>555</v>
      </c>
      <c r="B497" s="6" t="str">
        <f>CADASTROS!$C$307</f>
        <v>Laiane Sampaio Santos</v>
      </c>
      <c r="C497" s="159"/>
      <c r="D497" s="159"/>
      <c r="E497" s="159"/>
      <c r="F497" s="159"/>
      <c r="G497" s="159"/>
      <c r="H497" s="159"/>
      <c r="I497" s="7">
        <f t="shared" si="55"/>
        <v>0</v>
      </c>
    </row>
    <row r="498" spans="1:9" ht="15.75" x14ac:dyDescent="0.25">
      <c r="A498" s="23">
        <v>556</v>
      </c>
      <c r="B498" s="6" t="str">
        <f>CADASTROS!$C$308</f>
        <v>Rosileide Andrade Araújo</v>
      </c>
      <c r="C498" s="159"/>
      <c r="D498" s="159"/>
      <c r="E498" s="159"/>
      <c r="F498" s="159"/>
      <c r="G498" s="159"/>
      <c r="H498" s="159"/>
      <c r="I498" s="7">
        <f t="shared" si="55"/>
        <v>0</v>
      </c>
    </row>
    <row r="499" spans="1:9" ht="15.75" x14ac:dyDescent="0.25">
      <c r="A499" s="23">
        <v>557</v>
      </c>
      <c r="B499" s="6" t="str">
        <f>CADASTROS!$C$309</f>
        <v>Lusinete Oliveira de Sousa</v>
      </c>
      <c r="C499" s="159"/>
      <c r="D499" s="159"/>
      <c r="E499" s="159"/>
      <c r="F499" s="159"/>
      <c r="G499" s="159"/>
      <c r="H499" s="159"/>
      <c r="I499" s="7">
        <f t="shared" si="55"/>
        <v>0</v>
      </c>
    </row>
    <row r="500" spans="1:9" ht="15.75" x14ac:dyDescent="0.25">
      <c r="A500" s="23">
        <v>558</v>
      </c>
      <c r="B500" s="6" t="str">
        <f>CADASTROS!$C$310</f>
        <v>Mª Aparecida Brandão de Oliveira</v>
      </c>
      <c r="C500" s="159"/>
      <c r="D500" s="159"/>
      <c r="E500" s="159"/>
      <c r="F500" s="159"/>
      <c r="G500" s="159"/>
      <c r="H500" s="159"/>
      <c r="I500" s="7">
        <f t="shared" si="55"/>
        <v>0</v>
      </c>
    </row>
    <row r="501" spans="1:9" ht="15.75" x14ac:dyDescent="0.25">
      <c r="A501" s="23">
        <v>559</v>
      </c>
      <c r="B501" s="6" t="str">
        <f>CADASTROS!$C$311</f>
        <v>Juliano Renato F. Soares</v>
      </c>
      <c r="C501" s="159"/>
      <c r="D501" s="159"/>
      <c r="E501" s="159"/>
      <c r="F501" s="159"/>
      <c r="G501" s="159"/>
      <c r="H501" s="159"/>
      <c r="I501" s="7">
        <f t="shared" si="55"/>
        <v>0</v>
      </c>
    </row>
    <row r="502" spans="1:9" ht="15.75" x14ac:dyDescent="0.25">
      <c r="A502" s="23">
        <v>560</v>
      </c>
      <c r="B502" s="6" t="str">
        <f>CADASTROS!$C$312</f>
        <v>Alex Souza Campos</v>
      </c>
      <c r="C502" s="159"/>
      <c r="D502" s="159"/>
      <c r="E502" s="159"/>
      <c r="F502" s="159"/>
      <c r="G502" s="159"/>
      <c r="H502" s="159"/>
      <c r="I502" s="7">
        <f t="shared" si="55"/>
        <v>0</v>
      </c>
    </row>
    <row r="503" spans="1:9" ht="15.75" x14ac:dyDescent="0.25">
      <c r="A503" s="23">
        <v>561</v>
      </c>
      <c r="B503" s="6" t="str">
        <f>CADASTROS!$C$313</f>
        <v>Zeilda Alves Souza Filha</v>
      </c>
      <c r="C503" s="159"/>
      <c r="D503" s="159"/>
      <c r="E503" s="159"/>
      <c r="F503" s="159"/>
      <c r="G503" s="159"/>
      <c r="H503" s="159"/>
      <c r="I503" s="7">
        <f t="shared" si="55"/>
        <v>0</v>
      </c>
    </row>
    <row r="504" spans="1:9" ht="15.75" x14ac:dyDescent="0.25">
      <c r="A504" s="23">
        <v>562</v>
      </c>
      <c r="B504" s="6" t="str">
        <f>CADASTROS!$C$314</f>
        <v>Anatilde Saturniz de Souza</v>
      </c>
      <c r="C504" s="159"/>
      <c r="D504" s="159"/>
      <c r="E504" s="159"/>
      <c r="F504" s="159"/>
      <c r="G504" s="159"/>
      <c r="H504" s="159"/>
      <c r="I504" s="7">
        <f t="shared" si="55"/>
        <v>0</v>
      </c>
    </row>
    <row r="505" spans="1:9" ht="15.75" x14ac:dyDescent="0.25">
      <c r="A505" s="23">
        <v>563</v>
      </c>
      <c r="B505" s="6" t="str">
        <f>CADASTROS!$C$315</f>
        <v>Manoel de Souza Moraes</v>
      </c>
      <c r="C505" s="159"/>
      <c r="D505" s="159"/>
      <c r="E505" s="159"/>
      <c r="F505" s="159"/>
      <c r="G505" s="159"/>
      <c r="H505" s="159"/>
      <c r="I505" s="7">
        <f t="shared" si="55"/>
        <v>0</v>
      </c>
    </row>
    <row r="506" spans="1:9" ht="15.75" x14ac:dyDescent="0.25">
      <c r="A506" s="23">
        <v>564</v>
      </c>
      <c r="B506" s="6" t="str">
        <f>CADASTROS!$C$316</f>
        <v>Sueli Santana Santos</v>
      </c>
      <c r="C506" s="159"/>
      <c r="D506" s="159"/>
      <c r="E506" s="159"/>
      <c r="F506" s="159"/>
      <c r="G506" s="159"/>
      <c r="H506" s="159"/>
      <c r="I506" s="7">
        <f t="shared" si="55"/>
        <v>0</v>
      </c>
    </row>
    <row r="507" spans="1:9" ht="15.75" x14ac:dyDescent="0.25">
      <c r="B507" s="159" t="s">
        <v>4829</v>
      </c>
      <c r="C507" s="159">
        <f>SUM(C480:C506)</f>
        <v>0</v>
      </c>
      <c r="D507" s="159">
        <f t="shared" ref="D507:H507" si="56">SUM(D480:D506)</f>
        <v>0</v>
      </c>
      <c r="E507" s="159">
        <f t="shared" si="56"/>
        <v>0</v>
      </c>
      <c r="F507" s="159">
        <f t="shared" si="56"/>
        <v>0</v>
      </c>
      <c r="G507" s="159">
        <f t="shared" si="56"/>
        <v>0</v>
      </c>
      <c r="H507" s="159">
        <f t="shared" si="56"/>
        <v>0</v>
      </c>
      <c r="I507" s="7">
        <f t="shared" si="55"/>
        <v>0</v>
      </c>
    </row>
    <row r="509" spans="1:9" ht="15.75" x14ac:dyDescent="0.25">
      <c r="B509" s="8" t="s">
        <v>4830</v>
      </c>
      <c r="C509" s="159"/>
      <c r="D509" s="159"/>
      <c r="E509" s="159"/>
      <c r="F509" s="159"/>
      <c r="G509" s="159"/>
      <c r="H509" s="159"/>
      <c r="I509" s="159">
        <f>SUM(C509:H509)</f>
        <v>0</v>
      </c>
    </row>
    <row r="510" spans="1:9" x14ac:dyDescent="0.25">
      <c r="B510" s="167"/>
    </row>
    <row r="511" spans="1:9" ht="15.75" x14ac:dyDescent="0.25">
      <c r="B511" s="8" t="s">
        <v>4831</v>
      </c>
      <c r="C511" s="9" t="e">
        <f>C507/C509</f>
        <v>#DIV/0!</v>
      </c>
      <c r="D511" s="9" t="e">
        <f t="shared" ref="D511:H511" si="57">D507/D509</f>
        <v>#DIV/0!</v>
      </c>
      <c r="E511" s="9" t="e">
        <f t="shared" si="57"/>
        <v>#DIV/0!</v>
      </c>
      <c r="F511" s="9" t="e">
        <f t="shared" si="57"/>
        <v>#DIV/0!</v>
      </c>
      <c r="G511" s="9" t="e">
        <f t="shared" si="57"/>
        <v>#DIV/0!</v>
      </c>
      <c r="H511" s="9" t="e">
        <f t="shared" si="57"/>
        <v>#DIV/0!</v>
      </c>
      <c r="I511" s="9"/>
    </row>
    <row r="512" spans="1:9" ht="15.75" x14ac:dyDescent="0.25">
      <c r="B512" s="163"/>
      <c r="C512" s="10"/>
      <c r="D512" s="10"/>
      <c r="E512" s="10"/>
      <c r="F512" s="10"/>
      <c r="G512" s="10"/>
      <c r="H512" s="163"/>
      <c r="I512" s="163"/>
    </row>
    <row r="513" spans="1:9" ht="15.75" x14ac:dyDescent="0.25">
      <c r="B513" s="8" t="s">
        <v>4832</v>
      </c>
      <c r="C513" s="159"/>
      <c r="D513" s="159"/>
      <c r="E513" s="6"/>
      <c r="F513" s="6"/>
      <c r="G513" s="6"/>
      <c r="H513" s="6"/>
      <c r="I513" s="11"/>
    </row>
    <row r="517" spans="1:9" ht="21" x14ac:dyDescent="0.35">
      <c r="B517" s="184" t="s">
        <v>4816</v>
      </c>
      <c r="C517" s="185"/>
      <c r="D517" s="185"/>
      <c r="E517" s="185"/>
      <c r="F517" s="185"/>
      <c r="G517" s="185"/>
      <c r="H517" s="185"/>
      <c r="I517" s="186"/>
    </row>
    <row r="518" spans="1:9" x14ac:dyDescent="0.25">
      <c r="I518" s="3"/>
    </row>
    <row r="519" spans="1:9" ht="21" x14ac:dyDescent="0.35">
      <c r="B519" s="192" t="s">
        <v>4817</v>
      </c>
      <c r="C519" s="193"/>
      <c r="D519" s="193"/>
      <c r="E519" s="193"/>
      <c r="F519" s="193"/>
      <c r="G519" s="193"/>
      <c r="H519" s="193"/>
      <c r="I519" s="194"/>
    </row>
    <row r="521" spans="1:9" ht="36.75" customHeight="1" x14ac:dyDescent="0.25">
      <c r="B521" s="187" t="s">
        <v>4837</v>
      </c>
      <c r="C521" s="195"/>
      <c r="D521" s="195"/>
      <c r="E521" s="195"/>
      <c r="F521" s="195"/>
      <c r="G521" s="195"/>
      <c r="H521" s="195"/>
      <c r="I521" s="196"/>
    </row>
    <row r="522" spans="1:9" ht="33" customHeight="1" x14ac:dyDescent="0.25">
      <c r="A522" s="182" t="s">
        <v>4819</v>
      </c>
      <c r="B522" s="182" t="s">
        <v>4820</v>
      </c>
      <c r="C522" s="4" t="s">
        <v>4821</v>
      </c>
      <c r="D522" s="4" t="s">
        <v>4822</v>
      </c>
      <c r="E522" s="88" t="s">
        <v>4823</v>
      </c>
      <c r="F522" s="88" t="s">
        <v>4824</v>
      </c>
      <c r="G522" s="88" t="s">
        <v>4825</v>
      </c>
      <c r="H522" s="4" t="s">
        <v>4826</v>
      </c>
      <c r="I522" s="198" t="s">
        <v>4827</v>
      </c>
    </row>
    <row r="523" spans="1:9" ht="36.75" customHeight="1" x14ac:dyDescent="0.25">
      <c r="A523" s="197"/>
      <c r="B523" s="183"/>
      <c r="C523" s="13" t="s">
        <v>4828</v>
      </c>
      <c r="D523" s="13" t="s">
        <v>4828</v>
      </c>
      <c r="E523" s="13" t="s">
        <v>4828</v>
      </c>
      <c r="F523" s="13" t="s">
        <v>4828</v>
      </c>
      <c r="G523" s="13" t="s">
        <v>4828</v>
      </c>
      <c r="H523" s="13" t="s">
        <v>4828</v>
      </c>
      <c r="I523" s="198"/>
    </row>
    <row r="524" spans="1:9" ht="15.75" x14ac:dyDescent="0.25">
      <c r="A524" s="27">
        <v>565</v>
      </c>
      <c r="B524" s="6" t="str">
        <f>CADASTROS!$C$317</f>
        <v>Mª de Lurdes dos  R. de Oliveira</v>
      </c>
      <c r="C524" s="159"/>
      <c r="D524" s="159"/>
      <c r="E524" s="159"/>
      <c r="F524" s="159"/>
      <c r="G524" s="159"/>
      <c r="H524" s="159"/>
      <c r="I524" s="7">
        <f>SUM(C524+D524+E524+F524+G524+H524)</f>
        <v>0</v>
      </c>
    </row>
    <row r="525" spans="1:9" ht="15.75" x14ac:dyDescent="0.25">
      <c r="A525" s="23">
        <v>566</v>
      </c>
      <c r="B525" s="6" t="str">
        <f>CADASTROS!$C$318</f>
        <v>Selma Oliveira Farias</v>
      </c>
      <c r="C525" s="159"/>
      <c r="D525" s="159"/>
      <c r="E525" s="159"/>
      <c r="F525" s="159"/>
      <c r="G525" s="159"/>
      <c r="H525" s="159"/>
      <c r="I525" s="7">
        <f t="shared" ref="I525:I551" si="58">SUM(C525+D525+E525+F525+G525+H525)</f>
        <v>0</v>
      </c>
    </row>
    <row r="526" spans="1:9" ht="15.75" x14ac:dyDescent="0.25">
      <c r="A526" s="23">
        <v>567</v>
      </c>
      <c r="B526" s="6" t="str">
        <f>CADASTROS!$C$319</f>
        <v>Lusmar Ribeiro dos Santos</v>
      </c>
      <c r="C526" s="159"/>
      <c r="D526" s="159"/>
      <c r="E526" s="159"/>
      <c r="F526" s="159"/>
      <c r="G526" s="159"/>
      <c r="H526" s="159"/>
      <c r="I526" s="7">
        <f t="shared" si="58"/>
        <v>0</v>
      </c>
    </row>
    <row r="527" spans="1:9" ht="15.75" x14ac:dyDescent="0.25">
      <c r="A527" s="23">
        <v>568</v>
      </c>
      <c r="B527" s="6" t="str">
        <f>CADASTROS!$C$320</f>
        <v>Simone Miranda de Souza</v>
      </c>
      <c r="C527" s="159"/>
      <c r="D527" s="159"/>
      <c r="E527" s="159"/>
      <c r="F527" s="159"/>
      <c r="G527" s="159"/>
      <c r="H527" s="159"/>
      <c r="I527" s="7">
        <f t="shared" si="58"/>
        <v>0</v>
      </c>
    </row>
    <row r="528" spans="1:9" ht="15.75" x14ac:dyDescent="0.25">
      <c r="A528" s="23">
        <v>569</v>
      </c>
      <c r="B528" s="6" t="str">
        <f>CADASTROS!$C$321</f>
        <v>José Ferreira Alves</v>
      </c>
      <c r="C528" s="159"/>
      <c r="D528" s="159"/>
      <c r="E528" s="159"/>
      <c r="F528" s="159"/>
      <c r="G528" s="159"/>
      <c r="H528" s="159"/>
      <c r="I528" s="7">
        <f t="shared" si="58"/>
        <v>0</v>
      </c>
    </row>
    <row r="529" spans="1:9" ht="15.75" x14ac:dyDescent="0.25">
      <c r="A529" s="23">
        <v>570</v>
      </c>
      <c r="B529" s="6" t="str">
        <f>CADASTROS!$C$322</f>
        <v>Daniel Santos Ferreira</v>
      </c>
      <c r="C529" s="159"/>
      <c r="D529" s="159"/>
      <c r="E529" s="159"/>
      <c r="F529" s="159"/>
      <c r="G529" s="159"/>
      <c r="H529" s="159"/>
      <c r="I529" s="7">
        <f t="shared" si="58"/>
        <v>0</v>
      </c>
    </row>
    <row r="530" spans="1:9" ht="15.75" x14ac:dyDescent="0.25">
      <c r="A530" s="23">
        <v>571</v>
      </c>
      <c r="B530" s="6" t="str">
        <f>CADASTROS!$C$323</f>
        <v>Valéria Martins Santos</v>
      </c>
      <c r="C530" s="159"/>
      <c r="D530" s="159"/>
      <c r="E530" s="159"/>
      <c r="F530" s="159"/>
      <c r="G530" s="159"/>
      <c r="H530" s="159"/>
      <c r="I530" s="7">
        <f t="shared" si="58"/>
        <v>0</v>
      </c>
    </row>
    <row r="531" spans="1:9" ht="15.75" x14ac:dyDescent="0.25">
      <c r="A531" s="23">
        <v>572</v>
      </c>
      <c r="B531" s="6" t="str">
        <f>CADASTROS!$C$324</f>
        <v>Geová dos Santos</v>
      </c>
      <c r="C531" s="159"/>
      <c r="D531" s="159"/>
      <c r="E531" s="159"/>
      <c r="F531" s="159"/>
      <c r="G531" s="159"/>
      <c r="H531" s="159"/>
      <c r="I531" s="7">
        <f t="shared" si="58"/>
        <v>0</v>
      </c>
    </row>
    <row r="532" spans="1:9" ht="15.75" x14ac:dyDescent="0.25">
      <c r="A532" s="23">
        <v>573</v>
      </c>
      <c r="B532" s="6" t="str">
        <f>CADASTROS!$C$325</f>
        <v>Manoel Domingos S. Jesus</v>
      </c>
      <c r="C532" s="159"/>
      <c r="D532" s="159"/>
      <c r="E532" s="159"/>
      <c r="F532" s="159"/>
      <c r="G532" s="159"/>
      <c r="H532" s="159"/>
      <c r="I532" s="7">
        <f t="shared" si="58"/>
        <v>0</v>
      </c>
    </row>
    <row r="533" spans="1:9" ht="15.75" x14ac:dyDescent="0.25">
      <c r="A533" s="23">
        <v>574</v>
      </c>
      <c r="B533" s="6" t="str">
        <f>CADASTROS!$C$326</f>
        <v>Leandro José dos Santos</v>
      </c>
      <c r="C533" s="159"/>
      <c r="D533" s="159"/>
      <c r="E533" s="159"/>
      <c r="F533" s="159"/>
      <c r="G533" s="159"/>
      <c r="H533" s="159"/>
      <c r="I533" s="7">
        <f t="shared" si="58"/>
        <v>0</v>
      </c>
    </row>
    <row r="534" spans="1:9" ht="15.75" x14ac:dyDescent="0.25">
      <c r="A534" s="23">
        <v>575</v>
      </c>
      <c r="B534" s="6" t="str">
        <f>CADASTROS!$C$327</f>
        <v>Edivânia Pereira dos Santos</v>
      </c>
      <c r="C534" s="159"/>
      <c r="D534" s="159"/>
      <c r="E534" s="159"/>
      <c r="F534" s="159"/>
      <c r="G534" s="159"/>
      <c r="H534" s="159"/>
      <c r="I534" s="7">
        <f t="shared" si="58"/>
        <v>0</v>
      </c>
    </row>
    <row r="535" spans="1:9" ht="15.75" x14ac:dyDescent="0.25">
      <c r="A535" s="23">
        <v>576</v>
      </c>
      <c r="B535" s="6" t="str">
        <f>CADASTROS!$C$328</f>
        <v>Rita de Cássia Lima de Sousa</v>
      </c>
      <c r="C535" s="159"/>
      <c r="D535" s="159"/>
      <c r="E535" s="159"/>
      <c r="F535" s="159"/>
      <c r="G535" s="159"/>
      <c r="H535" s="159"/>
      <c r="I535" s="7">
        <f t="shared" si="58"/>
        <v>0</v>
      </c>
    </row>
    <row r="536" spans="1:9" ht="15.75" x14ac:dyDescent="0.25">
      <c r="A536" s="23">
        <v>577</v>
      </c>
      <c r="B536" s="6" t="str">
        <f>CADASTROS!$C$329</f>
        <v>Eliana Souza da Cruz</v>
      </c>
      <c r="C536" s="159"/>
      <c r="D536" s="159"/>
      <c r="E536" s="159"/>
      <c r="F536" s="159"/>
      <c r="G536" s="159"/>
      <c r="H536" s="159"/>
      <c r="I536" s="7">
        <f t="shared" si="58"/>
        <v>0</v>
      </c>
    </row>
    <row r="537" spans="1:9" ht="15.75" x14ac:dyDescent="0.25">
      <c r="A537" s="23">
        <v>578</v>
      </c>
      <c r="B537" s="6" t="str">
        <f>CADASTROS!$C$330</f>
        <v>Antônia de Jesus Carvalho</v>
      </c>
      <c r="C537" s="159"/>
      <c r="D537" s="159"/>
      <c r="E537" s="159"/>
      <c r="F537" s="159"/>
      <c r="G537" s="159"/>
      <c r="H537" s="159"/>
      <c r="I537" s="7">
        <f t="shared" si="58"/>
        <v>0</v>
      </c>
    </row>
    <row r="538" spans="1:9" ht="15.75" x14ac:dyDescent="0.25">
      <c r="A538" s="23">
        <v>579</v>
      </c>
      <c r="B538" s="6" t="str">
        <f>CADASTROS!$C$331</f>
        <v>Arlinda Santana Guimarães</v>
      </c>
      <c r="C538" s="159"/>
      <c r="D538" s="159"/>
      <c r="E538" s="159"/>
      <c r="F538" s="159"/>
      <c r="G538" s="159"/>
      <c r="H538" s="159"/>
      <c r="I538" s="7">
        <f t="shared" si="58"/>
        <v>0</v>
      </c>
    </row>
    <row r="539" spans="1:9" ht="15.75" x14ac:dyDescent="0.25">
      <c r="A539" s="23">
        <v>580</v>
      </c>
      <c r="B539" s="6" t="str">
        <f>CADASTROS!$C$332</f>
        <v>Leila Sena Boaventura</v>
      </c>
      <c r="C539" s="159"/>
      <c r="D539" s="159"/>
      <c r="E539" s="159"/>
      <c r="F539" s="159"/>
      <c r="G539" s="159"/>
      <c r="H539" s="159"/>
      <c r="I539" s="7">
        <f t="shared" si="58"/>
        <v>0</v>
      </c>
    </row>
    <row r="540" spans="1:9" ht="15.75" x14ac:dyDescent="0.25">
      <c r="A540" s="23">
        <v>581</v>
      </c>
      <c r="B540" s="6" t="str">
        <f>CADASTROS!$C$333</f>
        <v>Ediney Xavier Alves</v>
      </c>
      <c r="C540" s="159"/>
      <c r="D540" s="159"/>
      <c r="E540" s="159"/>
      <c r="F540" s="159"/>
      <c r="G540" s="159"/>
      <c r="H540" s="159"/>
      <c r="I540" s="7">
        <f t="shared" si="58"/>
        <v>0</v>
      </c>
    </row>
    <row r="541" spans="1:9" ht="15.75" x14ac:dyDescent="0.25">
      <c r="A541" s="23">
        <v>582</v>
      </c>
      <c r="B541" s="6" t="str">
        <f>CADASTROS!$C$334</f>
        <v>Antônio Eudes A Silva</v>
      </c>
      <c r="C541" s="159"/>
      <c r="D541" s="159"/>
      <c r="E541" s="159"/>
      <c r="F541" s="159"/>
      <c r="G541" s="159"/>
      <c r="H541" s="159"/>
      <c r="I541" s="7">
        <f t="shared" si="58"/>
        <v>0</v>
      </c>
    </row>
    <row r="542" spans="1:9" ht="15.75" x14ac:dyDescent="0.25">
      <c r="A542" s="23">
        <v>583</v>
      </c>
      <c r="B542" s="6" t="str">
        <f>CADASTROS!$C$335</f>
        <v>Leonice Silva Santos</v>
      </c>
      <c r="C542" s="159"/>
      <c r="D542" s="159"/>
      <c r="E542" s="159"/>
      <c r="F542" s="159"/>
      <c r="G542" s="159"/>
      <c r="H542" s="159"/>
      <c r="I542" s="7">
        <f t="shared" si="58"/>
        <v>0</v>
      </c>
    </row>
    <row r="543" spans="1:9" ht="15.75" x14ac:dyDescent="0.25">
      <c r="A543" s="23">
        <v>584</v>
      </c>
      <c r="B543" s="6" t="str">
        <f>CADASTROS!$C$336</f>
        <v>Marenilde Soares Silva</v>
      </c>
      <c r="C543" s="159"/>
      <c r="D543" s="159"/>
      <c r="E543" s="159"/>
      <c r="F543" s="159"/>
      <c r="G543" s="159"/>
      <c r="H543" s="159"/>
      <c r="I543" s="7">
        <f t="shared" si="58"/>
        <v>0</v>
      </c>
    </row>
    <row r="544" spans="1:9" ht="15.75" x14ac:dyDescent="0.25">
      <c r="A544" s="23">
        <v>585</v>
      </c>
      <c r="B544" s="6" t="str">
        <f>CADASTROS!$C$337</f>
        <v>Lucas Cruz Carvalho</v>
      </c>
      <c r="C544" s="159"/>
      <c r="D544" s="159"/>
      <c r="E544" s="159"/>
      <c r="F544" s="159"/>
      <c r="G544" s="159"/>
      <c r="H544" s="159"/>
      <c r="I544" s="7">
        <f t="shared" si="58"/>
        <v>0</v>
      </c>
    </row>
    <row r="545" spans="1:9" ht="15.75" x14ac:dyDescent="0.25">
      <c r="A545" s="23">
        <v>586</v>
      </c>
      <c r="B545" s="6" t="str">
        <f>CADASTROS!$C$338</f>
        <v>Lindacir M. J. da Silva</v>
      </c>
      <c r="C545" s="159"/>
      <c r="D545" s="159"/>
      <c r="E545" s="159"/>
      <c r="F545" s="159"/>
      <c r="G545" s="159"/>
      <c r="H545" s="159"/>
      <c r="I545" s="7">
        <f t="shared" si="58"/>
        <v>0</v>
      </c>
    </row>
    <row r="546" spans="1:9" ht="15.75" x14ac:dyDescent="0.25">
      <c r="A546" s="23">
        <v>587</v>
      </c>
      <c r="B546" s="6" t="str">
        <f>CADASTROS!$C$339</f>
        <v>Edineia M. dos Santos</v>
      </c>
      <c r="C546" s="159"/>
      <c r="D546" s="159"/>
      <c r="E546" s="159"/>
      <c r="F546" s="159"/>
      <c r="G546" s="159"/>
      <c r="H546" s="159"/>
      <c r="I546" s="7">
        <f t="shared" si="58"/>
        <v>0</v>
      </c>
    </row>
    <row r="547" spans="1:9" ht="15.75" x14ac:dyDescent="0.25">
      <c r="A547" s="23">
        <v>588</v>
      </c>
      <c r="B547" s="6" t="str">
        <f>CADASTROS!$C$340</f>
        <v>Margarida Agda de Jesus</v>
      </c>
      <c r="C547" s="159"/>
      <c r="D547" s="159"/>
      <c r="E547" s="159"/>
      <c r="F547" s="159"/>
      <c r="G547" s="159"/>
      <c r="H547" s="159"/>
      <c r="I547" s="7">
        <f t="shared" si="58"/>
        <v>0</v>
      </c>
    </row>
    <row r="548" spans="1:9" ht="15.75" x14ac:dyDescent="0.25">
      <c r="A548" s="23">
        <v>589</v>
      </c>
      <c r="B548" s="6" t="str">
        <f>CADASTROS!$C$341</f>
        <v>Alcinei Jesus da Silva</v>
      </c>
      <c r="C548" s="159"/>
      <c r="D548" s="159"/>
      <c r="E548" s="159"/>
      <c r="F548" s="159"/>
      <c r="G548" s="159"/>
      <c r="H548" s="159"/>
      <c r="I548" s="7">
        <f t="shared" si="58"/>
        <v>0</v>
      </c>
    </row>
    <row r="549" spans="1:9" ht="15.75" x14ac:dyDescent="0.25">
      <c r="A549" s="23">
        <v>590</v>
      </c>
      <c r="B549" s="6" t="str">
        <f>CADASTROS!$C$342</f>
        <v>Orivaldo Bispo Gama</v>
      </c>
      <c r="C549" s="159"/>
      <c r="D549" s="159"/>
      <c r="E549" s="159"/>
      <c r="F549" s="159"/>
      <c r="G549" s="159"/>
      <c r="H549" s="159"/>
      <c r="I549" s="7">
        <f t="shared" si="58"/>
        <v>0</v>
      </c>
    </row>
    <row r="550" spans="1:9" ht="15.75" x14ac:dyDescent="0.25">
      <c r="A550" s="23">
        <v>591</v>
      </c>
      <c r="B550" s="6" t="str">
        <f>CADASTROS!$C$343</f>
        <v>Valdenice Santana de Gois</v>
      </c>
      <c r="C550" s="159"/>
      <c r="D550" s="159"/>
      <c r="E550" s="159"/>
      <c r="F550" s="159"/>
      <c r="G550" s="159"/>
      <c r="H550" s="159"/>
      <c r="I550" s="7">
        <f t="shared" si="58"/>
        <v>0</v>
      </c>
    </row>
    <row r="551" spans="1:9" ht="15.75" x14ac:dyDescent="0.25">
      <c r="B551" s="159" t="s">
        <v>4829</v>
      </c>
      <c r="C551" s="159">
        <f t="shared" ref="C551:G551" si="59">SUM(C524:C550)</f>
        <v>0</v>
      </c>
      <c r="D551" s="159">
        <f t="shared" si="59"/>
        <v>0</v>
      </c>
      <c r="E551" s="159">
        <f t="shared" si="59"/>
        <v>0</v>
      </c>
      <c r="F551" s="159">
        <f t="shared" si="59"/>
        <v>0</v>
      </c>
      <c r="G551" s="159">
        <f t="shared" si="59"/>
        <v>0</v>
      </c>
      <c r="H551" s="159">
        <f t="shared" ref="H551" si="60">SUM(H524:H550)</f>
        <v>0</v>
      </c>
      <c r="I551" s="7">
        <f t="shared" si="58"/>
        <v>0</v>
      </c>
    </row>
    <row r="553" spans="1:9" ht="15.75" x14ac:dyDescent="0.25">
      <c r="B553" s="8" t="s">
        <v>4830</v>
      </c>
      <c r="C553" s="159"/>
      <c r="D553" s="159"/>
      <c r="E553" s="159"/>
      <c r="F553" s="159"/>
      <c r="G553" s="159"/>
      <c r="H553" s="159"/>
      <c r="I553" s="159">
        <f>SUM(C553:H553)</f>
        <v>0</v>
      </c>
    </row>
    <row r="554" spans="1:9" x14ac:dyDescent="0.25">
      <c r="B554" s="167"/>
    </row>
    <row r="555" spans="1:9" ht="15.75" x14ac:dyDescent="0.25">
      <c r="B555" s="8" t="s">
        <v>4831</v>
      </c>
      <c r="C555" s="9" t="e">
        <f>C551/C553</f>
        <v>#DIV/0!</v>
      </c>
      <c r="D555" s="9" t="e">
        <f t="shared" ref="D555:H555" si="61">D551/D553</f>
        <v>#DIV/0!</v>
      </c>
      <c r="E555" s="9" t="e">
        <f t="shared" si="61"/>
        <v>#DIV/0!</v>
      </c>
      <c r="F555" s="9" t="e">
        <f t="shared" si="61"/>
        <v>#DIV/0!</v>
      </c>
      <c r="G555" s="9" t="e">
        <f t="shared" si="61"/>
        <v>#DIV/0!</v>
      </c>
      <c r="H555" s="9" t="e">
        <f t="shared" si="61"/>
        <v>#DIV/0!</v>
      </c>
      <c r="I555" s="9"/>
    </row>
    <row r="556" spans="1:9" ht="15.75" x14ac:dyDescent="0.25">
      <c r="B556" s="163"/>
      <c r="C556" s="10"/>
      <c r="D556" s="10"/>
      <c r="E556" s="10"/>
      <c r="F556" s="10"/>
      <c r="G556" s="10"/>
      <c r="H556" s="163"/>
      <c r="I556" s="163"/>
    </row>
    <row r="557" spans="1:9" ht="15.75" x14ac:dyDescent="0.25">
      <c r="B557" s="8" t="s">
        <v>4832</v>
      </c>
      <c r="C557" s="159"/>
      <c r="D557" s="159"/>
      <c r="E557" s="6"/>
      <c r="F557" s="6"/>
      <c r="G557" s="6"/>
      <c r="H557" s="6"/>
      <c r="I557" s="11"/>
    </row>
    <row r="560" spans="1:9" ht="21" x14ac:dyDescent="0.35">
      <c r="B560" s="184" t="s">
        <v>4816</v>
      </c>
      <c r="C560" s="185"/>
      <c r="D560" s="185"/>
      <c r="E560" s="185"/>
      <c r="F560" s="185"/>
      <c r="G560" s="185"/>
      <c r="H560" s="185"/>
      <c r="I560" s="186"/>
    </row>
    <row r="561" spans="1:9" x14ac:dyDescent="0.25">
      <c r="I561" s="3"/>
    </row>
    <row r="562" spans="1:9" ht="21" x14ac:dyDescent="0.35">
      <c r="B562" s="192" t="s">
        <v>4817</v>
      </c>
      <c r="C562" s="193"/>
      <c r="D562" s="193"/>
      <c r="E562" s="193"/>
      <c r="F562" s="193"/>
      <c r="G562" s="193"/>
      <c r="H562" s="193"/>
      <c r="I562" s="194"/>
    </row>
    <row r="564" spans="1:9" ht="36.75" customHeight="1" x14ac:dyDescent="0.25">
      <c r="B564" s="187" t="s">
        <v>4837</v>
      </c>
      <c r="C564" s="195"/>
      <c r="D564" s="195"/>
      <c r="E564" s="195"/>
      <c r="F564" s="195"/>
      <c r="G564" s="195"/>
      <c r="H564" s="195"/>
      <c r="I564" s="196"/>
    </row>
    <row r="565" spans="1:9" ht="47.25" x14ac:dyDescent="0.25">
      <c r="A565" s="182" t="s">
        <v>4819</v>
      </c>
      <c r="B565" s="182" t="s">
        <v>4820</v>
      </c>
      <c r="C565" s="4" t="s">
        <v>4821</v>
      </c>
      <c r="D565" s="4" t="s">
        <v>4822</v>
      </c>
      <c r="E565" s="88" t="s">
        <v>4823</v>
      </c>
      <c r="F565" s="88" t="s">
        <v>4824</v>
      </c>
      <c r="G565" s="88" t="s">
        <v>4825</v>
      </c>
      <c r="H565" s="4" t="s">
        <v>4826</v>
      </c>
      <c r="I565" s="198" t="s">
        <v>4827</v>
      </c>
    </row>
    <row r="566" spans="1:9" ht="25.5" x14ac:dyDescent="0.25">
      <c r="A566" s="197"/>
      <c r="B566" s="183"/>
      <c r="C566" s="13" t="s">
        <v>4828</v>
      </c>
      <c r="D566" s="13" t="s">
        <v>4828</v>
      </c>
      <c r="E566" s="13" t="s">
        <v>4828</v>
      </c>
      <c r="F566" s="13" t="s">
        <v>4828</v>
      </c>
      <c r="G566" s="13" t="s">
        <v>4828</v>
      </c>
      <c r="H566" s="13" t="s">
        <v>4828</v>
      </c>
      <c r="I566" s="198"/>
    </row>
    <row r="567" spans="1:9" ht="15.75" x14ac:dyDescent="0.25">
      <c r="A567" s="27">
        <v>592</v>
      </c>
      <c r="B567" s="6" t="str">
        <f>CADASTROS!$C$344</f>
        <v xml:space="preserve">Sergio Neto da Cruz </v>
      </c>
      <c r="C567" s="159"/>
      <c r="D567" s="159"/>
      <c r="E567" s="159"/>
      <c r="F567" s="159"/>
      <c r="G567" s="159"/>
      <c r="H567" s="159"/>
      <c r="I567" s="7">
        <f>SUM(C567+D567+E567+F567+G567+H567)</f>
        <v>0</v>
      </c>
    </row>
    <row r="568" spans="1:9" ht="15.75" x14ac:dyDescent="0.25">
      <c r="A568" s="23">
        <v>593</v>
      </c>
      <c r="B568" s="6" t="str">
        <f>CADASTROS!$C$345</f>
        <v>Alcione Jesus Silva</v>
      </c>
      <c r="C568" s="159"/>
      <c r="D568" s="159"/>
      <c r="E568" s="159"/>
      <c r="F568" s="159"/>
      <c r="G568" s="159"/>
      <c r="H568" s="159"/>
      <c r="I568" s="7">
        <f t="shared" ref="I568:I594" si="62">SUM(C568+D568+E568+F568+G568+H568)</f>
        <v>0</v>
      </c>
    </row>
    <row r="569" spans="1:9" ht="15.75" x14ac:dyDescent="0.25">
      <c r="A569" s="23">
        <v>594</v>
      </c>
      <c r="B569" s="6" t="str">
        <f>CADASTROS!$C$346</f>
        <v>Luana Marcos S. Silva</v>
      </c>
      <c r="C569" s="159"/>
      <c r="D569" s="159"/>
      <c r="E569" s="159"/>
      <c r="F569" s="159"/>
      <c r="G569" s="159"/>
      <c r="H569" s="159"/>
      <c r="I569" s="7">
        <f t="shared" si="62"/>
        <v>0</v>
      </c>
    </row>
    <row r="570" spans="1:9" ht="15.75" x14ac:dyDescent="0.25">
      <c r="A570" s="23">
        <v>595</v>
      </c>
      <c r="B570" s="6" t="str">
        <f>CADASTROS!$C$347</f>
        <v>Gislândia Silva de Oliveira</v>
      </c>
      <c r="C570" s="159"/>
      <c r="D570" s="159"/>
      <c r="E570" s="159"/>
      <c r="F570" s="159"/>
      <c r="G570" s="159"/>
      <c r="H570" s="159"/>
      <c r="I570" s="7">
        <f t="shared" si="62"/>
        <v>0</v>
      </c>
    </row>
    <row r="571" spans="1:9" ht="15.75" x14ac:dyDescent="0.25">
      <c r="A571" s="23">
        <v>596</v>
      </c>
      <c r="B571" s="6" t="str">
        <f>CADASTROS!$C$348</f>
        <v>Edvan S. de Jesus</v>
      </c>
      <c r="C571" s="159"/>
      <c r="D571" s="159"/>
      <c r="E571" s="159"/>
      <c r="F571" s="159"/>
      <c r="G571" s="159"/>
      <c r="H571" s="159"/>
      <c r="I571" s="7">
        <f t="shared" si="62"/>
        <v>0</v>
      </c>
    </row>
    <row r="572" spans="1:9" ht="15.75" x14ac:dyDescent="0.25">
      <c r="A572" s="23">
        <v>597</v>
      </c>
      <c r="B572" s="6" t="str">
        <f>CADASTROS!$C$349</f>
        <v>Valdineide Silva Araújo</v>
      </c>
      <c r="C572" s="159"/>
      <c r="D572" s="159"/>
      <c r="E572" s="159"/>
      <c r="F572" s="159"/>
      <c r="G572" s="159"/>
      <c r="H572" s="159"/>
      <c r="I572" s="7">
        <f t="shared" si="62"/>
        <v>0</v>
      </c>
    </row>
    <row r="573" spans="1:9" ht="15.75" x14ac:dyDescent="0.25">
      <c r="A573" s="23">
        <v>598</v>
      </c>
      <c r="B573" s="6" t="str">
        <f>CADASTROS!$C$350</f>
        <v>Maria de Fátima da Silva</v>
      </c>
      <c r="C573" s="159"/>
      <c r="D573" s="159">
        <v>30.5</v>
      </c>
      <c r="E573" s="159">
        <v>23.5</v>
      </c>
      <c r="F573" s="159"/>
      <c r="G573" s="159"/>
      <c r="H573" s="159"/>
      <c r="I573" s="7">
        <f t="shared" si="62"/>
        <v>54</v>
      </c>
    </row>
    <row r="574" spans="1:9" ht="15.75" x14ac:dyDescent="0.25">
      <c r="A574" s="23">
        <v>599</v>
      </c>
      <c r="B574" s="6" t="str">
        <f>CADASTROS!$C$351</f>
        <v>Lucineide da Silva Valeir</v>
      </c>
      <c r="C574" s="159"/>
      <c r="D574" s="159"/>
      <c r="E574" s="159"/>
      <c r="F574" s="159"/>
      <c r="G574" s="159"/>
      <c r="H574" s="159"/>
      <c r="I574" s="7">
        <f t="shared" si="62"/>
        <v>0</v>
      </c>
    </row>
    <row r="575" spans="1:9" ht="15.75" x14ac:dyDescent="0.25">
      <c r="A575" s="23">
        <v>600</v>
      </c>
      <c r="B575" s="6" t="str">
        <f>CADASTROS!$C$352</f>
        <v>Maciel S Macedo</v>
      </c>
      <c r="C575" s="159"/>
      <c r="D575" s="159"/>
      <c r="E575" s="159"/>
      <c r="F575" s="159"/>
      <c r="G575" s="159"/>
      <c r="H575" s="159"/>
      <c r="I575" s="7">
        <f t="shared" si="62"/>
        <v>0</v>
      </c>
    </row>
    <row r="576" spans="1:9" ht="15.75" x14ac:dyDescent="0.25">
      <c r="A576" s="23">
        <v>601</v>
      </c>
      <c r="B576" s="6" t="str">
        <f>CADASTROS!$C$353</f>
        <v>Maria Anunciação Pereira dos Santos</v>
      </c>
      <c r="C576" s="159"/>
      <c r="D576" s="159"/>
      <c r="E576" s="159"/>
      <c r="F576" s="159"/>
      <c r="G576" s="159"/>
      <c r="H576" s="159"/>
      <c r="I576" s="7">
        <f t="shared" si="62"/>
        <v>0</v>
      </c>
    </row>
    <row r="577" spans="1:9" ht="15.75" x14ac:dyDescent="0.25">
      <c r="A577" s="23">
        <v>602</v>
      </c>
      <c r="B577" s="6" t="str">
        <f>CADASTROS!$C$354</f>
        <v>Antônia dos Anjos Pereira</v>
      </c>
      <c r="C577" s="159"/>
      <c r="D577" s="159"/>
      <c r="E577" s="159"/>
      <c r="F577" s="159"/>
      <c r="G577" s="159"/>
      <c r="H577" s="159"/>
      <c r="I577" s="7">
        <f t="shared" si="62"/>
        <v>0</v>
      </c>
    </row>
    <row r="578" spans="1:9" ht="15.75" x14ac:dyDescent="0.25">
      <c r="A578" s="23">
        <v>603</v>
      </c>
      <c r="B578" s="6" t="str">
        <f>CADASTROS!$C$355</f>
        <v>Marlene Evangelista Nascimento</v>
      </c>
      <c r="C578" s="159"/>
      <c r="D578" s="159"/>
      <c r="E578" s="159"/>
      <c r="F578" s="159"/>
      <c r="G578" s="159"/>
      <c r="H578" s="159"/>
      <c r="I578" s="7">
        <f t="shared" si="62"/>
        <v>0</v>
      </c>
    </row>
    <row r="579" spans="1:9" ht="15.75" x14ac:dyDescent="0.25">
      <c r="A579" s="23">
        <v>604</v>
      </c>
      <c r="B579" s="6" t="str">
        <f>CADASTROS!$C$356</f>
        <v>Anacélia Alves</v>
      </c>
      <c r="C579" s="159"/>
      <c r="D579" s="159"/>
      <c r="E579" s="159"/>
      <c r="F579" s="159"/>
      <c r="G579" s="159"/>
      <c r="H579" s="159"/>
      <c r="I579" s="7">
        <f t="shared" si="62"/>
        <v>0</v>
      </c>
    </row>
    <row r="580" spans="1:9" ht="15.75" x14ac:dyDescent="0.25">
      <c r="A580" s="23">
        <v>605</v>
      </c>
      <c r="B580" s="6" t="str">
        <f>CADASTROS!$C$357</f>
        <v>Silane Alves Martins</v>
      </c>
      <c r="C580" s="159"/>
      <c r="D580" s="159"/>
      <c r="E580" s="159"/>
      <c r="F580" s="159"/>
      <c r="G580" s="159"/>
      <c r="H580" s="159"/>
      <c r="I580" s="7">
        <f t="shared" si="62"/>
        <v>0</v>
      </c>
    </row>
    <row r="581" spans="1:9" ht="15.75" x14ac:dyDescent="0.25">
      <c r="A581" s="23">
        <v>606</v>
      </c>
      <c r="B581" s="6" t="str">
        <f>CADASTROS!$C$358</f>
        <v>Lindinalva Rosa Santos</v>
      </c>
      <c r="C581" s="159"/>
      <c r="D581" s="159"/>
      <c r="E581" s="159"/>
      <c r="F581" s="159"/>
      <c r="G581" s="159"/>
      <c r="H581" s="159"/>
      <c r="I581" s="7">
        <f t="shared" si="62"/>
        <v>0</v>
      </c>
    </row>
    <row r="582" spans="1:9" ht="15.75" x14ac:dyDescent="0.25">
      <c r="A582" s="23">
        <v>607</v>
      </c>
      <c r="B582" s="6" t="str">
        <f>CADASTROS!$C$359</f>
        <v>Daniel Santana Carvalho</v>
      </c>
      <c r="C582" s="159"/>
      <c r="D582" s="159"/>
      <c r="E582" s="159"/>
      <c r="F582" s="159"/>
      <c r="G582" s="159"/>
      <c r="H582" s="159"/>
      <c r="I582" s="7">
        <f t="shared" si="62"/>
        <v>0</v>
      </c>
    </row>
    <row r="583" spans="1:9" ht="15.75" x14ac:dyDescent="0.25">
      <c r="A583" s="23">
        <v>608</v>
      </c>
      <c r="B583" s="6" t="str">
        <f>CADASTROS!$C$360</f>
        <v>Adriano da Silva</v>
      </c>
      <c r="C583" s="159"/>
      <c r="D583" s="159"/>
      <c r="E583" s="159"/>
      <c r="F583" s="159"/>
      <c r="G583" s="159"/>
      <c r="H583" s="159"/>
      <c r="I583" s="7">
        <f t="shared" si="62"/>
        <v>0</v>
      </c>
    </row>
    <row r="584" spans="1:9" ht="15.75" x14ac:dyDescent="0.25">
      <c r="A584" s="23">
        <v>609</v>
      </c>
      <c r="B584" s="6" t="str">
        <f>CADASTROS!$C$361</f>
        <v>Fabio Miranda Fernandes</v>
      </c>
      <c r="C584" s="159"/>
      <c r="D584" s="159"/>
      <c r="E584" s="159"/>
      <c r="F584" s="159"/>
      <c r="G584" s="159"/>
      <c r="H584" s="159"/>
      <c r="I584" s="7">
        <f t="shared" si="62"/>
        <v>0</v>
      </c>
    </row>
    <row r="585" spans="1:9" ht="15.75" x14ac:dyDescent="0.25">
      <c r="A585" s="23">
        <v>610</v>
      </c>
      <c r="B585" s="6" t="str">
        <f>CADASTROS!$C$362</f>
        <v>Maria de Jesus de Moura</v>
      </c>
      <c r="C585" s="159"/>
      <c r="D585" s="159"/>
      <c r="E585" s="159"/>
      <c r="F585" s="159"/>
      <c r="G585" s="159"/>
      <c r="H585" s="159"/>
      <c r="I585" s="7">
        <f t="shared" si="62"/>
        <v>0</v>
      </c>
    </row>
    <row r="586" spans="1:9" ht="15.75" x14ac:dyDescent="0.25">
      <c r="A586" s="23">
        <v>611</v>
      </c>
      <c r="B586" s="6" t="str">
        <f>CADASTROS!$C$363</f>
        <v>José Roberto de Souza Almeida</v>
      </c>
      <c r="C586" s="159"/>
      <c r="D586" s="159"/>
      <c r="E586" s="159"/>
      <c r="F586" s="159"/>
      <c r="G586" s="159"/>
      <c r="H586" s="159"/>
      <c r="I586" s="7">
        <f t="shared" si="62"/>
        <v>0</v>
      </c>
    </row>
    <row r="587" spans="1:9" ht="15.75" x14ac:dyDescent="0.25">
      <c r="A587" s="23">
        <v>612</v>
      </c>
      <c r="B587" s="6" t="str">
        <f>CADASTROS!$C$364</f>
        <v>Maria das Graças S Nascimento</v>
      </c>
      <c r="C587" s="159"/>
      <c r="D587" s="159"/>
      <c r="E587" s="159"/>
      <c r="F587" s="159"/>
      <c r="G587" s="159"/>
      <c r="H587" s="159"/>
      <c r="I587" s="7">
        <f t="shared" si="62"/>
        <v>0</v>
      </c>
    </row>
    <row r="588" spans="1:9" ht="15.75" x14ac:dyDescent="0.25">
      <c r="A588" s="23">
        <v>613</v>
      </c>
      <c r="B588" s="6" t="str">
        <f>CADASTROS!$C$365</f>
        <v>Joelma Paixão Lopes</v>
      </c>
      <c r="C588" s="159"/>
      <c r="D588" s="159"/>
      <c r="E588" s="159"/>
      <c r="F588" s="159"/>
      <c r="G588" s="159"/>
      <c r="H588" s="159"/>
      <c r="I588" s="7">
        <f t="shared" si="62"/>
        <v>0</v>
      </c>
    </row>
    <row r="589" spans="1:9" ht="15.75" x14ac:dyDescent="0.25">
      <c r="A589" s="23">
        <v>614</v>
      </c>
      <c r="B589" s="6" t="str">
        <f>CADASTROS!$C$366</f>
        <v>Patrícia França</v>
      </c>
      <c r="C589" s="159"/>
      <c r="D589" s="159"/>
      <c r="E589" s="159"/>
      <c r="F589" s="159"/>
      <c r="G589" s="159"/>
      <c r="H589" s="159"/>
      <c r="I589" s="7">
        <f t="shared" si="62"/>
        <v>0</v>
      </c>
    </row>
    <row r="590" spans="1:9" ht="15.75" x14ac:dyDescent="0.25">
      <c r="A590" s="23">
        <v>615</v>
      </c>
      <c r="B590" s="6" t="str">
        <f>CADASTROS!$C$367</f>
        <v>Joelza Pinheiro dos Santos</v>
      </c>
      <c r="C590" s="159"/>
      <c r="D590" s="159"/>
      <c r="E590" s="159"/>
      <c r="F590" s="159"/>
      <c r="G590" s="159"/>
      <c r="H590" s="159"/>
      <c r="I590" s="7">
        <f t="shared" si="62"/>
        <v>0</v>
      </c>
    </row>
    <row r="591" spans="1:9" ht="15.75" x14ac:dyDescent="0.25">
      <c r="A591" s="23">
        <v>616</v>
      </c>
      <c r="B591" s="6" t="str">
        <f>CADASTROS!$C$368</f>
        <v>Mariene de Jesus Rodrigues</v>
      </c>
      <c r="C591" s="159"/>
      <c r="D591" s="159"/>
      <c r="E591" s="159"/>
      <c r="F591" s="159"/>
      <c r="G591" s="159"/>
      <c r="H591" s="159"/>
      <c r="I591" s="7">
        <f t="shared" si="62"/>
        <v>0</v>
      </c>
    </row>
    <row r="592" spans="1:9" ht="15.75" x14ac:dyDescent="0.25">
      <c r="A592" s="23">
        <v>617</v>
      </c>
      <c r="B592" s="6" t="str">
        <f>CADASTROS!$C$369</f>
        <v>Geniclézia Almeida Silva</v>
      </c>
      <c r="C592" s="159"/>
      <c r="D592" s="159"/>
      <c r="E592" s="159"/>
      <c r="F592" s="159"/>
      <c r="G592" s="159"/>
      <c r="H592" s="159"/>
      <c r="I592" s="7">
        <f t="shared" si="62"/>
        <v>0</v>
      </c>
    </row>
    <row r="593" spans="1:9" ht="15.75" x14ac:dyDescent="0.25">
      <c r="A593" s="23">
        <v>618</v>
      </c>
      <c r="B593" s="6" t="str">
        <f>CADASTROS!$C$370</f>
        <v>Jaciene Rodrigues Silva</v>
      </c>
      <c r="C593" s="159"/>
      <c r="D593" s="159"/>
      <c r="E593" s="159"/>
      <c r="F593" s="159"/>
      <c r="G593" s="159"/>
      <c r="H593" s="159"/>
      <c r="I593" s="7">
        <f t="shared" si="62"/>
        <v>0</v>
      </c>
    </row>
    <row r="594" spans="1:9" ht="15.75" x14ac:dyDescent="0.25">
      <c r="B594" s="159" t="s">
        <v>4829</v>
      </c>
      <c r="C594" s="159">
        <f>SUM(C567:C593)</f>
        <v>0</v>
      </c>
      <c r="D594" s="159">
        <f t="shared" ref="D594:H594" si="63">SUM(D567:D593)</f>
        <v>30.5</v>
      </c>
      <c r="E594" s="159">
        <f t="shared" si="63"/>
        <v>23.5</v>
      </c>
      <c r="F594" s="159">
        <f t="shared" si="63"/>
        <v>0</v>
      </c>
      <c r="G594" s="159">
        <f t="shared" si="63"/>
        <v>0</v>
      </c>
      <c r="H594" s="159">
        <f t="shared" si="63"/>
        <v>0</v>
      </c>
      <c r="I594" s="7">
        <f t="shared" si="62"/>
        <v>54</v>
      </c>
    </row>
    <row r="596" spans="1:9" ht="15.75" x14ac:dyDescent="0.25">
      <c r="B596" s="8" t="s">
        <v>4830</v>
      </c>
      <c r="C596" s="159"/>
      <c r="D596" s="159"/>
      <c r="E596" s="159"/>
      <c r="F596" s="159"/>
      <c r="G596" s="159"/>
      <c r="H596" s="159"/>
      <c r="I596" s="159">
        <f>SUM(C596:H596)</f>
        <v>0</v>
      </c>
    </row>
    <row r="597" spans="1:9" x14ac:dyDescent="0.25">
      <c r="B597" s="167"/>
    </row>
    <row r="598" spans="1:9" ht="15.75" x14ac:dyDescent="0.25">
      <c r="B598" s="8" t="s">
        <v>4831</v>
      </c>
      <c r="C598" s="9" t="e">
        <f>C594/C596</f>
        <v>#DIV/0!</v>
      </c>
      <c r="D598" s="9" t="e">
        <f t="shared" ref="D598:H598" si="64">D594/D596</f>
        <v>#DIV/0!</v>
      </c>
      <c r="E598" s="9" t="e">
        <f t="shared" si="64"/>
        <v>#DIV/0!</v>
      </c>
      <c r="F598" s="9" t="e">
        <f t="shared" si="64"/>
        <v>#DIV/0!</v>
      </c>
      <c r="G598" s="9" t="e">
        <f t="shared" si="64"/>
        <v>#DIV/0!</v>
      </c>
      <c r="H598" s="9" t="e">
        <f t="shared" si="64"/>
        <v>#DIV/0!</v>
      </c>
      <c r="I598" s="9"/>
    </row>
    <row r="599" spans="1:9" ht="15.75" x14ac:dyDescent="0.25">
      <c r="B599" s="163"/>
      <c r="C599" s="10"/>
      <c r="D599" s="10"/>
      <c r="E599" s="10"/>
      <c r="F599" s="10"/>
      <c r="G599" s="10"/>
      <c r="H599" s="163"/>
      <c r="I599" s="163"/>
    </row>
    <row r="600" spans="1:9" ht="15.75" x14ac:dyDescent="0.25">
      <c r="B600" s="8" t="s">
        <v>4832</v>
      </c>
      <c r="C600" s="159"/>
      <c r="D600" s="159"/>
      <c r="E600" s="6"/>
      <c r="F600" s="6"/>
      <c r="G600" s="6"/>
      <c r="H600" s="6"/>
      <c r="I600" s="11"/>
    </row>
    <row r="603" spans="1:9" ht="21" x14ac:dyDescent="0.35">
      <c r="B603" s="184" t="s">
        <v>4816</v>
      </c>
      <c r="C603" s="185"/>
      <c r="D603" s="185"/>
      <c r="E603" s="185"/>
      <c r="F603" s="185"/>
      <c r="G603" s="185"/>
      <c r="H603" s="185"/>
      <c r="I603" s="186"/>
    </row>
    <row r="604" spans="1:9" x14ac:dyDescent="0.25">
      <c r="I604" s="3"/>
    </row>
    <row r="605" spans="1:9" ht="21" x14ac:dyDescent="0.35">
      <c r="B605" s="192" t="s">
        <v>4817</v>
      </c>
      <c r="C605" s="193"/>
      <c r="D605" s="193"/>
      <c r="E605" s="193"/>
      <c r="F605" s="193"/>
      <c r="G605" s="193"/>
      <c r="H605" s="193"/>
      <c r="I605" s="194"/>
    </row>
    <row r="607" spans="1:9" ht="37.15" customHeight="1" x14ac:dyDescent="0.25">
      <c r="B607" s="187" t="s">
        <v>4837</v>
      </c>
      <c r="C607" s="195"/>
      <c r="D607" s="195"/>
      <c r="E607" s="195"/>
      <c r="F607" s="195"/>
      <c r="G607" s="195"/>
      <c r="H607" s="195"/>
      <c r="I607" s="196"/>
    </row>
    <row r="608" spans="1:9" ht="30" customHeight="1" x14ac:dyDescent="0.25">
      <c r="A608" s="182" t="s">
        <v>4819</v>
      </c>
      <c r="B608" s="182" t="s">
        <v>4820</v>
      </c>
      <c r="C608" s="4" t="s">
        <v>4821</v>
      </c>
      <c r="D608" s="4" t="s">
        <v>4822</v>
      </c>
      <c r="E608" s="88" t="s">
        <v>4823</v>
      </c>
      <c r="F608" s="88" t="s">
        <v>4824</v>
      </c>
      <c r="G608" s="88" t="s">
        <v>4825</v>
      </c>
      <c r="H608" s="4" t="s">
        <v>4826</v>
      </c>
      <c r="I608" s="198" t="s">
        <v>4827</v>
      </c>
    </row>
    <row r="609" spans="1:9" ht="36" customHeight="1" x14ac:dyDescent="0.25">
      <c r="A609" s="197"/>
      <c r="B609" s="183"/>
      <c r="C609" s="13" t="s">
        <v>4828</v>
      </c>
      <c r="D609" s="13" t="s">
        <v>4828</v>
      </c>
      <c r="E609" s="13" t="s">
        <v>4828</v>
      </c>
      <c r="F609" s="13" t="s">
        <v>4828</v>
      </c>
      <c r="G609" s="13" t="s">
        <v>4828</v>
      </c>
      <c r="H609" s="13" t="s">
        <v>4828</v>
      </c>
      <c r="I609" s="198"/>
    </row>
    <row r="610" spans="1:9" ht="15.75" x14ac:dyDescent="0.25">
      <c r="A610" s="27">
        <v>619</v>
      </c>
      <c r="B610" s="6" t="str">
        <f>CADASTROS!$C$371</f>
        <v>Cosme</v>
      </c>
      <c r="C610" s="159"/>
      <c r="D610" s="159"/>
      <c r="E610" s="159"/>
      <c r="F610" s="159"/>
      <c r="G610" s="159"/>
      <c r="H610" s="159"/>
      <c r="I610" s="7">
        <f>SUM(C610+D610+E610+F610+G610+H610)</f>
        <v>0</v>
      </c>
    </row>
    <row r="611" spans="1:9" ht="15.75" x14ac:dyDescent="0.25">
      <c r="A611" s="23">
        <v>620</v>
      </c>
      <c r="B611" s="6" t="str">
        <f>CADASTROS!$C$372</f>
        <v>Silvaneide Oliveira Souza</v>
      </c>
      <c r="C611" s="159"/>
      <c r="D611" s="159">
        <v>31</v>
      </c>
      <c r="E611" s="159">
        <v>17</v>
      </c>
      <c r="F611" s="159"/>
      <c r="G611" s="159"/>
      <c r="H611" s="159"/>
      <c r="I611" s="7">
        <f t="shared" ref="I611:I637" si="65">SUM(C611+D611+E611+F611+G611+H611)</f>
        <v>48</v>
      </c>
    </row>
    <row r="612" spans="1:9" ht="15.75" x14ac:dyDescent="0.25">
      <c r="A612" s="23">
        <v>621</v>
      </c>
      <c r="B612" s="6" t="str">
        <f>CADASTROS!$C$373</f>
        <v>Eloizio Cruz da Silva</v>
      </c>
      <c r="C612" s="159"/>
      <c r="D612" s="159"/>
      <c r="E612" s="159"/>
      <c r="F612" s="159"/>
      <c r="G612" s="159"/>
      <c r="H612" s="159"/>
      <c r="I612" s="7">
        <f t="shared" si="65"/>
        <v>0</v>
      </c>
    </row>
    <row r="613" spans="1:9" ht="15.75" x14ac:dyDescent="0.25">
      <c r="A613" s="23">
        <v>622</v>
      </c>
      <c r="B613" s="6" t="str">
        <f>CADASTROS!$C$374</f>
        <v>Vando Welton Lima Dantas</v>
      </c>
      <c r="C613" s="159">
        <v>15</v>
      </c>
      <c r="D613" s="159">
        <v>15</v>
      </c>
      <c r="E613" s="159">
        <v>13</v>
      </c>
      <c r="F613" s="159"/>
      <c r="G613" s="159"/>
      <c r="H613" s="159"/>
      <c r="I613" s="7">
        <f t="shared" si="65"/>
        <v>43</v>
      </c>
    </row>
    <row r="614" spans="1:9" ht="15.75" x14ac:dyDescent="0.25">
      <c r="A614" s="23">
        <v>623</v>
      </c>
      <c r="B614" s="6" t="str">
        <f>CADASTROS!$C$375</f>
        <v>Maria Madalena Lima Santos</v>
      </c>
      <c r="C614" s="159"/>
      <c r="D614" s="159"/>
      <c r="E614" s="159"/>
      <c r="F614" s="159"/>
      <c r="G614" s="159"/>
      <c r="H614" s="159"/>
      <c r="I614" s="7">
        <f t="shared" si="65"/>
        <v>0</v>
      </c>
    </row>
    <row r="615" spans="1:9" ht="15.75" x14ac:dyDescent="0.25">
      <c r="A615" s="23">
        <v>624</v>
      </c>
      <c r="B615" s="6" t="str">
        <f>CADASTROS!$C$376</f>
        <v>José Eduardo Sousa</v>
      </c>
      <c r="C615" s="159"/>
      <c r="D615" s="159"/>
      <c r="E615" s="159"/>
      <c r="F615" s="159"/>
      <c r="G615" s="159"/>
      <c r="H615" s="159"/>
      <c r="I615" s="7">
        <f t="shared" si="65"/>
        <v>0</v>
      </c>
    </row>
    <row r="616" spans="1:9" ht="15.75" x14ac:dyDescent="0.25">
      <c r="A616" s="23">
        <v>625</v>
      </c>
      <c r="B616" s="6" t="str">
        <f>CADASTROS!$C$377</f>
        <v>Dalvaires A de Souza</v>
      </c>
      <c r="C616" s="159"/>
      <c r="D616" s="159"/>
      <c r="E616" s="159"/>
      <c r="F616" s="159"/>
      <c r="G616" s="159"/>
      <c r="H616" s="159"/>
      <c r="I616" s="7">
        <f t="shared" si="65"/>
        <v>0</v>
      </c>
    </row>
    <row r="617" spans="1:9" ht="15.75" x14ac:dyDescent="0.25">
      <c r="A617" s="23">
        <v>626</v>
      </c>
      <c r="B617" s="6" t="str">
        <f>CADASTROS!$C$378</f>
        <v>Juliana Alves de Souza</v>
      </c>
      <c r="C617" s="159"/>
      <c r="D617" s="159"/>
      <c r="E617" s="159"/>
      <c r="F617" s="159"/>
      <c r="G617" s="159"/>
      <c r="H617" s="159"/>
      <c r="I617" s="7">
        <f t="shared" si="65"/>
        <v>0</v>
      </c>
    </row>
    <row r="618" spans="1:9" ht="15.75" x14ac:dyDescent="0.25">
      <c r="A618" s="23">
        <v>627</v>
      </c>
      <c r="B618" s="6" t="str">
        <f>CADASTROS!$C$379</f>
        <v>Tatiana Alves de Souza</v>
      </c>
      <c r="C618" s="159"/>
      <c r="D618" s="159"/>
      <c r="E618" s="159"/>
      <c r="F618" s="159"/>
      <c r="G618" s="159"/>
      <c r="H618" s="159"/>
      <c r="I618" s="7">
        <f t="shared" si="65"/>
        <v>0</v>
      </c>
    </row>
    <row r="619" spans="1:9" ht="15.75" x14ac:dyDescent="0.25">
      <c r="A619" s="23">
        <v>628</v>
      </c>
      <c r="B619" s="6" t="str">
        <f>CADASTROS!$C$380</f>
        <v>Maria Aparecida Leoncio Pires</v>
      </c>
      <c r="C619" s="159"/>
      <c r="D619" s="159"/>
      <c r="E619" s="159"/>
      <c r="F619" s="159"/>
      <c r="G619" s="159"/>
      <c r="H619" s="159"/>
      <c r="I619" s="7">
        <f t="shared" si="65"/>
        <v>0</v>
      </c>
    </row>
    <row r="620" spans="1:9" ht="15.75" x14ac:dyDescent="0.25">
      <c r="A620" s="23">
        <v>629</v>
      </c>
      <c r="B620" s="6" t="str">
        <f>CADASTROS!$C$381</f>
        <v>Noelma Oliveira Santana</v>
      </c>
      <c r="C620" s="159"/>
      <c r="D620" s="159"/>
      <c r="E620" s="159"/>
      <c r="F620" s="159"/>
      <c r="G620" s="159"/>
      <c r="H620" s="159"/>
      <c r="I620" s="7">
        <f t="shared" si="65"/>
        <v>0</v>
      </c>
    </row>
    <row r="621" spans="1:9" ht="15.75" x14ac:dyDescent="0.25">
      <c r="A621" s="23">
        <v>630</v>
      </c>
      <c r="B621" s="6" t="str">
        <f>CADASTROS!$C$382</f>
        <v>Bruno Moreira da Silva</v>
      </c>
      <c r="C621" s="159"/>
      <c r="D621" s="159"/>
      <c r="E621" s="159"/>
      <c r="F621" s="159"/>
      <c r="G621" s="159"/>
      <c r="H621" s="159"/>
      <c r="I621" s="7">
        <f t="shared" si="65"/>
        <v>0</v>
      </c>
    </row>
    <row r="622" spans="1:9" ht="15.75" x14ac:dyDescent="0.25">
      <c r="A622" s="23">
        <v>631</v>
      </c>
      <c r="B622" s="6" t="str">
        <f>CADASTROS!$C$383</f>
        <v>Juarez de Souza</v>
      </c>
      <c r="C622" s="159"/>
      <c r="D622" s="159"/>
      <c r="E622" s="159"/>
      <c r="F622" s="159"/>
      <c r="G622" s="159"/>
      <c r="H622" s="159"/>
      <c r="I622" s="7">
        <f t="shared" si="65"/>
        <v>0</v>
      </c>
    </row>
    <row r="623" spans="1:9" ht="15.75" x14ac:dyDescent="0.25">
      <c r="A623" s="23">
        <v>632</v>
      </c>
      <c r="B623" s="6" t="str">
        <f>CADASTROS!$C$384</f>
        <v>Elvis Alves dos Santos</v>
      </c>
      <c r="C623" s="159"/>
      <c r="D623" s="159"/>
      <c r="E623" s="159"/>
      <c r="F623" s="159"/>
      <c r="G623" s="159"/>
      <c r="H623" s="159"/>
      <c r="I623" s="7">
        <f t="shared" si="65"/>
        <v>0</v>
      </c>
    </row>
    <row r="624" spans="1:9" ht="15.75" x14ac:dyDescent="0.25">
      <c r="A624" s="23">
        <v>633</v>
      </c>
      <c r="B624" s="6" t="str">
        <f>CADASTROS!$C$385</f>
        <v>Simone Melo Silva</v>
      </c>
      <c r="C624" s="159"/>
      <c r="D624" s="159"/>
      <c r="E624" s="159"/>
      <c r="F624" s="159"/>
      <c r="G624" s="159"/>
      <c r="H624" s="159"/>
      <c r="I624" s="7">
        <f t="shared" si="65"/>
        <v>0</v>
      </c>
    </row>
    <row r="625" spans="1:9" ht="15.75" x14ac:dyDescent="0.25">
      <c r="A625" s="23">
        <v>634</v>
      </c>
      <c r="B625" s="6" t="str">
        <f>CADASTROS!$C$386</f>
        <v>Marivalda Oliveira Santana</v>
      </c>
      <c r="C625" s="159"/>
      <c r="D625" s="159"/>
      <c r="E625" s="159"/>
      <c r="F625" s="159"/>
      <c r="G625" s="159"/>
      <c r="H625" s="159"/>
      <c r="I625" s="7">
        <f t="shared" si="65"/>
        <v>0</v>
      </c>
    </row>
    <row r="626" spans="1:9" ht="15.75" x14ac:dyDescent="0.25">
      <c r="A626" s="23">
        <v>635</v>
      </c>
      <c r="B626" s="6" t="str">
        <f>CADASTROS!$C$387</f>
        <v>Jandira de Jesus Pires</v>
      </c>
      <c r="C626" s="159"/>
      <c r="D626" s="159"/>
      <c r="E626" s="159"/>
      <c r="F626" s="159"/>
      <c r="G626" s="159"/>
      <c r="H626" s="159"/>
      <c r="I626" s="7">
        <f t="shared" si="65"/>
        <v>0</v>
      </c>
    </row>
    <row r="627" spans="1:9" ht="15.75" x14ac:dyDescent="0.25">
      <c r="A627" s="23">
        <v>636</v>
      </c>
      <c r="B627" s="6" t="str">
        <f>CADASTROS!$C$388</f>
        <v>Ildete Silva Inacio</v>
      </c>
      <c r="C627" s="159"/>
      <c r="D627" s="159"/>
      <c r="E627" s="159"/>
      <c r="F627" s="159"/>
      <c r="G627" s="159"/>
      <c r="H627" s="159"/>
      <c r="I627" s="7">
        <f t="shared" si="65"/>
        <v>0</v>
      </c>
    </row>
    <row r="628" spans="1:9" ht="15.75" x14ac:dyDescent="0.25">
      <c r="A628" s="23">
        <v>637</v>
      </c>
      <c r="B628" s="6" t="str">
        <f>CADASTROS!$C$389</f>
        <v>Jaíne Inácio da Silva</v>
      </c>
      <c r="C628" s="159"/>
      <c r="D628" s="159"/>
      <c r="E628" s="159"/>
      <c r="F628" s="159"/>
      <c r="G628" s="159"/>
      <c r="H628" s="159"/>
      <c r="I628" s="7">
        <f t="shared" si="65"/>
        <v>0</v>
      </c>
    </row>
    <row r="629" spans="1:9" ht="15.75" x14ac:dyDescent="0.25">
      <c r="A629" s="23">
        <v>638</v>
      </c>
      <c r="B629" s="6" t="str">
        <f>CADASTROS!$C$390</f>
        <v>Ivone Oliveira da Silva</v>
      </c>
      <c r="C629" s="159"/>
      <c r="D629" s="159"/>
      <c r="E629" s="159"/>
      <c r="F629" s="159"/>
      <c r="G629" s="159"/>
      <c r="H629" s="159"/>
      <c r="I629" s="7">
        <f t="shared" si="65"/>
        <v>0</v>
      </c>
    </row>
    <row r="630" spans="1:9" ht="15.75" x14ac:dyDescent="0.25">
      <c r="A630" s="23">
        <v>639</v>
      </c>
      <c r="B630" s="6" t="str">
        <f>CADASTROS!$C$391</f>
        <v>Evanilson Silva Barbosa</v>
      </c>
      <c r="C630" s="159"/>
      <c r="D630" s="159"/>
      <c r="E630" s="159"/>
      <c r="F630" s="159"/>
      <c r="G630" s="159"/>
      <c r="H630" s="159"/>
      <c r="I630" s="7">
        <f t="shared" si="65"/>
        <v>0</v>
      </c>
    </row>
    <row r="631" spans="1:9" ht="15.75" x14ac:dyDescent="0.25">
      <c r="A631" s="23">
        <v>640</v>
      </c>
      <c r="B631" s="6" t="str">
        <f>CADASTROS!$C$392</f>
        <v>Luis Carlos dos Santos</v>
      </c>
      <c r="C631" s="159"/>
      <c r="D631" s="159"/>
      <c r="E631" s="159"/>
      <c r="F631" s="159"/>
      <c r="G631" s="159"/>
      <c r="H631" s="159"/>
      <c r="I631" s="7">
        <f t="shared" si="65"/>
        <v>0</v>
      </c>
    </row>
    <row r="632" spans="1:9" ht="15.75" x14ac:dyDescent="0.25">
      <c r="A632" s="23">
        <v>641</v>
      </c>
      <c r="B632" s="6" t="str">
        <f>CADASTROS!$C$393</f>
        <v>Vanderleia Moreira da Silva</v>
      </c>
      <c r="C632" s="159"/>
      <c r="D632" s="159"/>
      <c r="E632" s="159"/>
      <c r="F632" s="159"/>
      <c r="G632" s="159"/>
      <c r="H632" s="159"/>
      <c r="I632" s="7">
        <f t="shared" si="65"/>
        <v>0</v>
      </c>
    </row>
    <row r="633" spans="1:9" ht="15.75" x14ac:dyDescent="0.25">
      <c r="A633" s="23">
        <v>642</v>
      </c>
      <c r="B633" s="6" t="str">
        <f>CADASTROS!$C$394</f>
        <v>Evanilce Bispo dos Santos</v>
      </c>
      <c r="C633" s="159"/>
      <c r="D633" s="159"/>
      <c r="E633" s="159"/>
      <c r="F633" s="159"/>
      <c r="G633" s="159"/>
      <c r="H633" s="159"/>
      <c r="I633" s="7">
        <f t="shared" si="65"/>
        <v>0</v>
      </c>
    </row>
    <row r="634" spans="1:9" ht="15.75" x14ac:dyDescent="0.25">
      <c r="A634" s="23">
        <v>643</v>
      </c>
      <c r="B634" s="6" t="str">
        <f>CADASTROS!$C$395</f>
        <v>Etelvina Rodrigues de Souza</v>
      </c>
      <c r="C634" s="159"/>
      <c r="D634" s="159"/>
      <c r="E634" s="159"/>
      <c r="F634" s="159"/>
      <c r="G634" s="159"/>
      <c r="H634" s="159"/>
      <c r="I634" s="7">
        <f t="shared" si="65"/>
        <v>0</v>
      </c>
    </row>
    <row r="635" spans="1:9" ht="15.75" x14ac:dyDescent="0.25">
      <c r="A635" s="23">
        <v>644</v>
      </c>
      <c r="B635" s="6" t="str">
        <f>CADASTROS!$C$396</f>
        <v>José Rodrigues de Souza</v>
      </c>
      <c r="C635" s="159"/>
      <c r="D635" s="159"/>
      <c r="E635" s="159"/>
      <c r="F635" s="159"/>
      <c r="G635" s="159"/>
      <c r="H635" s="159"/>
      <c r="I635" s="7">
        <f t="shared" si="65"/>
        <v>0</v>
      </c>
    </row>
    <row r="636" spans="1:9" ht="15.75" x14ac:dyDescent="0.25">
      <c r="A636" s="23">
        <v>645</v>
      </c>
      <c r="B636" s="6" t="str">
        <f>CADASTROS!$C$397</f>
        <v>Alberto Souza da Rocha</v>
      </c>
      <c r="C636" s="159"/>
      <c r="D636" s="159"/>
      <c r="E636" s="159"/>
      <c r="F636" s="159"/>
      <c r="G636" s="159"/>
      <c r="H636" s="159"/>
      <c r="I636" s="7">
        <f t="shared" si="65"/>
        <v>0</v>
      </c>
    </row>
    <row r="637" spans="1:9" ht="15.75" x14ac:dyDescent="0.25">
      <c r="B637" s="159" t="s">
        <v>4829</v>
      </c>
      <c r="C637" s="159">
        <f>SUM(C610:C636)</f>
        <v>15</v>
      </c>
      <c r="D637" s="159">
        <f t="shared" ref="D637:H637" si="66">SUM(D610:D636)</f>
        <v>46</v>
      </c>
      <c r="E637" s="159">
        <f t="shared" si="66"/>
        <v>30</v>
      </c>
      <c r="F637" s="159">
        <f t="shared" si="66"/>
        <v>0</v>
      </c>
      <c r="G637" s="159">
        <f t="shared" si="66"/>
        <v>0</v>
      </c>
      <c r="H637" s="159">
        <f t="shared" si="66"/>
        <v>0</v>
      </c>
      <c r="I637" s="7">
        <f t="shared" si="65"/>
        <v>91</v>
      </c>
    </row>
    <row r="639" spans="1:9" ht="15.75" x14ac:dyDescent="0.25">
      <c r="B639" s="8" t="s">
        <v>4830</v>
      </c>
      <c r="C639" s="159"/>
      <c r="D639" s="159"/>
      <c r="E639" s="159"/>
      <c r="F639" s="159"/>
      <c r="G639" s="159"/>
      <c r="H639" s="159"/>
      <c r="I639" s="159">
        <f>SUM(C639:H639)</f>
        <v>0</v>
      </c>
    </row>
    <row r="640" spans="1:9" x14ac:dyDescent="0.25">
      <c r="B640" s="167"/>
    </row>
    <row r="641" spans="1:9" ht="15.75" x14ac:dyDescent="0.25">
      <c r="B641" s="8" t="s">
        <v>4831</v>
      </c>
      <c r="C641" s="9" t="e">
        <f>C637/C639</f>
        <v>#DIV/0!</v>
      </c>
      <c r="D641" s="9" t="e">
        <f t="shared" ref="D641:H641" si="67">D637/D639</f>
        <v>#DIV/0!</v>
      </c>
      <c r="E641" s="9" t="e">
        <f t="shared" si="67"/>
        <v>#DIV/0!</v>
      </c>
      <c r="F641" s="9" t="e">
        <f t="shared" si="67"/>
        <v>#DIV/0!</v>
      </c>
      <c r="G641" s="9" t="e">
        <f t="shared" si="67"/>
        <v>#DIV/0!</v>
      </c>
      <c r="H641" s="9" t="e">
        <f t="shared" si="67"/>
        <v>#DIV/0!</v>
      </c>
      <c r="I641" s="9"/>
    </row>
    <row r="642" spans="1:9" ht="15.75" x14ac:dyDescent="0.25">
      <c r="B642" s="163"/>
      <c r="C642" s="10"/>
      <c r="D642" s="10"/>
      <c r="E642" s="10"/>
      <c r="F642" s="10"/>
      <c r="G642" s="10"/>
      <c r="H642" s="163"/>
      <c r="I642" s="163"/>
    </row>
    <row r="643" spans="1:9" ht="15.75" x14ac:dyDescent="0.25">
      <c r="B643" s="8" t="s">
        <v>4832</v>
      </c>
      <c r="C643" s="159"/>
      <c r="D643" s="159"/>
      <c r="E643" s="6"/>
      <c r="F643" s="6"/>
      <c r="G643" s="6"/>
      <c r="H643" s="6"/>
      <c r="I643" s="11"/>
    </row>
    <row r="646" spans="1:9" ht="21" x14ac:dyDescent="0.35">
      <c r="B646" s="184" t="s">
        <v>4816</v>
      </c>
      <c r="C646" s="185"/>
      <c r="D646" s="185"/>
      <c r="E646" s="185"/>
      <c r="F646" s="185"/>
      <c r="G646" s="185"/>
      <c r="H646" s="185"/>
      <c r="I646" s="186"/>
    </row>
    <row r="647" spans="1:9" x14ac:dyDescent="0.25">
      <c r="I647" s="3"/>
    </row>
    <row r="648" spans="1:9" ht="21" x14ac:dyDescent="0.35">
      <c r="B648" s="192" t="s">
        <v>4817</v>
      </c>
      <c r="C648" s="193"/>
      <c r="D648" s="193"/>
      <c r="E648" s="193"/>
      <c r="F648" s="193"/>
      <c r="G648" s="193"/>
      <c r="H648" s="193"/>
      <c r="I648" s="194"/>
    </row>
    <row r="650" spans="1:9" ht="30" customHeight="1" x14ac:dyDescent="0.25">
      <c r="B650" s="187" t="s">
        <v>4837</v>
      </c>
      <c r="C650" s="195"/>
      <c r="D650" s="195"/>
      <c r="E650" s="195"/>
      <c r="F650" s="195"/>
      <c r="G650" s="195"/>
      <c r="H650" s="195"/>
      <c r="I650" s="196"/>
    </row>
    <row r="651" spans="1:9" ht="30" customHeight="1" x14ac:dyDescent="0.25">
      <c r="A651" s="182" t="s">
        <v>4819</v>
      </c>
      <c r="B651" s="182" t="s">
        <v>4820</v>
      </c>
      <c r="C651" s="4" t="s">
        <v>4821</v>
      </c>
      <c r="D651" s="4" t="s">
        <v>4822</v>
      </c>
      <c r="E651" s="88" t="s">
        <v>4823</v>
      </c>
      <c r="F651" s="88" t="s">
        <v>4824</v>
      </c>
      <c r="G651" s="88" t="s">
        <v>4825</v>
      </c>
      <c r="H651" s="4" t="s">
        <v>4826</v>
      </c>
      <c r="I651" s="198" t="s">
        <v>4827</v>
      </c>
    </row>
    <row r="652" spans="1:9" ht="36" customHeight="1" x14ac:dyDescent="0.25">
      <c r="A652" s="197"/>
      <c r="B652" s="183"/>
      <c r="C652" s="13" t="s">
        <v>4828</v>
      </c>
      <c r="D652" s="13" t="s">
        <v>4828</v>
      </c>
      <c r="E652" s="13" t="s">
        <v>4828</v>
      </c>
      <c r="F652" s="13" t="s">
        <v>4828</v>
      </c>
      <c r="G652" s="13" t="s">
        <v>4828</v>
      </c>
      <c r="H652" s="13" t="s">
        <v>4828</v>
      </c>
      <c r="I652" s="198"/>
    </row>
    <row r="653" spans="1:9" ht="15.75" x14ac:dyDescent="0.25">
      <c r="A653" s="27">
        <v>646</v>
      </c>
      <c r="B653" s="6" t="str">
        <f>CADASTROS!$C$398</f>
        <v>Simone de Jesus Brito</v>
      </c>
      <c r="C653" s="159"/>
      <c r="D653" s="159"/>
      <c r="E653" s="159"/>
      <c r="F653" s="159"/>
      <c r="G653" s="159"/>
      <c r="H653" s="159"/>
      <c r="I653" s="7">
        <f>SUM(C653+D653+E653+F653+G653+H653)</f>
        <v>0</v>
      </c>
    </row>
    <row r="654" spans="1:9" ht="15.75" x14ac:dyDescent="0.25">
      <c r="A654" s="23">
        <v>647</v>
      </c>
      <c r="B654" s="6" t="str">
        <f>CADASTROS!$C$399</f>
        <v>Gilderlan Moreira Souza</v>
      </c>
      <c r="C654" s="159"/>
      <c r="D654" s="159"/>
      <c r="E654" s="159"/>
      <c r="F654" s="159"/>
      <c r="G654" s="159"/>
      <c r="H654" s="159"/>
      <c r="I654" s="7">
        <f t="shared" ref="I654:I679" si="68">SUM(C654+D654+E654+F654+G654+H654)</f>
        <v>0</v>
      </c>
    </row>
    <row r="655" spans="1:9" ht="15.75" x14ac:dyDescent="0.25">
      <c r="A655" s="23">
        <v>648</v>
      </c>
      <c r="B655" s="6" t="str">
        <f>CADASTROS!$C$400</f>
        <v>Eliene Lomes da Silva</v>
      </c>
      <c r="C655" s="159"/>
      <c r="D655" s="159"/>
      <c r="E655" s="159"/>
      <c r="F655" s="159"/>
      <c r="G655" s="159"/>
      <c r="H655" s="159"/>
      <c r="I655" s="7">
        <f t="shared" si="68"/>
        <v>0</v>
      </c>
    </row>
    <row r="656" spans="1:9" ht="15.75" x14ac:dyDescent="0.25">
      <c r="A656" s="23">
        <v>649</v>
      </c>
      <c r="B656" s="6" t="str">
        <f>CADASTROS!$C$401</f>
        <v>Cleia Silva Santos</v>
      </c>
      <c r="C656" s="159"/>
      <c r="D656" s="159"/>
      <c r="E656" s="159"/>
      <c r="F656" s="159"/>
      <c r="G656" s="159"/>
      <c r="H656" s="159"/>
      <c r="I656" s="7">
        <f t="shared" si="68"/>
        <v>0</v>
      </c>
    </row>
    <row r="657" spans="1:9" ht="15.75" x14ac:dyDescent="0.25">
      <c r="A657" s="23">
        <v>650</v>
      </c>
      <c r="B657" s="6" t="str">
        <f>CADASTROS!$C$402</f>
        <v>Maria Rodrigues de Sousa</v>
      </c>
      <c r="C657" s="159"/>
      <c r="D657" s="159"/>
      <c r="E657" s="159"/>
      <c r="F657" s="159"/>
      <c r="G657" s="159"/>
      <c r="H657" s="159"/>
      <c r="I657" s="7">
        <f t="shared" si="68"/>
        <v>0</v>
      </c>
    </row>
    <row r="658" spans="1:9" ht="15.75" x14ac:dyDescent="0.25">
      <c r="A658" s="23">
        <v>651</v>
      </c>
      <c r="B658" s="6" t="str">
        <f>CADASTROS!$C$403</f>
        <v>Inácio Antônio C Cavalcante</v>
      </c>
      <c r="C658" s="159"/>
      <c r="D658" s="159"/>
      <c r="E658" s="159"/>
      <c r="F658" s="159"/>
      <c r="G658" s="159"/>
      <c r="H658" s="159"/>
      <c r="I658" s="7">
        <f t="shared" si="68"/>
        <v>0</v>
      </c>
    </row>
    <row r="659" spans="1:9" ht="15.75" x14ac:dyDescent="0.25">
      <c r="A659" s="23">
        <v>652</v>
      </c>
      <c r="B659" s="6" t="str">
        <f>CADASTROS!$C$404</f>
        <v>Jane Cleide Brandão Oliveira</v>
      </c>
      <c r="C659" s="159"/>
      <c r="D659" s="159"/>
      <c r="E659" s="159"/>
      <c r="F659" s="159"/>
      <c r="G659" s="159"/>
      <c r="H659" s="159"/>
      <c r="I659" s="7">
        <f t="shared" si="68"/>
        <v>0</v>
      </c>
    </row>
    <row r="660" spans="1:9" ht="15.75" x14ac:dyDescent="0.25">
      <c r="A660" s="23">
        <v>653</v>
      </c>
      <c r="B660" s="6" t="str">
        <f>CADASTROS!$C$405</f>
        <v>Sandreane N Soares</v>
      </c>
      <c r="C660" s="159"/>
      <c r="D660" s="159"/>
      <c r="E660" s="159"/>
      <c r="F660" s="159"/>
      <c r="G660" s="159"/>
      <c r="H660" s="159"/>
      <c r="I660" s="7">
        <f t="shared" si="68"/>
        <v>0</v>
      </c>
    </row>
    <row r="661" spans="1:9" ht="15.75" x14ac:dyDescent="0.25">
      <c r="A661" s="23">
        <v>654</v>
      </c>
      <c r="B661" s="6" t="str">
        <f>CADASTROS!$C$406</f>
        <v>Vanuza Machado Farias</v>
      </c>
      <c r="C661" s="159"/>
      <c r="D661" s="159"/>
      <c r="E661" s="159"/>
      <c r="F661" s="159"/>
      <c r="G661" s="159"/>
      <c r="H661" s="159"/>
      <c r="I661" s="7">
        <f t="shared" si="68"/>
        <v>0</v>
      </c>
    </row>
    <row r="662" spans="1:9" ht="15.75" x14ac:dyDescent="0.25">
      <c r="A662" s="23">
        <v>655</v>
      </c>
      <c r="B662" s="6" t="str">
        <f>CADASTROS!$C$407</f>
        <v>Jeane Soares Santos</v>
      </c>
      <c r="C662" s="159"/>
      <c r="D662" s="159"/>
      <c r="E662" s="159"/>
      <c r="F662" s="159"/>
      <c r="G662" s="159"/>
      <c r="H662" s="159"/>
      <c r="I662" s="7">
        <f t="shared" si="68"/>
        <v>0</v>
      </c>
    </row>
    <row r="663" spans="1:9" ht="15.75" x14ac:dyDescent="0.25">
      <c r="A663" s="23">
        <v>656</v>
      </c>
      <c r="B663" s="6" t="str">
        <f>CADASTROS!$C$408</f>
        <v>Guiomar S Santos</v>
      </c>
      <c r="C663" s="159"/>
      <c r="D663" s="159"/>
      <c r="E663" s="159"/>
      <c r="F663" s="159"/>
      <c r="G663" s="159"/>
      <c r="H663" s="159"/>
      <c r="I663" s="7">
        <f t="shared" si="68"/>
        <v>0</v>
      </c>
    </row>
    <row r="664" spans="1:9" ht="15.75" x14ac:dyDescent="0.25">
      <c r="A664" s="23">
        <v>657</v>
      </c>
      <c r="B664" s="6" t="str">
        <f>CADASTROS!$C$409</f>
        <v>Nondas E Conceição</v>
      </c>
      <c r="C664" s="159"/>
      <c r="D664" s="159"/>
      <c r="E664" s="159"/>
      <c r="F664" s="159"/>
      <c r="G664" s="159"/>
      <c r="H664" s="159"/>
      <c r="I664" s="7">
        <f t="shared" si="68"/>
        <v>0</v>
      </c>
    </row>
    <row r="665" spans="1:9" ht="15.75" x14ac:dyDescent="0.25">
      <c r="A665" s="23">
        <v>658</v>
      </c>
      <c r="B665" s="6" t="str">
        <f>CADASTROS!$C$410</f>
        <v>Jailson S Oliveira</v>
      </c>
      <c r="C665" s="159"/>
      <c r="D665" s="159"/>
      <c r="E665" s="159"/>
      <c r="F665" s="159"/>
      <c r="G665" s="159"/>
      <c r="H665" s="159"/>
      <c r="I665" s="7">
        <f t="shared" si="68"/>
        <v>0</v>
      </c>
    </row>
    <row r="666" spans="1:9" ht="15.75" x14ac:dyDescent="0.25">
      <c r="A666" s="23">
        <v>659</v>
      </c>
      <c r="B666" s="6" t="str">
        <f>CADASTROS!$C$411</f>
        <v>Sílvio F de Oliveira</v>
      </c>
      <c r="C666" s="159"/>
      <c r="D666" s="159"/>
      <c r="E666" s="159"/>
      <c r="F666" s="159"/>
      <c r="G666" s="159"/>
      <c r="H666" s="159"/>
      <c r="I666" s="7">
        <f t="shared" si="68"/>
        <v>0</v>
      </c>
    </row>
    <row r="667" spans="1:9" ht="15.75" x14ac:dyDescent="0.25">
      <c r="A667" s="23">
        <v>660</v>
      </c>
      <c r="B667" s="6" t="str">
        <f>CADASTROS!$C$412</f>
        <v>Ires Pereira de Souza</v>
      </c>
      <c r="C667" s="159"/>
      <c r="D667" s="159"/>
      <c r="E667" s="159"/>
      <c r="F667" s="159"/>
      <c r="G667" s="159"/>
      <c r="H667" s="159"/>
      <c r="I667" s="7">
        <f t="shared" si="68"/>
        <v>0</v>
      </c>
    </row>
    <row r="668" spans="1:9" ht="15.75" x14ac:dyDescent="0.25">
      <c r="A668" s="23">
        <v>661</v>
      </c>
      <c r="B668" s="6" t="str">
        <f>CADASTROS!$C$413</f>
        <v>Monica Santos de Sena</v>
      </c>
      <c r="C668" s="159"/>
      <c r="D668" s="159"/>
      <c r="E668" s="159"/>
      <c r="F668" s="159"/>
      <c r="G668" s="159"/>
      <c r="H668" s="159"/>
      <c r="I668" s="7">
        <f t="shared" si="68"/>
        <v>0</v>
      </c>
    </row>
    <row r="669" spans="1:9" ht="15.75" x14ac:dyDescent="0.25">
      <c r="A669" s="23">
        <v>663</v>
      </c>
      <c r="B669" s="6" t="str">
        <f>CADASTROS!$C$414</f>
        <v>Edenilson F de Souza</v>
      </c>
      <c r="C669" s="159"/>
      <c r="D669" s="159"/>
      <c r="E669" s="159"/>
      <c r="F669" s="159"/>
      <c r="G669" s="159"/>
      <c r="H669" s="159"/>
      <c r="I669" s="7">
        <f t="shared" si="68"/>
        <v>0</v>
      </c>
    </row>
    <row r="670" spans="1:9" ht="15.75" x14ac:dyDescent="0.25">
      <c r="A670" s="23">
        <v>665</v>
      </c>
      <c r="B670" s="6" t="str">
        <f>CADASTROS!$C$415</f>
        <v>Ariosmar Souza Almeida</v>
      </c>
      <c r="C670" s="159"/>
      <c r="D670" s="159"/>
      <c r="E670" s="159"/>
      <c r="F670" s="159"/>
      <c r="G670" s="159"/>
      <c r="H670" s="159"/>
      <c r="I670" s="7">
        <f t="shared" si="68"/>
        <v>0</v>
      </c>
    </row>
    <row r="671" spans="1:9" ht="15.75" x14ac:dyDescent="0.25">
      <c r="A671" s="23">
        <v>666</v>
      </c>
      <c r="B671" s="6" t="str">
        <f>CADASTROS!$C$416</f>
        <v>Janice Dantas Moura</v>
      </c>
      <c r="C671" s="159"/>
      <c r="D671" s="159"/>
      <c r="E671" s="159"/>
      <c r="F671" s="159"/>
      <c r="G671" s="159"/>
      <c r="H671" s="159"/>
      <c r="I671" s="7">
        <f t="shared" si="68"/>
        <v>0</v>
      </c>
    </row>
    <row r="672" spans="1:9" ht="15.75" x14ac:dyDescent="0.25">
      <c r="A672" s="23">
        <v>667</v>
      </c>
      <c r="B672" s="6" t="str">
        <f>CADASTROS!$C$417</f>
        <v>Ana Paula Ferreira dos Santos</v>
      </c>
      <c r="C672" s="159"/>
      <c r="D672" s="159"/>
      <c r="E672" s="159"/>
      <c r="F672" s="159"/>
      <c r="G672" s="159"/>
      <c r="H672" s="159"/>
      <c r="I672" s="7">
        <f t="shared" si="68"/>
        <v>0</v>
      </c>
    </row>
    <row r="673" spans="1:9" ht="15.75" x14ac:dyDescent="0.25">
      <c r="A673" s="23">
        <v>668</v>
      </c>
      <c r="B673" s="6" t="str">
        <f>CADASTROS!$C$418</f>
        <v>Janileide Oliveira Silva</v>
      </c>
      <c r="C673" s="159"/>
      <c r="D673" s="159"/>
      <c r="E673" s="159"/>
      <c r="F673" s="159"/>
      <c r="G673" s="159"/>
      <c r="H673" s="159"/>
      <c r="I673" s="7">
        <f t="shared" si="68"/>
        <v>0</v>
      </c>
    </row>
    <row r="674" spans="1:9" ht="15.75" x14ac:dyDescent="0.25">
      <c r="A674" s="23">
        <v>669</v>
      </c>
      <c r="B674" s="6" t="str">
        <f>CADASTROS!$C$419</f>
        <v>Eunice Ferreira de Jesus</v>
      </c>
      <c r="C674" s="159"/>
      <c r="D674" s="159"/>
      <c r="E674" s="159"/>
      <c r="F674" s="159"/>
      <c r="G674" s="159"/>
      <c r="H674" s="159"/>
      <c r="I674" s="7">
        <f t="shared" si="68"/>
        <v>0</v>
      </c>
    </row>
    <row r="675" spans="1:9" ht="15.75" x14ac:dyDescent="0.25">
      <c r="A675" s="23">
        <v>670</v>
      </c>
      <c r="B675" s="6" t="str">
        <f>CADASTROS!$C$420</f>
        <v>Antônio Conceição da Costa</v>
      </c>
      <c r="C675" s="159"/>
      <c r="D675" s="159"/>
      <c r="E675" s="159"/>
      <c r="F675" s="159"/>
      <c r="G675" s="159"/>
      <c r="H675" s="159"/>
      <c r="I675" s="7">
        <f t="shared" si="68"/>
        <v>0</v>
      </c>
    </row>
    <row r="676" spans="1:9" ht="15.75" x14ac:dyDescent="0.25">
      <c r="A676" s="23">
        <v>671</v>
      </c>
      <c r="B676" s="6" t="str">
        <f>CADASTROS!$C$421</f>
        <v>Maria Núbia Fernandes da Silva</v>
      </c>
      <c r="C676" s="159"/>
      <c r="D676" s="159"/>
      <c r="E676" s="159"/>
      <c r="F676" s="159"/>
      <c r="G676" s="159">
        <v>9</v>
      </c>
      <c r="H676" s="159"/>
      <c r="I676" s="7">
        <f t="shared" si="68"/>
        <v>9</v>
      </c>
    </row>
    <row r="677" spans="1:9" ht="15.75" x14ac:dyDescent="0.25">
      <c r="A677" s="23">
        <v>672</v>
      </c>
      <c r="B677" s="6" t="str">
        <f>CADASTROS!$C$422</f>
        <v>Silene F da Silva</v>
      </c>
      <c r="C677" s="159"/>
      <c r="D677" s="159"/>
      <c r="E677" s="159"/>
      <c r="F677" s="159"/>
      <c r="G677" s="159"/>
      <c r="H677" s="159"/>
      <c r="I677" s="7">
        <f t="shared" si="68"/>
        <v>0</v>
      </c>
    </row>
    <row r="678" spans="1:9" ht="15.75" x14ac:dyDescent="0.25">
      <c r="A678" s="23">
        <v>673</v>
      </c>
      <c r="B678" s="6" t="str">
        <f>CADASTROS!$C$423</f>
        <v>Marivalda</v>
      </c>
      <c r="C678" s="159"/>
      <c r="D678" s="159"/>
      <c r="E678" s="159"/>
      <c r="F678" s="159"/>
      <c r="G678" s="159"/>
      <c r="H678" s="159"/>
      <c r="I678" s="7">
        <f t="shared" si="68"/>
        <v>0</v>
      </c>
    </row>
    <row r="679" spans="1:9" ht="15.75" x14ac:dyDescent="0.25">
      <c r="A679" s="23">
        <v>674</v>
      </c>
      <c r="B679" s="6" t="str">
        <f>CADASTROS!$C$424</f>
        <v>Etevaldo B de Oliveira</v>
      </c>
      <c r="C679" s="159"/>
      <c r="D679" s="159"/>
      <c r="E679" s="159"/>
      <c r="F679" s="159"/>
      <c r="G679" s="159"/>
      <c r="H679" s="159"/>
      <c r="I679" s="7">
        <f t="shared" si="68"/>
        <v>0</v>
      </c>
    </row>
    <row r="680" spans="1:9" ht="15.75" x14ac:dyDescent="0.25">
      <c r="B680" s="159" t="s">
        <v>4829</v>
      </c>
      <c r="C680" s="159">
        <f t="shared" ref="C680:H680" si="69">SUM(C653:C679)</f>
        <v>0</v>
      </c>
      <c r="D680" s="159">
        <f t="shared" si="69"/>
        <v>0</v>
      </c>
      <c r="E680" s="159">
        <f t="shared" si="69"/>
        <v>0</v>
      </c>
      <c r="F680" s="159">
        <f t="shared" si="69"/>
        <v>0</v>
      </c>
      <c r="G680" s="159">
        <f t="shared" si="69"/>
        <v>9</v>
      </c>
      <c r="H680" s="159">
        <f t="shared" si="69"/>
        <v>0</v>
      </c>
      <c r="I680" s="7">
        <f>SUM(C680+D680+E680+F680+G680+H680)</f>
        <v>9</v>
      </c>
    </row>
    <row r="682" spans="1:9" ht="15.75" x14ac:dyDescent="0.25">
      <c r="B682" s="8" t="s">
        <v>4830</v>
      </c>
      <c r="C682" s="159"/>
      <c r="D682" s="159"/>
      <c r="E682" s="159"/>
      <c r="F682" s="159"/>
      <c r="G682" s="159"/>
      <c r="H682" s="159"/>
      <c r="I682" s="159">
        <f>SUM(C682:H682)</f>
        <v>0</v>
      </c>
    </row>
    <row r="683" spans="1:9" x14ac:dyDescent="0.25">
      <c r="B683" s="167"/>
    </row>
    <row r="684" spans="1:9" ht="15.75" x14ac:dyDescent="0.25">
      <c r="B684" s="8" t="s">
        <v>4831</v>
      </c>
      <c r="C684" s="9" t="e">
        <f>C680/C682</f>
        <v>#DIV/0!</v>
      </c>
      <c r="D684" s="9" t="e">
        <f t="shared" ref="D684:H684" si="70">D680/D682</f>
        <v>#DIV/0!</v>
      </c>
      <c r="E684" s="9" t="e">
        <f t="shared" si="70"/>
        <v>#DIV/0!</v>
      </c>
      <c r="F684" s="9" t="e">
        <f t="shared" si="70"/>
        <v>#DIV/0!</v>
      </c>
      <c r="G684" s="9" t="e">
        <f t="shared" si="70"/>
        <v>#DIV/0!</v>
      </c>
      <c r="H684" s="9" t="e">
        <f t="shared" si="70"/>
        <v>#DIV/0!</v>
      </c>
      <c r="I684" s="9"/>
    </row>
    <row r="685" spans="1:9" ht="15.75" x14ac:dyDescent="0.25">
      <c r="B685" s="163"/>
      <c r="C685" s="10"/>
      <c r="D685" s="10"/>
      <c r="E685" s="10"/>
      <c r="F685" s="10"/>
      <c r="G685" s="10"/>
      <c r="H685" s="163"/>
      <c r="I685" s="163"/>
    </row>
    <row r="686" spans="1:9" ht="15.75" x14ac:dyDescent="0.25">
      <c r="B686" s="8" t="s">
        <v>4832</v>
      </c>
      <c r="C686" s="159"/>
      <c r="D686" s="159"/>
      <c r="E686" s="6"/>
      <c r="F686" s="6"/>
      <c r="G686" s="6"/>
      <c r="H686" s="6"/>
      <c r="I686" s="11"/>
    </row>
    <row r="689" spans="1:9" ht="21" x14ac:dyDescent="0.35">
      <c r="B689" s="184" t="s">
        <v>4816</v>
      </c>
      <c r="C689" s="185"/>
      <c r="D689" s="185"/>
      <c r="E689" s="185"/>
      <c r="F689" s="185"/>
      <c r="G689" s="185"/>
      <c r="H689" s="185"/>
      <c r="I689" s="186"/>
    </row>
    <row r="690" spans="1:9" x14ac:dyDescent="0.25">
      <c r="I690" s="3"/>
    </row>
    <row r="691" spans="1:9" ht="21" x14ac:dyDescent="0.35">
      <c r="B691" s="192" t="s">
        <v>4817</v>
      </c>
      <c r="C691" s="193"/>
      <c r="D691" s="193"/>
      <c r="E691" s="193"/>
      <c r="F691" s="193"/>
      <c r="G691" s="193"/>
      <c r="H691" s="193"/>
      <c r="I691" s="194"/>
    </row>
    <row r="693" spans="1:9" ht="30" customHeight="1" x14ac:dyDescent="0.25">
      <c r="B693" s="187" t="s">
        <v>4838</v>
      </c>
      <c r="C693" s="188"/>
      <c r="D693" s="188"/>
      <c r="E693" s="188"/>
      <c r="F693" s="188"/>
      <c r="G693" s="188"/>
      <c r="H693" s="188"/>
      <c r="I693" s="189"/>
    </row>
    <row r="694" spans="1:9" ht="30" customHeight="1" x14ac:dyDescent="0.25">
      <c r="A694" s="182" t="s">
        <v>4819</v>
      </c>
      <c r="B694" s="182" t="s">
        <v>4820</v>
      </c>
      <c r="C694" s="4" t="s">
        <v>4821</v>
      </c>
      <c r="D694" s="4" t="s">
        <v>4822</v>
      </c>
      <c r="E694" s="88" t="s">
        <v>4823</v>
      </c>
      <c r="F694" s="88" t="s">
        <v>4824</v>
      </c>
      <c r="G694" s="88" t="s">
        <v>4825</v>
      </c>
      <c r="H694" s="4" t="s">
        <v>4826</v>
      </c>
      <c r="I694" s="29" t="s">
        <v>4827</v>
      </c>
    </row>
    <row r="695" spans="1:9" ht="30" customHeight="1" x14ac:dyDescent="0.25">
      <c r="A695" s="183"/>
      <c r="B695" s="183"/>
      <c r="C695" s="13" t="s">
        <v>4828</v>
      </c>
      <c r="D695" s="13" t="s">
        <v>4828</v>
      </c>
      <c r="E695" s="13" t="s">
        <v>4828</v>
      </c>
      <c r="F695" s="13" t="s">
        <v>4828</v>
      </c>
      <c r="G695" s="13" t="s">
        <v>4828</v>
      </c>
      <c r="H695" s="13" t="s">
        <v>4828</v>
      </c>
      <c r="I695" s="30"/>
    </row>
    <row r="696" spans="1:9" ht="15.75" x14ac:dyDescent="0.25">
      <c r="A696" s="23">
        <v>675</v>
      </c>
      <c r="B696" s="6" t="str">
        <f>CADASTROS!$C$425</f>
        <v>Lindinalva Oliveira Souza</v>
      </c>
      <c r="C696" s="159"/>
      <c r="D696" s="159"/>
      <c r="E696" s="159"/>
      <c r="F696" s="159"/>
      <c r="G696" s="159"/>
      <c r="H696" s="159"/>
      <c r="I696" s="7">
        <f>SUM(C696+D696+E696+F696+G696+H696)</f>
        <v>0</v>
      </c>
    </row>
    <row r="697" spans="1:9" ht="15.75" x14ac:dyDescent="0.25">
      <c r="A697" s="23">
        <v>676</v>
      </c>
      <c r="B697" s="6" t="str">
        <f>CADASTROS!$C$426</f>
        <v>Santa Maria de Morais</v>
      </c>
      <c r="C697" s="159"/>
      <c r="D697" s="159"/>
      <c r="E697" s="159"/>
      <c r="F697" s="159"/>
      <c r="G697" s="159"/>
      <c r="H697" s="159"/>
      <c r="I697" s="7">
        <f t="shared" ref="I697:I722" si="71">SUM(C697+D697+E697+F697+G697+H697)</f>
        <v>0</v>
      </c>
    </row>
    <row r="698" spans="1:9" ht="15.75" x14ac:dyDescent="0.25">
      <c r="A698" s="23">
        <v>677</v>
      </c>
      <c r="B698" s="6" t="str">
        <f>CADASTROS!$C$427</f>
        <v>Edva Reis dos Santos</v>
      </c>
      <c r="C698" s="159"/>
      <c r="D698" s="159"/>
      <c r="E698" s="159"/>
      <c r="F698" s="159"/>
      <c r="G698" s="159"/>
      <c r="H698" s="159"/>
      <c r="I698" s="7">
        <f t="shared" si="71"/>
        <v>0</v>
      </c>
    </row>
    <row r="699" spans="1:9" ht="15.75" x14ac:dyDescent="0.25">
      <c r="A699" s="23">
        <v>678</v>
      </c>
      <c r="B699" s="6" t="str">
        <f>CADASTROS!$C$428</f>
        <v>Paulo Ferreira dos Santos</v>
      </c>
      <c r="C699" s="159"/>
      <c r="D699" s="159"/>
      <c r="E699" s="159"/>
      <c r="F699" s="159"/>
      <c r="G699" s="159"/>
      <c r="H699" s="159"/>
      <c r="I699" s="7">
        <f t="shared" si="71"/>
        <v>0</v>
      </c>
    </row>
    <row r="700" spans="1:9" ht="15.75" x14ac:dyDescent="0.25">
      <c r="A700" s="23">
        <v>679</v>
      </c>
      <c r="B700" s="6" t="str">
        <f>CADASTROS!$C$429</f>
        <v>Luzineide Pires de Souza</v>
      </c>
      <c r="C700" s="159"/>
      <c r="D700" s="159"/>
      <c r="E700" s="159"/>
      <c r="F700" s="159"/>
      <c r="G700" s="159"/>
      <c r="H700" s="159"/>
      <c r="I700" s="7">
        <f t="shared" si="71"/>
        <v>0</v>
      </c>
    </row>
    <row r="701" spans="1:9" ht="15.75" x14ac:dyDescent="0.25">
      <c r="A701" s="23">
        <v>680</v>
      </c>
      <c r="B701" s="6" t="str">
        <f>CADASTROS!$C$430</f>
        <v>Aline Damasceno Silva</v>
      </c>
      <c r="C701" s="159"/>
      <c r="D701" s="159"/>
      <c r="E701" s="159"/>
      <c r="F701" s="159"/>
      <c r="G701" s="159"/>
      <c r="H701" s="159"/>
      <c r="I701" s="7">
        <f t="shared" si="71"/>
        <v>0</v>
      </c>
    </row>
    <row r="702" spans="1:9" ht="15.75" x14ac:dyDescent="0.25">
      <c r="A702" s="23">
        <v>681</v>
      </c>
      <c r="B702" s="6" t="str">
        <f>CADASTROS!$C$431</f>
        <v>Jocelma Costa dos Santos</v>
      </c>
      <c r="C702" s="159"/>
      <c r="D702" s="159"/>
      <c r="E702" s="159"/>
      <c r="F702" s="159"/>
      <c r="G702" s="159"/>
      <c r="H702" s="159"/>
      <c r="I702" s="7">
        <f t="shared" si="71"/>
        <v>0</v>
      </c>
    </row>
    <row r="703" spans="1:9" ht="15.75" x14ac:dyDescent="0.25">
      <c r="A703" s="23">
        <v>682</v>
      </c>
      <c r="B703" s="6" t="str">
        <f>CADASTROS!$C$432</f>
        <v>Maria José R Oliveira</v>
      </c>
      <c r="C703" s="159"/>
      <c r="D703" s="159"/>
      <c r="E703" s="159"/>
      <c r="F703" s="159"/>
      <c r="G703" s="159"/>
      <c r="H703" s="159"/>
      <c r="I703" s="7">
        <f t="shared" si="71"/>
        <v>0</v>
      </c>
    </row>
    <row r="704" spans="1:9" ht="15.75" x14ac:dyDescent="0.25">
      <c r="A704" s="23">
        <v>683</v>
      </c>
      <c r="B704" s="6" t="str">
        <f>CADASTROS!$C$433</f>
        <v>Maria da Conceição Silva</v>
      </c>
      <c r="C704" s="159"/>
      <c r="D704" s="159"/>
      <c r="E704" s="159"/>
      <c r="F704" s="159"/>
      <c r="G704" s="159"/>
      <c r="H704" s="159"/>
      <c r="I704" s="7">
        <f t="shared" si="71"/>
        <v>0</v>
      </c>
    </row>
    <row r="705" spans="1:9" ht="15.75" x14ac:dyDescent="0.25">
      <c r="A705" s="23">
        <v>684</v>
      </c>
      <c r="B705" s="6" t="str">
        <f>CADASTROS!$C$434</f>
        <v>Samar Bonifácio de Souza</v>
      </c>
      <c r="C705" s="159"/>
      <c r="D705" s="159"/>
      <c r="E705" s="159"/>
      <c r="F705" s="159"/>
      <c r="G705" s="159"/>
      <c r="H705" s="159"/>
      <c r="I705" s="7">
        <f t="shared" si="71"/>
        <v>0</v>
      </c>
    </row>
    <row r="706" spans="1:9" ht="15.75" x14ac:dyDescent="0.25">
      <c r="A706" s="23">
        <v>685</v>
      </c>
      <c r="B706" s="6" t="str">
        <f>CADASTROS!$C$435</f>
        <v>Ednalva Moreira da Silva</v>
      </c>
      <c r="C706" s="159"/>
      <c r="D706" s="159"/>
      <c r="E706" s="159"/>
      <c r="F706" s="159"/>
      <c r="G706" s="159"/>
      <c r="H706" s="159"/>
      <c r="I706" s="7">
        <f t="shared" si="71"/>
        <v>0</v>
      </c>
    </row>
    <row r="707" spans="1:9" ht="15.75" x14ac:dyDescent="0.25">
      <c r="A707" s="23">
        <v>686</v>
      </c>
      <c r="B707" s="6" t="str">
        <f>CADASTROS!$C$436</f>
        <v>Alexandra Mariano Lima</v>
      </c>
      <c r="C707" s="159"/>
      <c r="D707" s="159"/>
      <c r="E707" s="159"/>
      <c r="F707" s="159"/>
      <c r="G707" s="159"/>
      <c r="H707" s="159"/>
      <c r="I707" s="7">
        <f t="shared" si="71"/>
        <v>0</v>
      </c>
    </row>
    <row r="708" spans="1:9" ht="15.75" x14ac:dyDescent="0.25">
      <c r="A708" s="23">
        <v>687</v>
      </c>
      <c r="B708" s="6" t="str">
        <f>CADASTROS!$C$437</f>
        <v>Ednéia Moreira dos Santos</v>
      </c>
      <c r="C708" s="159"/>
      <c r="D708" s="159"/>
      <c r="E708" s="159"/>
      <c r="F708" s="159"/>
      <c r="G708" s="159"/>
      <c r="H708" s="159"/>
      <c r="I708" s="7">
        <f t="shared" si="71"/>
        <v>0</v>
      </c>
    </row>
    <row r="709" spans="1:9" ht="15.75" x14ac:dyDescent="0.25">
      <c r="A709" s="23">
        <v>688</v>
      </c>
      <c r="B709" s="6" t="str">
        <f>CADASTROS!$C$438</f>
        <v>Márcia Pinto Santana</v>
      </c>
      <c r="C709" s="159"/>
      <c r="D709" s="159"/>
      <c r="E709" s="159"/>
      <c r="F709" s="159"/>
      <c r="G709" s="159"/>
      <c r="H709" s="159"/>
      <c r="I709" s="7">
        <f t="shared" si="71"/>
        <v>0</v>
      </c>
    </row>
    <row r="710" spans="1:9" ht="15.75" x14ac:dyDescent="0.25">
      <c r="A710" s="23">
        <v>689</v>
      </c>
      <c r="B710" s="6" t="str">
        <f>CADASTROS!$C$439</f>
        <v>Reginaldo S Gonçalves</v>
      </c>
      <c r="C710" s="159"/>
      <c r="D710" s="159"/>
      <c r="E710" s="159"/>
      <c r="F710" s="159"/>
      <c r="G710" s="159"/>
      <c r="H710" s="159"/>
      <c r="I710" s="7">
        <f t="shared" si="71"/>
        <v>0</v>
      </c>
    </row>
    <row r="711" spans="1:9" ht="15.75" x14ac:dyDescent="0.25">
      <c r="A711" s="23">
        <v>690</v>
      </c>
      <c r="B711" s="6" t="str">
        <f>CADASTROS!$C$440</f>
        <v>Anacelia A dos Santos</v>
      </c>
      <c r="C711" s="159"/>
      <c r="D711" s="159"/>
      <c r="E711" s="159"/>
      <c r="F711" s="159"/>
      <c r="G711" s="159"/>
      <c r="H711" s="159"/>
      <c r="I711" s="7">
        <f t="shared" si="71"/>
        <v>0</v>
      </c>
    </row>
    <row r="712" spans="1:9" ht="15.75" x14ac:dyDescent="0.25">
      <c r="A712" s="23">
        <v>691</v>
      </c>
      <c r="B712" s="6" t="str">
        <f>CADASTROS!$C$441</f>
        <v>Elizangela Amaral</v>
      </c>
      <c r="C712" s="159"/>
      <c r="D712" s="159"/>
      <c r="E712" s="159"/>
      <c r="F712" s="159"/>
      <c r="G712" s="159"/>
      <c r="H712" s="159"/>
      <c r="I712" s="7">
        <f t="shared" si="71"/>
        <v>0</v>
      </c>
    </row>
    <row r="713" spans="1:9" ht="15.75" x14ac:dyDescent="0.25">
      <c r="A713" s="23">
        <v>697</v>
      </c>
      <c r="B713" s="6" t="str">
        <f>CADASTROS!$C$442</f>
        <v>Adailza Oliveira Viana</v>
      </c>
      <c r="C713" s="159"/>
      <c r="D713" s="159"/>
      <c r="E713" s="159"/>
      <c r="F713" s="159"/>
      <c r="G713" s="159"/>
      <c r="H713" s="159"/>
      <c r="I713" s="7">
        <f t="shared" si="71"/>
        <v>0</v>
      </c>
    </row>
    <row r="714" spans="1:9" ht="15.75" x14ac:dyDescent="0.25">
      <c r="A714" s="23">
        <v>698</v>
      </c>
      <c r="B714" s="6" t="str">
        <f>CADASTROS!$C$443</f>
        <v>Zilda Santos Gonçalves</v>
      </c>
      <c r="C714" s="159"/>
      <c r="D714" s="159"/>
      <c r="E714" s="159"/>
      <c r="F714" s="159"/>
      <c r="G714" s="159"/>
      <c r="H714" s="159"/>
      <c r="I714" s="7">
        <f t="shared" si="71"/>
        <v>0</v>
      </c>
    </row>
    <row r="715" spans="1:9" ht="15.75" x14ac:dyDescent="0.25">
      <c r="A715" s="23">
        <v>699</v>
      </c>
      <c r="B715" s="6" t="str">
        <f>CADASTROS!$C$444</f>
        <v>Sandra Santos Gonçalves</v>
      </c>
      <c r="C715" s="159"/>
      <c r="D715" s="159"/>
      <c r="E715" s="159"/>
      <c r="F715" s="159"/>
      <c r="G715" s="159"/>
      <c r="H715" s="159"/>
      <c r="I715" s="7">
        <f t="shared" si="71"/>
        <v>0</v>
      </c>
    </row>
    <row r="716" spans="1:9" ht="15.75" x14ac:dyDescent="0.25">
      <c r="A716" s="23">
        <v>704</v>
      </c>
      <c r="B716" s="6" t="str">
        <f>CADASTROS!$C$445</f>
        <v>Damião Teles de Souza</v>
      </c>
      <c r="C716" s="159"/>
      <c r="D716" s="159"/>
      <c r="E716" s="159"/>
      <c r="F716" s="159"/>
      <c r="G716" s="159"/>
      <c r="H716" s="159"/>
      <c r="I716" s="7">
        <f t="shared" si="71"/>
        <v>0</v>
      </c>
    </row>
    <row r="717" spans="1:9" ht="15.75" x14ac:dyDescent="0.25">
      <c r="A717" s="23">
        <v>705</v>
      </c>
      <c r="B717" s="6" t="str">
        <f>CADASTROS!$C$446</f>
        <v>Vanderlei P de Souza</v>
      </c>
      <c r="C717" s="159"/>
      <c r="D717" s="159"/>
      <c r="E717" s="159"/>
      <c r="F717" s="159"/>
      <c r="G717" s="159"/>
      <c r="H717" s="159"/>
      <c r="I717" s="7">
        <f t="shared" si="71"/>
        <v>0</v>
      </c>
    </row>
    <row r="718" spans="1:9" ht="15.75" x14ac:dyDescent="0.25">
      <c r="A718" s="23">
        <v>706</v>
      </c>
      <c r="B718" s="6" t="str">
        <f>CADASTROS!$C$447</f>
        <v>Gisélia A. Barros</v>
      </c>
      <c r="C718" s="159"/>
      <c r="D718" s="159"/>
      <c r="E718" s="159"/>
      <c r="F718" s="159"/>
      <c r="G718" s="159"/>
      <c r="H718" s="159"/>
      <c r="I718" s="7">
        <f t="shared" si="71"/>
        <v>0</v>
      </c>
    </row>
    <row r="719" spans="1:9" ht="15.75" x14ac:dyDescent="0.25">
      <c r="A719" s="23">
        <v>707</v>
      </c>
      <c r="B719" s="6" t="str">
        <f>CADASTROS!$C$448</f>
        <v>Juliana S Santos</v>
      </c>
      <c r="C719" s="159"/>
      <c r="D719" s="159"/>
      <c r="E719" s="159"/>
      <c r="F719" s="159"/>
      <c r="G719" s="159"/>
      <c r="H719" s="159"/>
      <c r="I719" s="7">
        <f t="shared" si="71"/>
        <v>0</v>
      </c>
    </row>
    <row r="720" spans="1:9" ht="15.75" x14ac:dyDescent="0.25">
      <c r="A720" s="23">
        <v>708</v>
      </c>
      <c r="B720" s="6" t="str">
        <f>CADASTROS!$C$449</f>
        <v>Arão Pinheiro de Barros</v>
      </c>
      <c r="C720" s="159"/>
      <c r="D720" s="159"/>
      <c r="E720" s="159"/>
      <c r="F720" s="159"/>
      <c r="G720" s="159"/>
      <c r="H720" s="159"/>
      <c r="I720" s="7">
        <f t="shared" si="71"/>
        <v>0</v>
      </c>
    </row>
    <row r="721" spans="1:9" ht="15.75" x14ac:dyDescent="0.25">
      <c r="A721" s="23">
        <v>709</v>
      </c>
      <c r="B721" s="6" t="str">
        <f>CADASTROS!$C$450</f>
        <v>Jandirleide Maria da Silva</v>
      </c>
      <c r="C721" s="159"/>
      <c r="D721" s="159"/>
      <c r="E721" s="159"/>
      <c r="F721" s="159"/>
      <c r="G721" s="159"/>
      <c r="H721" s="159"/>
      <c r="I721" s="7">
        <f t="shared" si="71"/>
        <v>0</v>
      </c>
    </row>
    <row r="722" spans="1:9" ht="15.75" x14ac:dyDescent="0.25">
      <c r="A722" s="23">
        <v>710</v>
      </c>
      <c r="B722" s="6" t="str">
        <f>CADASTROS!$C$451</f>
        <v>Manoel João dos Santos</v>
      </c>
      <c r="C722" s="159"/>
      <c r="D722" s="159"/>
      <c r="E722" s="159"/>
      <c r="F722" s="159"/>
      <c r="G722" s="159"/>
      <c r="H722" s="159"/>
      <c r="I722" s="7">
        <f t="shared" si="71"/>
        <v>0</v>
      </c>
    </row>
    <row r="723" spans="1:9" ht="15.75" x14ac:dyDescent="0.25">
      <c r="B723" s="159" t="s">
        <v>4829</v>
      </c>
      <c r="C723" s="159">
        <f>SUM(C696:C722)</f>
        <v>0</v>
      </c>
      <c r="D723" s="159">
        <f t="shared" ref="D723:H723" si="72">SUM(D696:D722)</f>
        <v>0</v>
      </c>
      <c r="E723" s="159">
        <f t="shared" si="72"/>
        <v>0</v>
      </c>
      <c r="F723" s="159">
        <f>SUM(F696:F722)</f>
        <v>0</v>
      </c>
      <c r="G723" s="159">
        <f t="shared" si="72"/>
        <v>0</v>
      </c>
      <c r="H723" s="159">
        <f t="shared" si="72"/>
        <v>0</v>
      </c>
      <c r="I723" s="159">
        <f>SUM(I696:I722)</f>
        <v>0</v>
      </c>
    </row>
    <row r="725" spans="1:9" ht="15.75" x14ac:dyDescent="0.25">
      <c r="B725" s="8" t="s">
        <v>4830</v>
      </c>
      <c r="C725" s="159"/>
      <c r="D725" s="159"/>
      <c r="E725" s="159"/>
      <c r="F725" s="159"/>
      <c r="G725" s="159"/>
      <c r="H725" s="159"/>
      <c r="I725" s="159">
        <f>SUM(C725:H725)</f>
        <v>0</v>
      </c>
    </row>
    <row r="726" spans="1:9" x14ac:dyDescent="0.25">
      <c r="B726" s="167"/>
    </row>
    <row r="727" spans="1:9" ht="15.75" x14ac:dyDescent="0.25">
      <c r="B727" s="8" t="s">
        <v>4831</v>
      </c>
      <c r="C727" s="9" t="e">
        <f>C723/C725</f>
        <v>#DIV/0!</v>
      </c>
      <c r="D727" s="9" t="e">
        <f t="shared" ref="D727:H727" si="73">D723/D725</f>
        <v>#DIV/0!</v>
      </c>
      <c r="E727" s="9" t="e">
        <f t="shared" si="73"/>
        <v>#DIV/0!</v>
      </c>
      <c r="F727" s="9" t="e">
        <f t="shared" si="73"/>
        <v>#DIV/0!</v>
      </c>
      <c r="G727" s="9" t="e">
        <f t="shared" si="73"/>
        <v>#DIV/0!</v>
      </c>
      <c r="H727" s="9" t="e">
        <f t="shared" si="73"/>
        <v>#DIV/0!</v>
      </c>
      <c r="I727" s="9"/>
    </row>
    <row r="728" spans="1:9" ht="15.75" x14ac:dyDescent="0.25">
      <c r="B728" s="163"/>
      <c r="C728" s="10"/>
      <c r="D728" s="10"/>
      <c r="E728" s="10"/>
      <c r="F728" s="10"/>
      <c r="G728" s="10"/>
      <c r="H728" s="163"/>
      <c r="I728" s="163"/>
    </row>
    <row r="729" spans="1:9" ht="15.75" x14ac:dyDescent="0.25">
      <c r="B729" s="8" t="s">
        <v>4832</v>
      </c>
      <c r="C729" s="159"/>
      <c r="D729" s="159"/>
      <c r="E729" s="6"/>
      <c r="F729" s="6"/>
      <c r="G729" s="6"/>
      <c r="H729" s="6"/>
      <c r="I729" s="11"/>
    </row>
    <row r="730" spans="1:9" ht="15.75" x14ac:dyDescent="0.25">
      <c r="B730" s="28"/>
      <c r="C730" s="28"/>
      <c r="D730" s="28"/>
      <c r="E730" s="11"/>
      <c r="F730" s="11"/>
      <c r="G730" s="11"/>
      <c r="H730" s="11"/>
      <c r="I730" s="11"/>
    </row>
    <row r="732" spans="1:9" ht="21" x14ac:dyDescent="0.35">
      <c r="B732" s="184" t="s">
        <v>4816</v>
      </c>
      <c r="C732" s="185"/>
      <c r="D732" s="185"/>
      <c r="E732" s="185"/>
      <c r="F732" s="185"/>
      <c r="G732" s="185"/>
      <c r="H732" s="185"/>
      <c r="I732" s="186"/>
    </row>
    <row r="733" spans="1:9" x14ac:dyDescent="0.25">
      <c r="I733" s="3"/>
    </row>
    <row r="734" spans="1:9" ht="21" x14ac:dyDescent="0.35">
      <c r="B734" s="192" t="s">
        <v>4817</v>
      </c>
      <c r="C734" s="193"/>
      <c r="D734" s="193"/>
      <c r="E734" s="193"/>
      <c r="F734" s="193"/>
      <c r="G734" s="193"/>
      <c r="H734" s="193"/>
      <c r="I734" s="194"/>
    </row>
    <row r="736" spans="1:9" ht="33.75" x14ac:dyDescent="0.25">
      <c r="B736" s="187" t="s">
        <v>4838</v>
      </c>
      <c r="C736" s="188"/>
      <c r="D736" s="188"/>
      <c r="E736" s="188"/>
      <c r="F736" s="188"/>
      <c r="G736" s="188"/>
      <c r="H736" s="188"/>
      <c r="I736" s="189"/>
    </row>
    <row r="737" spans="1:9" ht="30" customHeight="1" x14ac:dyDescent="0.25">
      <c r="A737" s="182" t="s">
        <v>4819</v>
      </c>
      <c r="B737" s="182" t="s">
        <v>4820</v>
      </c>
      <c r="C737" s="4" t="s">
        <v>4821</v>
      </c>
      <c r="D737" s="4" t="s">
        <v>4822</v>
      </c>
      <c r="E737" s="88" t="s">
        <v>4823</v>
      </c>
      <c r="F737" s="88" t="s">
        <v>4824</v>
      </c>
      <c r="G737" s="88" t="s">
        <v>4825</v>
      </c>
      <c r="H737" s="4" t="s">
        <v>4826</v>
      </c>
      <c r="I737" s="29" t="s">
        <v>4827</v>
      </c>
    </row>
    <row r="738" spans="1:9" ht="30" customHeight="1" x14ac:dyDescent="0.25">
      <c r="A738" s="183"/>
      <c r="B738" s="183"/>
      <c r="C738" s="13" t="s">
        <v>4828</v>
      </c>
      <c r="D738" s="13" t="s">
        <v>4828</v>
      </c>
      <c r="E738" s="13" t="s">
        <v>4828</v>
      </c>
      <c r="F738" s="13" t="s">
        <v>4828</v>
      </c>
      <c r="G738" s="13" t="s">
        <v>4828</v>
      </c>
      <c r="H738" s="13" t="s">
        <v>4828</v>
      </c>
      <c r="I738" s="30"/>
    </row>
    <row r="739" spans="1:9" ht="15.75" x14ac:dyDescent="0.25">
      <c r="A739" s="23">
        <v>711</v>
      </c>
      <c r="B739" s="6" t="str">
        <f>CADASTROS!$C$452</f>
        <v>João de Jesus Santos</v>
      </c>
      <c r="C739" s="159"/>
      <c r="D739" s="159"/>
      <c r="E739" s="159"/>
      <c r="F739" s="159"/>
      <c r="G739" s="159"/>
      <c r="H739" s="159"/>
      <c r="I739" s="7">
        <f>SUM(C739+D739+E739+F739+G739+H739)</f>
        <v>0</v>
      </c>
    </row>
    <row r="740" spans="1:9" ht="15.75" x14ac:dyDescent="0.25">
      <c r="A740" s="23">
        <v>712</v>
      </c>
      <c r="B740" s="6" t="str">
        <f>CADASTROS!$C$453</f>
        <v>Luana Marques da Silva</v>
      </c>
      <c r="C740" s="159"/>
      <c r="D740" s="159"/>
      <c r="E740" s="159"/>
      <c r="F740" s="159"/>
      <c r="G740" s="159"/>
      <c r="H740" s="159"/>
      <c r="I740" s="7">
        <f t="shared" ref="I740" si="74">SUM(C740+D740+E740+F740+G740+H740)</f>
        <v>0</v>
      </c>
    </row>
    <row r="741" spans="1:9" ht="15.75" x14ac:dyDescent="0.25">
      <c r="A741" s="23">
        <v>713</v>
      </c>
      <c r="B741" s="6" t="str">
        <f>CADASTROS!$C$454</f>
        <v>Mailton de Jesus Silva</v>
      </c>
      <c r="C741" s="159"/>
      <c r="D741" s="159"/>
      <c r="E741" s="159"/>
      <c r="F741" s="159"/>
      <c r="G741" s="159"/>
      <c r="H741" s="159"/>
      <c r="I741" s="7">
        <f>SUM(C741+D741+E741+F741+G741+H741)</f>
        <v>0</v>
      </c>
    </row>
    <row r="742" spans="1:9" ht="15.75" x14ac:dyDescent="0.25">
      <c r="A742" s="23">
        <v>714</v>
      </c>
      <c r="B742" s="6" t="str">
        <f>CADASTROS!$C$455</f>
        <v>Joelma Pereira Amaral</v>
      </c>
      <c r="C742" s="159"/>
      <c r="D742" s="159"/>
      <c r="E742" s="159"/>
      <c r="F742" s="159"/>
      <c r="G742" s="159"/>
      <c r="H742" s="159"/>
      <c r="I742" s="7">
        <f>SUM(C742+D742+E742+F742+G742+H742)</f>
        <v>0</v>
      </c>
    </row>
    <row r="743" spans="1:9" ht="15.75" x14ac:dyDescent="0.25">
      <c r="A743" s="23">
        <v>715</v>
      </c>
      <c r="B743" s="6" t="str">
        <f>CADASTROS!$C$456</f>
        <v>Edneide Oliveira Santos</v>
      </c>
      <c r="C743" s="159"/>
      <c r="D743" s="159"/>
      <c r="E743" s="159"/>
      <c r="F743" s="159"/>
      <c r="G743" s="159"/>
      <c r="H743" s="159"/>
      <c r="I743" s="7">
        <f t="shared" ref="I743:I765" si="75">SUM(C743+D743+E743+F743+G743+H743)</f>
        <v>0</v>
      </c>
    </row>
    <row r="744" spans="1:9" ht="15.75" x14ac:dyDescent="0.25">
      <c r="A744" s="23">
        <v>716</v>
      </c>
      <c r="B744" s="6" t="str">
        <f>CADASTROS!$C$457</f>
        <v>Jessica Lima Barros</v>
      </c>
      <c r="C744" s="159"/>
      <c r="D744" s="159"/>
      <c r="E744" s="159"/>
      <c r="F744" s="159"/>
      <c r="G744" s="159"/>
      <c r="H744" s="159"/>
      <c r="I744" s="7">
        <f t="shared" si="75"/>
        <v>0</v>
      </c>
    </row>
    <row r="745" spans="1:9" ht="15.75" x14ac:dyDescent="0.25">
      <c r="A745" s="23">
        <v>717</v>
      </c>
      <c r="B745" s="6" t="str">
        <f>CADASTROS!$C$458</f>
        <v>Antônio Carlos Almeida</v>
      </c>
      <c r="C745" s="159"/>
      <c r="D745" s="159"/>
      <c r="E745" s="159"/>
      <c r="F745" s="159"/>
      <c r="G745" s="159"/>
      <c r="H745" s="159"/>
      <c r="I745" s="7">
        <f t="shared" si="75"/>
        <v>0</v>
      </c>
    </row>
    <row r="746" spans="1:9" ht="15.75" x14ac:dyDescent="0.25">
      <c r="A746" s="23">
        <v>720</v>
      </c>
      <c r="B746" s="6" t="str">
        <f>CADASTROS!$C$459</f>
        <v>Iara Alves de Miranda</v>
      </c>
      <c r="C746" s="159"/>
      <c r="D746" s="159"/>
      <c r="E746" s="159"/>
      <c r="F746" s="159"/>
      <c r="G746" s="159"/>
      <c r="H746" s="159"/>
      <c r="I746" s="7">
        <f t="shared" si="75"/>
        <v>0</v>
      </c>
    </row>
    <row r="747" spans="1:9" ht="15.75" x14ac:dyDescent="0.25">
      <c r="A747" s="23">
        <v>721</v>
      </c>
      <c r="B747" s="6" t="str">
        <f>CADASTROS!$C$460</f>
        <v>Antônio José Evangelista Sampaio</v>
      </c>
      <c r="C747" s="159"/>
      <c r="D747" s="159"/>
      <c r="E747" s="159"/>
      <c r="F747" s="159"/>
      <c r="G747" s="159"/>
      <c r="H747" s="159"/>
      <c r="I747" s="7">
        <f t="shared" si="75"/>
        <v>0</v>
      </c>
    </row>
    <row r="748" spans="1:9" ht="15.75" x14ac:dyDescent="0.25">
      <c r="A748" s="23">
        <v>722</v>
      </c>
      <c r="B748" s="6" t="str">
        <f>CADASTROS!$C$461</f>
        <v>Rozana Santana de Assunção</v>
      </c>
      <c r="C748" s="159"/>
      <c r="D748" s="159"/>
      <c r="E748" s="159"/>
      <c r="F748" s="159"/>
      <c r="G748" s="159"/>
      <c r="H748" s="159"/>
      <c r="I748" s="7">
        <f t="shared" si="75"/>
        <v>0</v>
      </c>
    </row>
    <row r="749" spans="1:9" ht="15.75" x14ac:dyDescent="0.25">
      <c r="A749" s="23">
        <v>723</v>
      </c>
      <c r="B749" s="6" t="str">
        <f>CADASTROS!$C$462</f>
        <v>Olivia dos Anjos Oliveira</v>
      </c>
      <c r="C749" s="159"/>
      <c r="D749" s="159"/>
      <c r="E749" s="159"/>
      <c r="F749" s="159"/>
      <c r="G749" s="159"/>
      <c r="H749" s="159"/>
      <c r="I749" s="7">
        <f t="shared" si="75"/>
        <v>0</v>
      </c>
    </row>
    <row r="750" spans="1:9" ht="15.75" x14ac:dyDescent="0.25">
      <c r="A750" s="23">
        <v>724</v>
      </c>
      <c r="B750" s="6" t="str">
        <f>CADASTROS!$C$463</f>
        <v>Alfredo Oliveira Matos</v>
      </c>
      <c r="C750" s="159"/>
      <c r="D750" s="159"/>
      <c r="E750" s="159"/>
      <c r="F750" s="159"/>
      <c r="G750" s="159"/>
      <c r="H750" s="159"/>
      <c r="I750" s="7">
        <f t="shared" si="75"/>
        <v>0</v>
      </c>
    </row>
    <row r="751" spans="1:9" ht="15.75" x14ac:dyDescent="0.25">
      <c r="A751" s="23">
        <v>725</v>
      </c>
      <c r="B751" s="6" t="str">
        <f>CADASTROS!$C$464</f>
        <v>Marco Antônio José dos Santos</v>
      </c>
      <c r="C751" s="159"/>
      <c r="D751" s="159"/>
      <c r="E751" s="159"/>
      <c r="F751" s="159"/>
      <c r="G751" s="159"/>
      <c r="H751" s="159"/>
      <c r="I751" s="7">
        <f t="shared" si="75"/>
        <v>0</v>
      </c>
    </row>
    <row r="752" spans="1:9" ht="15.75" x14ac:dyDescent="0.25">
      <c r="A752" s="23">
        <v>726</v>
      </c>
      <c r="B752" s="6" t="str">
        <f>CADASTROS!$C$465</f>
        <v>Josemar José dos Santos</v>
      </c>
      <c r="C752" s="159"/>
      <c r="D752" s="159"/>
      <c r="E752" s="159"/>
      <c r="F752" s="159"/>
      <c r="G752" s="159"/>
      <c r="H752" s="159"/>
      <c r="I752" s="7">
        <f t="shared" si="75"/>
        <v>0</v>
      </c>
    </row>
    <row r="753" spans="1:9" ht="15.75" x14ac:dyDescent="0.25">
      <c r="A753" s="23">
        <v>727</v>
      </c>
      <c r="B753" s="6" t="str">
        <f>CADASTROS!$C$466</f>
        <v>Eutácio Silva de Oliveira</v>
      </c>
      <c r="C753" s="159"/>
      <c r="D753" s="159"/>
      <c r="E753" s="159"/>
      <c r="F753" s="159"/>
      <c r="G753" s="159"/>
      <c r="H753" s="159"/>
      <c r="I753" s="7">
        <f t="shared" si="75"/>
        <v>0</v>
      </c>
    </row>
    <row r="754" spans="1:9" ht="15.75" x14ac:dyDescent="0.25">
      <c r="A754" s="23">
        <v>728</v>
      </c>
      <c r="B754" s="6" t="str">
        <f>CADASTROS!$C$467</f>
        <v>Tainá Rosa de Souza</v>
      </c>
      <c r="C754" s="159"/>
      <c r="D754" s="159"/>
      <c r="E754" s="159"/>
      <c r="F754" s="159"/>
      <c r="G754" s="159"/>
      <c r="H754" s="159"/>
      <c r="I754" s="7">
        <f t="shared" si="75"/>
        <v>0</v>
      </c>
    </row>
    <row r="755" spans="1:9" ht="15.75" x14ac:dyDescent="0.25">
      <c r="A755" s="23">
        <v>729</v>
      </c>
      <c r="B755" s="6" t="str">
        <f>CADASTROS!$C$468</f>
        <v>Ivanilton Soares da Silva</v>
      </c>
      <c r="C755" s="159"/>
      <c r="D755" s="159"/>
      <c r="E755" s="159"/>
      <c r="F755" s="159"/>
      <c r="G755" s="159"/>
      <c r="H755" s="159"/>
      <c r="I755" s="7">
        <f t="shared" si="75"/>
        <v>0</v>
      </c>
    </row>
    <row r="756" spans="1:9" ht="15.75" x14ac:dyDescent="0.25">
      <c r="A756" s="23">
        <v>730</v>
      </c>
      <c r="B756" s="6" t="str">
        <f>CADASTROS!$C$469</f>
        <v>Maria Miranda dos Santos</v>
      </c>
      <c r="C756" s="159"/>
      <c r="D756" s="159"/>
      <c r="E756" s="159"/>
      <c r="F756" s="159"/>
      <c r="G756" s="159"/>
      <c r="H756" s="159"/>
      <c r="I756" s="7">
        <f t="shared" si="75"/>
        <v>0</v>
      </c>
    </row>
    <row r="757" spans="1:9" ht="15.75" x14ac:dyDescent="0.25">
      <c r="A757" s="23">
        <v>731</v>
      </c>
      <c r="B757" s="6" t="str">
        <f>CADASTROS!$C$470</f>
        <v>Marleide de Jesus Carvalho</v>
      </c>
      <c r="C757" s="159">
        <v>20.5</v>
      </c>
      <c r="D757" s="159">
        <v>15.5</v>
      </c>
      <c r="E757" s="159">
        <v>16.5</v>
      </c>
      <c r="F757" s="159"/>
      <c r="G757" s="159"/>
      <c r="H757" s="159"/>
      <c r="I757" s="7">
        <f t="shared" si="75"/>
        <v>52.5</v>
      </c>
    </row>
    <row r="758" spans="1:9" ht="15.75" x14ac:dyDescent="0.25">
      <c r="A758" s="23">
        <v>732</v>
      </c>
      <c r="B758" s="6" t="str">
        <f>CADASTROS!$C$471</f>
        <v>Cícero de Oliveira Santos</v>
      </c>
      <c r="C758" s="159"/>
      <c r="D758" s="159"/>
      <c r="E758" s="159"/>
      <c r="F758" s="159"/>
      <c r="G758" s="159"/>
      <c r="H758" s="159"/>
      <c r="I758" s="7">
        <f t="shared" si="75"/>
        <v>0</v>
      </c>
    </row>
    <row r="759" spans="1:9" ht="15.75" x14ac:dyDescent="0.25">
      <c r="A759" s="23">
        <v>733</v>
      </c>
      <c r="B759" s="6" t="str">
        <f>CADASTROS!$C$472</f>
        <v>Flávio Antônio Bezerra de Sá</v>
      </c>
      <c r="C759" s="159"/>
      <c r="D759" s="159"/>
      <c r="E759" s="159"/>
      <c r="F759" s="159"/>
      <c r="G759" s="159"/>
      <c r="H759" s="159"/>
      <c r="I759" s="7">
        <f t="shared" si="75"/>
        <v>0</v>
      </c>
    </row>
    <row r="760" spans="1:9" ht="15.75" x14ac:dyDescent="0.25">
      <c r="A760" s="23">
        <v>734</v>
      </c>
      <c r="B760" s="6" t="str">
        <f>CADASTROS!$C$473</f>
        <v>Célia Pereira dos Santos</v>
      </c>
      <c r="C760" s="159"/>
      <c r="D760" s="159"/>
      <c r="E760" s="159"/>
      <c r="F760" s="159"/>
      <c r="G760" s="159"/>
      <c r="H760" s="159"/>
      <c r="I760" s="7">
        <f t="shared" si="75"/>
        <v>0</v>
      </c>
    </row>
    <row r="761" spans="1:9" ht="15.75" x14ac:dyDescent="0.25">
      <c r="A761" s="23">
        <v>735</v>
      </c>
      <c r="B761" s="6" t="str">
        <f>CADASTROS!$C$474</f>
        <v>Mariazinha de Jesus</v>
      </c>
      <c r="C761" s="159"/>
      <c r="D761" s="159"/>
      <c r="E761" s="159"/>
      <c r="F761" s="159"/>
      <c r="G761" s="159"/>
      <c r="H761" s="159"/>
      <c r="I761" s="7">
        <f t="shared" si="75"/>
        <v>0</v>
      </c>
    </row>
    <row r="762" spans="1:9" ht="15.75" x14ac:dyDescent="0.25">
      <c r="A762" s="23">
        <v>736</v>
      </c>
      <c r="B762" s="6" t="str">
        <f>CADASTROS!$C$475</f>
        <v>Aucicléia de Jesus Silva</v>
      </c>
      <c r="C762" s="159"/>
      <c r="D762" s="159"/>
      <c r="E762" s="159"/>
      <c r="F762" s="159"/>
      <c r="G762" s="159"/>
      <c r="H762" s="159"/>
      <c r="I762" s="7">
        <f t="shared" si="75"/>
        <v>0</v>
      </c>
    </row>
    <row r="763" spans="1:9" ht="15.75" x14ac:dyDescent="0.25">
      <c r="A763" s="23">
        <v>737</v>
      </c>
      <c r="B763" s="6" t="str">
        <f>CADASTROS!$C$476</f>
        <v>Eliene Jesus Souza Pinto</v>
      </c>
      <c r="C763" s="159"/>
      <c r="D763" s="159"/>
      <c r="E763" s="159"/>
      <c r="F763" s="159"/>
      <c r="G763" s="159"/>
      <c r="H763" s="159"/>
      <c r="I763" s="7">
        <f t="shared" si="75"/>
        <v>0</v>
      </c>
    </row>
    <row r="764" spans="1:9" ht="15.75" x14ac:dyDescent="0.25">
      <c r="A764" s="23">
        <v>741</v>
      </c>
      <c r="B764" s="6" t="str">
        <f>CADASTROS!$C$477</f>
        <v>Ilmara Soares de Souza</v>
      </c>
      <c r="C764" s="159"/>
      <c r="D764" s="159"/>
      <c r="E764" s="159"/>
      <c r="F764" s="159"/>
      <c r="G764" s="159"/>
      <c r="H764" s="159"/>
      <c r="I764" s="7">
        <f t="shared" si="75"/>
        <v>0</v>
      </c>
    </row>
    <row r="765" spans="1:9" ht="15.75" x14ac:dyDescent="0.25">
      <c r="A765" s="23">
        <v>742</v>
      </c>
      <c r="B765" s="6" t="str">
        <f>CADASTROS!$C$478</f>
        <v>Joscilene Silva de Oliveira</v>
      </c>
      <c r="C765" s="159"/>
      <c r="D765" s="159"/>
      <c r="E765" s="159"/>
      <c r="F765" s="159"/>
      <c r="G765" s="159"/>
      <c r="H765" s="159"/>
      <c r="I765" s="7">
        <f t="shared" si="75"/>
        <v>0</v>
      </c>
    </row>
    <row r="766" spans="1:9" ht="15.75" x14ac:dyDescent="0.25">
      <c r="B766" s="159" t="s">
        <v>4829</v>
      </c>
      <c r="C766" s="159">
        <f>SUM(C739:C765)</f>
        <v>20.5</v>
      </c>
      <c r="D766" s="159">
        <f t="shared" ref="D766:H766" si="76">SUM(D739:D765)</f>
        <v>15.5</v>
      </c>
      <c r="E766" s="159">
        <f t="shared" si="76"/>
        <v>16.5</v>
      </c>
      <c r="F766" s="159">
        <f t="shared" si="76"/>
        <v>0</v>
      </c>
      <c r="G766" s="159">
        <f t="shared" si="76"/>
        <v>0</v>
      </c>
      <c r="H766" s="159">
        <f t="shared" si="76"/>
        <v>0</v>
      </c>
      <c r="I766" s="159">
        <f>SUM(I739:I765)</f>
        <v>52.5</v>
      </c>
    </row>
    <row r="768" spans="1:9" ht="15.75" x14ac:dyDescent="0.25">
      <c r="B768" s="8" t="s">
        <v>4830</v>
      </c>
      <c r="C768" s="159"/>
      <c r="D768" s="159"/>
      <c r="E768" s="159"/>
      <c r="F768" s="159"/>
      <c r="G768" s="159"/>
      <c r="H768" s="159"/>
      <c r="I768" s="159">
        <f>SUM(C768:H768)</f>
        <v>0</v>
      </c>
    </row>
    <row r="769" spans="1:9" x14ac:dyDescent="0.25">
      <c r="B769" s="167"/>
    </row>
    <row r="770" spans="1:9" ht="15.75" x14ac:dyDescent="0.25">
      <c r="B770" s="8" t="s">
        <v>4831</v>
      </c>
      <c r="C770" s="9" t="e">
        <f>C766/C768</f>
        <v>#DIV/0!</v>
      </c>
      <c r="D770" s="9" t="e">
        <f t="shared" ref="D770:H770" si="77">D766/D768</f>
        <v>#DIV/0!</v>
      </c>
      <c r="E770" s="9" t="e">
        <f t="shared" si="77"/>
        <v>#DIV/0!</v>
      </c>
      <c r="F770" s="9" t="e">
        <f t="shared" si="77"/>
        <v>#DIV/0!</v>
      </c>
      <c r="G770" s="9" t="e">
        <f t="shared" si="77"/>
        <v>#DIV/0!</v>
      </c>
      <c r="H770" s="9" t="e">
        <f t="shared" si="77"/>
        <v>#DIV/0!</v>
      </c>
      <c r="I770" s="9"/>
    </row>
    <row r="771" spans="1:9" ht="15.75" x14ac:dyDescent="0.25">
      <c r="B771" s="163"/>
      <c r="C771" s="10"/>
      <c r="D771" s="10"/>
      <c r="E771" s="10"/>
      <c r="F771" s="10"/>
      <c r="G771" s="10"/>
      <c r="H771" s="163"/>
      <c r="I771" s="163"/>
    </row>
    <row r="772" spans="1:9" ht="15.75" x14ac:dyDescent="0.25">
      <c r="B772" s="8" t="s">
        <v>4832</v>
      </c>
      <c r="C772" s="159"/>
      <c r="D772" s="159"/>
      <c r="E772" s="6"/>
      <c r="F772" s="6"/>
      <c r="G772" s="6"/>
      <c r="H772" s="6"/>
      <c r="I772" s="11"/>
    </row>
    <row r="775" spans="1:9" ht="21" x14ac:dyDescent="0.35">
      <c r="B775" s="184" t="s">
        <v>4816</v>
      </c>
      <c r="C775" s="185"/>
      <c r="D775" s="185"/>
      <c r="E775" s="185"/>
      <c r="F775" s="185"/>
      <c r="G775" s="185"/>
      <c r="H775" s="185"/>
      <c r="I775" s="186"/>
    </row>
    <row r="776" spans="1:9" x14ac:dyDescent="0.25">
      <c r="I776" s="3"/>
    </row>
    <row r="777" spans="1:9" ht="21" x14ac:dyDescent="0.35">
      <c r="B777" s="192" t="s">
        <v>4817</v>
      </c>
      <c r="C777" s="193"/>
      <c r="D777" s="193"/>
      <c r="E777" s="193"/>
      <c r="F777" s="193"/>
      <c r="G777" s="193"/>
      <c r="H777" s="193"/>
      <c r="I777" s="194"/>
    </row>
    <row r="779" spans="1:9" ht="33.75" x14ac:dyDescent="0.25">
      <c r="B779" s="187" t="s">
        <v>4839</v>
      </c>
      <c r="C779" s="188"/>
      <c r="D779" s="188"/>
      <c r="E779" s="188"/>
      <c r="F779" s="188"/>
      <c r="G779" s="188"/>
      <c r="H779" s="188"/>
      <c r="I779" s="189"/>
    </row>
    <row r="780" spans="1:9" ht="47.25" x14ac:dyDescent="0.25">
      <c r="A780" s="182" t="s">
        <v>4819</v>
      </c>
      <c r="B780" s="155" t="s">
        <v>4820</v>
      </c>
      <c r="C780" s="4" t="s">
        <v>4821</v>
      </c>
      <c r="D780" s="4" t="s">
        <v>4822</v>
      </c>
      <c r="E780" s="88" t="s">
        <v>4823</v>
      </c>
      <c r="F780" s="88" t="s">
        <v>4824</v>
      </c>
      <c r="G780" s="88" t="s">
        <v>4825</v>
      </c>
      <c r="H780" s="4" t="s">
        <v>4826</v>
      </c>
      <c r="I780" s="29" t="s">
        <v>4827</v>
      </c>
    </row>
    <row r="781" spans="1:9" ht="25.5" x14ac:dyDescent="0.25">
      <c r="A781" s="183"/>
      <c r="B781" s="156"/>
      <c r="C781" s="13" t="s">
        <v>4828</v>
      </c>
      <c r="D781" s="13" t="s">
        <v>4828</v>
      </c>
      <c r="E781" s="13" t="s">
        <v>4828</v>
      </c>
      <c r="F781" s="13" t="s">
        <v>4828</v>
      </c>
      <c r="G781" s="13" t="s">
        <v>4828</v>
      </c>
      <c r="H781" s="13" t="s">
        <v>4828</v>
      </c>
      <c r="I781" s="30"/>
    </row>
    <row r="782" spans="1:9" ht="15.75" x14ac:dyDescent="0.25">
      <c r="A782" s="23">
        <v>743</v>
      </c>
      <c r="B782" s="6" t="str">
        <f>CADASTROS!$C$479</f>
        <v>Silvania da Silva Santos</v>
      </c>
      <c r="C782" s="159"/>
      <c r="D782" s="159"/>
      <c r="E782" s="159"/>
      <c r="F782" s="159"/>
      <c r="G782" s="159"/>
      <c r="H782" s="159"/>
      <c r="I782" s="7">
        <f>SUM(C782+D782+E782+F782+G782+H782)</f>
        <v>0</v>
      </c>
    </row>
    <row r="783" spans="1:9" ht="15.75" x14ac:dyDescent="0.25">
      <c r="A783" s="23">
        <v>744</v>
      </c>
      <c r="B783" s="6" t="str">
        <f>CADASTROS!$C$480</f>
        <v>Joselita Brito Santos</v>
      </c>
      <c r="C783" s="159"/>
      <c r="D783" s="159"/>
      <c r="E783" s="159"/>
      <c r="F783" s="159"/>
      <c r="G783" s="159"/>
      <c r="H783" s="159"/>
      <c r="I783" s="7">
        <f t="shared" ref="I783:I808" si="78">SUM(C783+D783+E783+F783+G783+H783)</f>
        <v>0</v>
      </c>
    </row>
    <row r="784" spans="1:9" ht="15.75" x14ac:dyDescent="0.25">
      <c r="A784" s="23">
        <v>745</v>
      </c>
      <c r="B784" s="6" t="str">
        <f>CADASTROS!$C$481</f>
        <v>Vilma Lucia Lobo da Silva</v>
      </c>
      <c r="C784" s="159"/>
      <c r="D784" s="159"/>
      <c r="E784" s="159"/>
      <c r="F784" s="159"/>
      <c r="G784" s="159"/>
      <c r="H784" s="159"/>
      <c r="I784" s="7">
        <f t="shared" si="78"/>
        <v>0</v>
      </c>
    </row>
    <row r="785" spans="1:9" ht="15.75" x14ac:dyDescent="0.25">
      <c r="A785" s="23">
        <v>746</v>
      </c>
      <c r="B785" s="6" t="str">
        <f>CADASTROS!$C$482</f>
        <v>Edivaldo de Jesus Alves</v>
      </c>
      <c r="C785" s="159"/>
      <c r="D785" s="159"/>
      <c r="E785" s="159"/>
      <c r="F785" s="159"/>
      <c r="G785" s="159"/>
      <c r="H785" s="159"/>
      <c r="I785" s="7">
        <f t="shared" si="78"/>
        <v>0</v>
      </c>
    </row>
    <row r="786" spans="1:9" ht="15.75" x14ac:dyDescent="0.25">
      <c r="A786" s="23">
        <v>747</v>
      </c>
      <c r="B786" s="6" t="str">
        <f>CADASTROS!$C$483</f>
        <v>Cosme Santana Oliveira</v>
      </c>
      <c r="C786" s="159"/>
      <c r="D786" s="159"/>
      <c r="E786" s="159"/>
      <c r="F786" s="159"/>
      <c r="G786" s="159"/>
      <c r="H786" s="159"/>
      <c r="I786" s="7">
        <f t="shared" si="78"/>
        <v>0</v>
      </c>
    </row>
    <row r="787" spans="1:9" ht="15.75" x14ac:dyDescent="0.25">
      <c r="A787" s="23">
        <v>748</v>
      </c>
      <c r="B787" s="6" t="str">
        <f>CADASTROS!$C$484</f>
        <v>Clenilson Santos Alves</v>
      </c>
      <c r="C787" s="159"/>
      <c r="D787" s="159"/>
      <c r="E787" s="159"/>
      <c r="F787" s="159"/>
      <c r="G787" s="159"/>
      <c r="H787" s="159"/>
      <c r="I787" s="7">
        <f t="shared" si="78"/>
        <v>0</v>
      </c>
    </row>
    <row r="788" spans="1:9" ht="15.75" x14ac:dyDescent="0.25">
      <c r="A788" s="23">
        <v>749</v>
      </c>
      <c r="B788" s="6" t="str">
        <f>CADASTROS!$C$485</f>
        <v>José Nilton A Araújo</v>
      </c>
      <c r="C788" s="159"/>
      <c r="D788" s="159"/>
      <c r="E788" s="159"/>
      <c r="F788" s="159"/>
      <c r="G788" s="159"/>
      <c r="H788" s="159"/>
      <c r="I788" s="7">
        <f t="shared" si="78"/>
        <v>0</v>
      </c>
    </row>
    <row r="789" spans="1:9" ht="15.75" x14ac:dyDescent="0.25">
      <c r="A789" s="23">
        <v>752</v>
      </c>
      <c r="B789" s="6" t="str">
        <f>CADASTROS!$C$486</f>
        <v>Marleide Rosa Soares</v>
      </c>
      <c r="C789" s="159"/>
      <c r="D789" s="159"/>
      <c r="E789" s="159"/>
      <c r="F789" s="159"/>
      <c r="G789" s="159"/>
      <c r="H789" s="159"/>
      <c r="I789" s="7">
        <f t="shared" si="78"/>
        <v>0</v>
      </c>
    </row>
    <row r="790" spans="1:9" ht="15.75" x14ac:dyDescent="0.25">
      <c r="A790" s="23">
        <v>753</v>
      </c>
      <c r="B790" s="6" t="str">
        <f>CADASTROS!$C$487</f>
        <v>Clécia Paes da Silva</v>
      </c>
      <c r="C790" s="159"/>
      <c r="D790" s="159"/>
      <c r="E790" s="159"/>
      <c r="F790" s="159"/>
      <c r="G790" s="159"/>
      <c r="H790" s="159"/>
      <c r="I790" s="7">
        <f t="shared" si="78"/>
        <v>0</v>
      </c>
    </row>
    <row r="791" spans="1:9" ht="15.75" x14ac:dyDescent="0.25">
      <c r="A791" s="23">
        <v>754</v>
      </c>
      <c r="B791" s="6" t="str">
        <f>CADASTROS!$C$488</f>
        <v>Leandro de Jesus Cruz</v>
      </c>
      <c r="C791" s="159"/>
      <c r="D791" s="159"/>
      <c r="E791" s="159"/>
      <c r="F791" s="159"/>
      <c r="G791" s="159"/>
      <c r="H791" s="159"/>
      <c r="I791" s="7">
        <f t="shared" si="78"/>
        <v>0</v>
      </c>
    </row>
    <row r="792" spans="1:9" ht="15.75" x14ac:dyDescent="0.25">
      <c r="A792" s="23">
        <v>755</v>
      </c>
      <c r="B792" s="6" t="str">
        <f>CADASTROS!$C$489</f>
        <v>Sandra Ferreira da Silva</v>
      </c>
      <c r="C792" s="159"/>
      <c r="D792" s="159"/>
      <c r="E792" s="159"/>
      <c r="F792" s="159"/>
      <c r="G792" s="159"/>
      <c r="H792" s="159"/>
      <c r="I792" s="7">
        <f t="shared" si="78"/>
        <v>0</v>
      </c>
    </row>
    <row r="793" spans="1:9" ht="15.75" x14ac:dyDescent="0.25">
      <c r="A793" s="23">
        <v>756</v>
      </c>
      <c r="B793" s="6" t="str">
        <f>CADASTROS!$C$490</f>
        <v>Eliones Melo Silva</v>
      </c>
      <c r="C793" s="159"/>
      <c r="D793" s="159"/>
      <c r="E793" s="159"/>
      <c r="F793" s="159"/>
      <c r="G793" s="159"/>
      <c r="H793" s="159"/>
      <c r="I793" s="7">
        <f t="shared" si="78"/>
        <v>0</v>
      </c>
    </row>
    <row r="794" spans="1:9" ht="15.75" x14ac:dyDescent="0.25">
      <c r="A794" s="23">
        <v>757</v>
      </c>
      <c r="B794" s="6" t="str">
        <f>CADASTROS!$C$491</f>
        <v>Maria Pereira de Brito</v>
      </c>
      <c r="C794" s="159"/>
      <c r="D794" s="159"/>
      <c r="E794" s="159"/>
      <c r="F794" s="159"/>
      <c r="G794" s="159"/>
      <c r="H794" s="159"/>
      <c r="I794" s="7">
        <f t="shared" si="78"/>
        <v>0</v>
      </c>
    </row>
    <row r="795" spans="1:9" ht="15.75" x14ac:dyDescent="0.25">
      <c r="A795" s="23">
        <v>758</v>
      </c>
      <c r="B795" s="6" t="str">
        <f>CADASTROS!$C$492</f>
        <v>Gildeon Sena de Lisboa</v>
      </c>
      <c r="C795" s="159"/>
      <c r="D795" s="159"/>
      <c r="E795" s="159"/>
      <c r="F795" s="159"/>
      <c r="G795" s="159"/>
      <c r="H795" s="159"/>
      <c r="I795" s="7">
        <f t="shared" si="78"/>
        <v>0</v>
      </c>
    </row>
    <row r="796" spans="1:9" ht="15.75" x14ac:dyDescent="0.25">
      <c r="A796" s="23">
        <v>759</v>
      </c>
      <c r="B796" s="6" t="str">
        <f>CADASTROS!$C$493</f>
        <v>Paulo Santos Oliveira</v>
      </c>
      <c r="C796" s="159"/>
      <c r="D796" s="159"/>
      <c r="E796" s="159"/>
      <c r="F796" s="159"/>
      <c r="G796" s="159"/>
      <c r="H796" s="159"/>
      <c r="I796" s="7">
        <f t="shared" si="78"/>
        <v>0</v>
      </c>
    </row>
    <row r="797" spans="1:9" ht="15.75" x14ac:dyDescent="0.25">
      <c r="A797" s="23">
        <v>760</v>
      </c>
      <c r="B797" s="6" t="str">
        <f>CADASTROS!$C$494</f>
        <v>Jazon Dias Damasceno</v>
      </c>
      <c r="C797" s="159"/>
      <c r="D797" s="159"/>
      <c r="E797" s="159"/>
      <c r="F797" s="159"/>
      <c r="G797" s="159"/>
      <c r="H797" s="159"/>
      <c r="I797" s="7">
        <f t="shared" si="78"/>
        <v>0</v>
      </c>
    </row>
    <row r="798" spans="1:9" ht="15.75" x14ac:dyDescent="0.25">
      <c r="A798" s="23">
        <v>761</v>
      </c>
      <c r="B798" s="6" t="str">
        <f>CADASTROS!$C$495</f>
        <v>Josenilton de Jesus Moreira</v>
      </c>
      <c r="C798" s="159"/>
      <c r="D798" s="159"/>
      <c r="E798" s="159"/>
      <c r="F798" s="159"/>
      <c r="G798" s="159"/>
      <c r="H798" s="159"/>
      <c r="I798" s="7">
        <f t="shared" si="78"/>
        <v>0</v>
      </c>
    </row>
    <row r="799" spans="1:9" ht="15.75" x14ac:dyDescent="0.25">
      <c r="A799" s="23">
        <v>762</v>
      </c>
      <c r="B799" s="6" t="str">
        <f>CADASTROS!$C$496</f>
        <v>José Luiz Santos da Silva</v>
      </c>
      <c r="C799" s="159"/>
      <c r="D799" s="159"/>
      <c r="E799" s="159"/>
      <c r="F799" s="159"/>
      <c r="G799" s="159"/>
      <c r="H799" s="159"/>
      <c r="I799" s="7">
        <f t="shared" si="78"/>
        <v>0</v>
      </c>
    </row>
    <row r="800" spans="1:9" ht="15.75" x14ac:dyDescent="0.25">
      <c r="A800" s="23">
        <v>763</v>
      </c>
      <c r="B800" s="6" t="str">
        <f>CADASTROS!$C$497</f>
        <v>Givaneide Cortes de Oliveira</v>
      </c>
      <c r="C800" s="159"/>
      <c r="D800" s="159"/>
      <c r="E800" s="159"/>
      <c r="F800" s="159"/>
      <c r="G800" s="159"/>
      <c r="H800" s="159"/>
      <c r="I800" s="7">
        <f t="shared" si="78"/>
        <v>0</v>
      </c>
    </row>
    <row r="801" spans="1:9" ht="15.75" x14ac:dyDescent="0.25">
      <c r="A801" s="23">
        <v>764</v>
      </c>
      <c r="B801" s="6" t="str">
        <f>CADASTROS!$C$498</f>
        <v>Maria Aparecida Sousa</v>
      </c>
      <c r="C801" s="159"/>
      <c r="D801" s="159"/>
      <c r="E801" s="159"/>
      <c r="F801" s="159"/>
      <c r="G801" s="159"/>
      <c r="H801" s="159"/>
      <c r="I801" s="7">
        <f t="shared" si="78"/>
        <v>0</v>
      </c>
    </row>
    <row r="802" spans="1:9" ht="15.75" x14ac:dyDescent="0.25">
      <c r="A802" s="23">
        <v>765</v>
      </c>
      <c r="B802" s="6" t="str">
        <f>CADASTROS!$C$499</f>
        <v>Aline Damasceno Silva</v>
      </c>
      <c r="C802" s="159"/>
      <c r="D802" s="159"/>
      <c r="E802" s="159"/>
      <c r="F802" s="159"/>
      <c r="G802" s="159"/>
      <c r="H802" s="159"/>
      <c r="I802" s="7">
        <f t="shared" si="78"/>
        <v>0</v>
      </c>
    </row>
    <row r="803" spans="1:9" ht="15.75" x14ac:dyDescent="0.25">
      <c r="A803" s="23">
        <v>766</v>
      </c>
      <c r="B803" s="6" t="str">
        <f>CADASTROS!$C$500</f>
        <v>Rodrigo Santos Machado</v>
      </c>
      <c r="C803" s="159"/>
      <c r="D803" s="159"/>
      <c r="E803" s="159"/>
      <c r="F803" s="159"/>
      <c r="G803" s="159"/>
      <c r="H803" s="159"/>
      <c r="I803" s="7">
        <f t="shared" si="78"/>
        <v>0</v>
      </c>
    </row>
    <row r="804" spans="1:9" ht="15.75" x14ac:dyDescent="0.25">
      <c r="A804" s="23">
        <v>767</v>
      </c>
      <c r="B804" s="6" t="str">
        <f>CADASTROS!$C$501</f>
        <v>Janileide Oliveira Silva</v>
      </c>
      <c r="C804" s="159"/>
      <c r="D804" s="159"/>
      <c r="E804" s="159"/>
      <c r="F804" s="159"/>
      <c r="G804" s="159"/>
      <c r="H804" s="159"/>
      <c r="I804" s="7">
        <f t="shared" si="78"/>
        <v>0</v>
      </c>
    </row>
    <row r="805" spans="1:9" ht="15.75" x14ac:dyDescent="0.25">
      <c r="A805" s="23">
        <v>768</v>
      </c>
      <c r="B805" s="6" t="str">
        <f>CADASTROS!$C$502</f>
        <v>Eduelton Pires Santos</v>
      </c>
      <c r="C805" s="159"/>
      <c r="D805" s="159"/>
      <c r="E805" s="159"/>
      <c r="F805" s="159"/>
      <c r="G805" s="159"/>
      <c r="H805" s="159"/>
      <c r="I805" s="7">
        <f t="shared" si="78"/>
        <v>0</v>
      </c>
    </row>
    <row r="806" spans="1:9" ht="15.75" x14ac:dyDescent="0.25">
      <c r="A806" s="23">
        <v>772</v>
      </c>
      <c r="B806" s="6" t="str">
        <f>CADASTROS!$C$503</f>
        <v>Jeane Paixão da Silva</v>
      </c>
      <c r="C806" s="159"/>
      <c r="D806" s="159"/>
      <c r="E806" s="159"/>
      <c r="F806" s="159"/>
      <c r="G806" s="159"/>
      <c r="H806" s="159"/>
      <c r="I806" s="7">
        <f t="shared" si="78"/>
        <v>0</v>
      </c>
    </row>
    <row r="807" spans="1:9" ht="15.75" x14ac:dyDescent="0.25">
      <c r="A807" s="23">
        <v>773</v>
      </c>
      <c r="B807" s="6" t="str">
        <f>CADASTROS!$C$504</f>
        <v>Leandro Ferreira Salvador</v>
      </c>
      <c r="C807" s="159"/>
      <c r="D807" s="159"/>
      <c r="E807" s="159"/>
      <c r="F807" s="159"/>
      <c r="G807" s="159"/>
      <c r="H807" s="159"/>
      <c r="I807" s="7">
        <f t="shared" si="78"/>
        <v>0</v>
      </c>
    </row>
    <row r="808" spans="1:9" ht="15.75" x14ac:dyDescent="0.25">
      <c r="A808" s="23">
        <v>774</v>
      </c>
      <c r="B808" s="6" t="str">
        <f>CADASTROS!$C$505</f>
        <v>João Batista Conceição de Jesus</v>
      </c>
      <c r="C808" s="159"/>
      <c r="D808" s="159"/>
      <c r="E808" s="159"/>
      <c r="F808" s="159"/>
      <c r="G808" s="159"/>
      <c r="H808" s="159"/>
      <c r="I808" s="7">
        <f t="shared" si="78"/>
        <v>0</v>
      </c>
    </row>
    <row r="809" spans="1:9" ht="15.75" x14ac:dyDescent="0.25">
      <c r="B809" s="159" t="s">
        <v>4829</v>
      </c>
      <c r="C809" s="159">
        <f>SUM(C782:C808)</f>
        <v>0</v>
      </c>
      <c r="D809" s="159">
        <f t="shared" ref="D809:H809" si="79">SUM(D782:D808)</f>
        <v>0</v>
      </c>
      <c r="E809" s="159">
        <f t="shared" si="79"/>
        <v>0</v>
      </c>
      <c r="F809" s="159">
        <f t="shared" si="79"/>
        <v>0</v>
      </c>
      <c r="G809" s="159">
        <f t="shared" si="79"/>
        <v>0</v>
      </c>
      <c r="H809" s="159">
        <f t="shared" si="79"/>
        <v>0</v>
      </c>
      <c r="I809" s="159">
        <f>SUM(I782:I808)</f>
        <v>0</v>
      </c>
    </row>
    <row r="811" spans="1:9" ht="15.75" x14ac:dyDescent="0.25">
      <c r="B811" s="8" t="s">
        <v>4830</v>
      </c>
      <c r="C811" s="159"/>
      <c r="D811" s="159"/>
      <c r="E811" s="159"/>
      <c r="F811" s="159"/>
      <c r="G811" s="159"/>
      <c r="H811" s="159"/>
      <c r="I811" s="159">
        <f>SUM(C811:H811)</f>
        <v>0</v>
      </c>
    </row>
    <row r="812" spans="1:9" x14ac:dyDescent="0.25">
      <c r="B812" s="167"/>
    </row>
    <row r="813" spans="1:9" ht="15.75" x14ac:dyDescent="0.25">
      <c r="B813" s="8" t="s">
        <v>4831</v>
      </c>
      <c r="C813" s="9" t="e">
        <f>C809/C811</f>
        <v>#DIV/0!</v>
      </c>
      <c r="D813" s="9" t="e">
        <f t="shared" ref="D813:H813" si="80">D809/D811</f>
        <v>#DIV/0!</v>
      </c>
      <c r="E813" s="9" t="e">
        <f t="shared" si="80"/>
        <v>#DIV/0!</v>
      </c>
      <c r="F813" s="9" t="e">
        <f t="shared" si="80"/>
        <v>#DIV/0!</v>
      </c>
      <c r="G813" s="9" t="e">
        <f t="shared" si="80"/>
        <v>#DIV/0!</v>
      </c>
      <c r="H813" s="9" t="e">
        <f t="shared" si="80"/>
        <v>#DIV/0!</v>
      </c>
      <c r="I813" s="9"/>
    </row>
    <row r="814" spans="1:9" ht="15.75" x14ac:dyDescent="0.25">
      <c r="B814" s="163"/>
      <c r="C814" s="10"/>
      <c r="D814" s="10"/>
      <c r="E814" s="10"/>
      <c r="F814" s="10"/>
      <c r="G814" s="10"/>
      <c r="H814" s="163"/>
      <c r="I814" s="163"/>
    </row>
    <row r="815" spans="1:9" ht="15.75" x14ac:dyDescent="0.25">
      <c r="B815" s="8" t="s">
        <v>4832</v>
      </c>
      <c r="C815" s="159"/>
      <c r="D815" s="159"/>
      <c r="E815" s="6"/>
      <c r="F815" s="6"/>
      <c r="G815" s="6"/>
      <c r="H815" s="6"/>
      <c r="I815" s="11"/>
    </row>
    <row r="818" spans="1:15" ht="21" x14ac:dyDescent="0.35">
      <c r="B818" s="184" t="s">
        <v>4816</v>
      </c>
      <c r="C818" s="185"/>
      <c r="D818" s="185"/>
      <c r="E818" s="185"/>
      <c r="F818" s="185"/>
      <c r="G818" s="185"/>
      <c r="H818" s="185"/>
      <c r="I818" s="186"/>
    </row>
    <row r="819" spans="1:15" x14ac:dyDescent="0.25">
      <c r="I819" s="3"/>
    </row>
    <row r="820" spans="1:15" ht="21" x14ac:dyDescent="0.35">
      <c r="B820" s="192" t="s">
        <v>4817</v>
      </c>
      <c r="C820" s="193"/>
      <c r="D820" s="193"/>
      <c r="E820" s="193"/>
      <c r="F820" s="193"/>
      <c r="G820" s="193"/>
      <c r="H820" s="193"/>
      <c r="I820" s="194"/>
    </row>
    <row r="822" spans="1:15" ht="33.75" x14ac:dyDescent="0.25">
      <c r="B822" s="187" t="s">
        <v>4840</v>
      </c>
      <c r="C822" s="188"/>
      <c r="D822" s="188"/>
      <c r="E822" s="188"/>
      <c r="F822" s="188"/>
      <c r="G822" s="188"/>
      <c r="H822" s="188"/>
      <c r="I822" s="189"/>
      <c r="J822" s="93"/>
      <c r="K822" s="93"/>
      <c r="L822" s="94"/>
      <c r="M822" s="94"/>
      <c r="N822" s="93"/>
      <c r="O822" s="93"/>
    </row>
    <row r="823" spans="1:15" ht="47.25" x14ac:dyDescent="0.25">
      <c r="A823" s="182" t="s">
        <v>4819</v>
      </c>
      <c r="B823" s="155" t="s">
        <v>4820</v>
      </c>
      <c r="C823" s="4" t="s">
        <v>4821</v>
      </c>
      <c r="D823" s="4" t="s">
        <v>4822</v>
      </c>
      <c r="E823" s="88" t="s">
        <v>4823</v>
      </c>
      <c r="F823" s="88" t="s">
        <v>4824</v>
      </c>
      <c r="G823" s="88" t="s">
        <v>4825</v>
      </c>
      <c r="H823" s="4" t="s">
        <v>4826</v>
      </c>
      <c r="I823" s="29" t="s">
        <v>4827</v>
      </c>
    </row>
    <row r="824" spans="1:15" ht="27" customHeight="1" x14ac:dyDescent="0.25">
      <c r="A824" s="183"/>
      <c r="B824" s="156"/>
      <c r="C824" s="13" t="s">
        <v>4828</v>
      </c>
      <c r="D824" s="13" t="s">
        <v>4828</v>
      </c>
      <c r="E824" s="13" t="s">
        <v>4828</v>
      </c>
      <c r="F824" s="13" t="s">
        <v>4828</v>
      </c>
      <c r="G824" s="13" t="s">
        <v>4828</v>
      </c>
      <c r="H824" s="13" t="s">
        <v>4828</v>
      </c>
      <c r="I824" s="30"/>
    </row>
    <row r="825" spans="1:15" ht="15.75" x14ac:dyDescent="0.25">
      <c r="A825" s="23">
        <v>775</v>
      </c>
      <c r="B825" s="6" t="str">
        <f>CADASTROS!$C$506</f>
        <v>Ana Maria Souza Ferreira</v>
      </c>
      <c r="C825" s="159"/>
      <c r="D825" s="159"/>
      <c r="E825" s="159"/>
      <c r="F825" s="159"/>
      <c r="G825" s="159"/>
      <c r="H825" s="159"/>
      <c r="I825" s="7">
        <f>SUM(C825+D825+E825+F825+G825+H825)</f>
        <v>0</v>
      </c>
    </row>
    <row r="826" spans="1:15" ht="15.75" x14ac:dyDescent="0.25">
      <c r="A826" s="23">
        <v>776</v>
      </c>
      <c r="B826" s="6" t="str">
        <f>CADASTROS!$C$507</f>
        <v>Eliene Cesar dos Santos</v>
      </c>
      <c r="C826" s="159"/>
      <c r="D826" s="159"/>
      <c r="E826" s="159"/>
      <c r="F826" s="159"/>
      <c r="G826" s="159"/>
      <c r="H826" s="159"/>
      <c r="I826" s="7">
        <f t="shared" ref="I826:I851" si="81">SUM(C826+D826+E826+F826+G826+H826)</f>
        <v>0</v>
      </c>
    </row>
    <row r="827" spans="1:15" ht="15.75" x14ac:dyDescent="0.25">
      <c r="A827" s="23">
        <v>777</v>
      </c>
      <c r="B827" s="6" t="str">
        <f>CADASTROS!$C$508</f>
        <v>Josinei Sousa Silva</v>
      </c>
      <c r="C827" s="159"/>
      <c r="D827" s="159"/>
      <c r="E827" s="159"/>
      <c r="F827" s="159"/>
      <c r="G827" s="159"/>
      <c r="H827" s="159"/>
      <c r="I827" s="7">
        <f t="shared" si="81"/>
        <v>0</v>
      </c>
    </row>
    <row r="828" spans="1:15" ht="15.75" x14ac:dyDescent="0.25">
      <c r="A828" s="23">
        <v>778</v>
      </c>
      <c r="B828" s="6" t="str">
        <f>CADASTROS!$C$509</f>
        <v>Patrícia Alves de França Vieira</v>
      </c>
      <c r="C828" s="159"/>
      <c r="D828" s="159"/>
      <c r="E828" s="159"/>
      <c r="F828" s="159"/>
      <c r="G828" s="159"/>
      <c r="H828" s="159"/>
      <c r="I828" s="7">
        <f t="shared" si="81"/>
        <v>0</v>
      </c>
    </row>
    <row r="829" spans="1:15" ht="15.75" x14ac:dyDescent="0.25">
      <c r="A829" s="23">
        <v>779</v>
      </c>
      <c r="B829" s="6" t="str">
        <f>CADASTROS!$C$510</f>
        <v>Jorge Elcivan Filho</v>
      </c>
      <c r="C829" s="159"/>
      <c r="D829" s="159"/>
      <c r="E829" s="159"/>
      <c r="F829" s="159"/>
      <c r="G829" s="159"/>
      <c r="H829" s="159"/>
      <c r="I829" s="7">
        <f t="shared" si="81"/>
        <v>0</v>
      </c>
    </row>
    <row r="830" spans="1:15" ht="15.75" x14ac:dyDescent="0.25">
      <c r="A830" s="23">
        <v>780</v>
      </c>
      <c r="B830" s="6" t="str">
        <f>CADASTROS!$C$511</f>
        <v>Vilma Damasceno Silva</v>
      </c>
      <c r="C830" s="159"/>
      <c r="D830" s="159"/>
      <c r="E830" s="159"/>
      <c r="F830" s="159"/>
      <c r="G830" s="159"/>
      <c r="H830" s="159"/>
      <c r="I830" s="7">
        <f t="shared" si="81"/>
        <v>0</v>
      </c>
    </row>
    <row r="831" spans="1:15" ht="15.75" x14ac:dyDescent="0.25">
      <c r="A831" s="23">
        <v>781</v>
      </c>
      <c r="B831" s="6" t="str">
        <f>CADASTROS!$C$512</f>
        <v>Ivanilda Conceição Leite</v>
      </c>
      <c r="C831" s="159"/>
      <c r="D831" s="159"/>
      <c r="E831" s="159"/>
      <c r="F831" s="159"/>
      <c r="G831" s="159"/>
      <c r="H831" s="159"/>
      <c r="I831" s="7">
        <f t="shared" si="81"/>
        <v>0</v>
      </c>
    </row>
    <row r="832" spans="1:15" ht="15.75" x14ac:dyDescent="0.25">
      <c r="A832" s="23">
        <v>782</v>
      </c>
      <c r="B832" s="6" t="str">
        <f>CADASTROS!$C$513</f>
        <v>Samuel Monteiro da Cruz</v>
      </c>
      <c r="C832" s="159"/>
      <c r="D832" s="159"/>
      <c r="E832" s="159"/>
      <c r="F832" s="159"/>
      <c r="G832" s="159"/>
      <c r="H832" s="159"/>
      <c r="I832" s="7">
        <f t="shared" si="81"/>
        <v>0</v>
      </c>
    </row>
    <row r="833" spans="1:9" ht="15.75" x14ac:dyDescent="0.25">
      <c r="A833" s="23">
        <v>783</v>
      </c>
      <c r="B833" s="6" t="s">
        <v>4841</v>
      </c>
      <c r="C833" s="159"/>
      <c r="D833" s="159"/>
      <c r="E833" s="159"/>
      <c r="F833" s="159"/>
      <c r="G833" s="159"/>
      <c r="H833" s="159"/>
      <c r="I833" s="7">
        <f t="shared" si="81"/>
        <v>0</v>
      </c>
    </row>
    <row r="834" spans="1:9" ht="15.75" x14ac:dyDescent="0.25">
      <c r="A834" s="23">
        <v>784</v>
      </c>
      <c r="B834" s="6" t="str">
        <f>CADASTROS!$C$515</f>
        <v>Gessirlande Silva de Oliveira</v>
      </c>
      <c r="C834" s="159"/>
      <c r="D834" s="159"/>
      <c r="E834" s="159"/>
      <c r="F834" s="159"/>
      <c r="G834" s="159"/>
      <c r="H834" s="159"/>
      <c r="I834" s="7">
        <f t="shared" si="81"/>
        <v>0</v>
      </c>
    </row>
    <row r="835" spans="1:9" ht="15.75" x14ac:dyDescent="0.25">
      <c r="A835" s="23">
        <v>785</v>
      </c>
      <c r="B835" s="6" t="str">
        <f>CADASTROS!$C$516</f>
        <v>Lucas Moraes de Souza</v>
      </c>
      <c r="C835" s="159"/>
      <c r="D835" s="159"/>
      <c r="E835" s="159"/>
      <c r="F835" s="159"/>
      <c r="G835" s="159"/>
      <c r="H835" s="159"/>
      <c r="I835" s="7">
        <f t="shared" si="81"/>
        <v>0</v>
      </c>
    </row>
    <row r="836" spans="1:9" ht="15.75" x14ac:dyDescent="0.25">
      <c r="A836" s="23">
        <v>786</v>
      </c>
      <c r="B836" s="6" t="str">
        <f>CADASTROS!$C$517</f>
        <v>Dirlene de Arruda Santos</v>
      </c>
      <c r="C836" s="159"/>
      <c r="D836" s="159"/>
      <c r="E836" s="159"/>
      <c r="F836" s="159"/>
      <c r="G836" s="159"/>
      <c r="H836" s="159"/>
      <c r="I836" s="7">
        <f t="shared" si="81"/>
        <v>0</v>
      </c>
    </row>
    <row r="837" spans="1:9" ht="15.75" x14ac:dyDescent="0.25">
      <c r="A837" s="23">
        <v>787</v>
      </c>
      <c r="B837" s="6" t="str">
        <f>CADASTROS!$C$518</f>
        <v>Ueliton Silva</v>
      </c>
      <c r="C837" s="159"/>
      <c r="D837" s="159"/>
      <c r="E837" s="159"/>
      <c r="F837" s="159"/>
      <c r="G837" s="159"/>
      <c r="H837" s="159"/>
      <c r="I837" s="7">
        <f t="shared" si="81"/>
        <v>0</v>
      </c>
    </row>
    <row r="838" spans="1:9" ht="15.75" x14ac:dyDescent="0.25">
      <c r="A838" s="23">
        <v>788</v>
      </c>
      <c r="B838" s="6" t="str">
        <f>CADASTROS!$C$519</f>
        <v>Lusinete Oliveira de Sousa</v>
      </c>
      <c r="C838" s="159"/>
      <c r="D838" s="159"/>
      <c r="E838" s="159"/>
      <c r="F838" s="159"/>
      <c r="G838" s="159"/>
      <c r="H838" s="159"/>
      <c r="I838" s="7">
        <f t="shared" si="81"/>
        <v>0</v>
      </c>
    </row>
    <row r="839" spans="1:9" ht="15.75" x14ac:dyDescent="0.25">
      <c r="A839" s="23">
        <v>789</v>
      </c>
      <c r="B839" s="6" t="str">
        <f>CADASTROS!$C$520</f>
        <v>Gildélia Pires de Souza</v>
      </c>
      <c r="C839" s="159"/>
      <c r="D839" s="159"/>
      <c r="E839" s="159"/>
      <c r="F839" s="159"/>
      <c r="G839" s="159"/>
      <c r="H839" s="159"/>
      <c r="I839" s="7">
        <f t="shared" si="81"/>
        <v>0</v>
      </c>
    </row>
    <row r="840" spans="1:9" ht="15.75" x14ac:dyDescent="0.25">
      <c r="A840" s="23">
        <v>790</v>
      </c>
      <c r="B840" s="6" t="str">
        <f>CADASTROS!$C$521</f>
        <v>Ebilisária de Almeida Silva</v>
      </c>
      <c r="C840" s="159"/>
      <c r="D840" s="159"/>
      <c r="E840" s="159"/>
      <c r="F840" s="159"/>
      <c r="G840" s="159"/>
      <c r="H840" s="159"/>
      <c r="I840" s="7">
        <f t="shared" si="81"/>
        <v>0</v>
      </c>
    </row>
    <row r="841" spans="1:9" ht="15.75" x14ac:dyDescent="0.25">
      <c r="A841" s="23">
        <v>791</v>
      </c>
      <c r="B841" s="6" t="str">
        <f>CADASTROS!$C$522</f>
        <v>Fernando Moreira da Silva</v>
      </c>
      <c r="C841" s="159"/>
      <c r="D841" s="159"/>
      <c r="E841" s="159"/>
      <c r="F841" s="159"/>
      <c r="G841" s="159"/>
      <c r="H841" s="159"/>
      <c r="I841" s="7">
        <f t="shared" si="81"/>
        <v>0</v>
      </c>
    </row>
    <row r="842" spans="1:9" ht="15.75" x14ac:dyDescent="0.25">
      <c r="A842" s="23">
        <v>792</v>
      </c>
      <c r="B842" s="6" t="str">
        <f>CADASTROS!$C$523</f>
        <v>Dhenif Freitas Araújo</v>
      </c>
      <c r="C842" s="159"/>
      <c r="D842" s="159"/>
      <c r="E842" s="159"/>
      <c r="F842" s="159"/>
      <c r="G842" s="159"/>
      <c r="H842" s="159"/>
      <c r="I842" s="7">
        <f t="shared" si="81"/>
        <v>0</v>
      </c>
    </row>
    <row r="843" spans="1:9" ht="15.75" x14ac:dyDescent="0.25">
      <c r="A843" s="23">
        <v>793</v>
      </c>
      <c r="B843" s="6" t="str">
        <f>CADASTROS!$C$524</f>
        <v>Ilzete Pereira C Macedo</v>
      </c>
      <c r="C843" s="159"/>
      <c r="D843" s="159"/>
      <c r="E843" s="159"/>
      <c r="F843" s="159"/>
      <c r="G843" s="159"/>
      <c r="H843" s="159"/>
      <c r="I843" s="7">
        <f t="shared" si="81"/>
        <v>0</v>
      </c>
    </row>
    <row r="844" spans="1:9" ht="15.75" x14ac:dyDescent="0.25">
      <c r="A844" s="23">
        <v>794</v>
      </c>
      <c r="B844" s="6" t="str">
        <f>CADASTROS!$C$525</f>
        <v>Maria de Almeida</v>
      </c>
      <c r="C844" s="159"/>
      <c r="D844" s="159"/>
      <c r="E844" s="159"/>
      <c r="F844" s="159"/>
      <c r="G844" s="159"/>
      <c r="H844" s="159"/>
      <c r="I844" s="7">
        <f t="shared" si="81"/>
        <v>0</v>
      </c>
    </row>
    <row r="845" spans="1:9" ht="15.75" x14ac:dyDescent="0.25">
      <c r="A845" s="23">
        <v>795</v>
      </c>
      <c r="B845" s="6" t="str">
        <f>CADASTROS!$C$526</f>
        <v>Maria Fonseca de Oliveira</v>
      </c>
      <c r="C845" s="159"/>
      <c r="D845" s="159">
        <v>12</v>
      </c>
      <c r="E845" s="159"/>
      <c r="F845" s="159"/>
      <c r="H845" s="159"/>
      <c r="I845" s="7">
        <f t="shared" si="81"/>
        <v>12</v>
      </c>
    </row>
    <row r="846" spans="1:9" ht="15.75" x14ac:dyDescent="0.25">
      <c r="A846" s="23">
        <v>796</v>
      </c>
      <c r="B846" s="6" t="str">
        <f>CADASTROS!$C$527</f>
        <v>Edson Andrade dos Santos</v>
      </c>
      <c r="C846" s="159"/>
      <c r="D846" s="159"/>
      <c r="E846" s="159"/>
      <c r="F846" s="159"/>
      <c r="G846" s="159"/>
      <c r="H846" s="159"/>
      <c r="I846" s="7">
        <f t="shared" si="81"/>
        <v>0</v>
      </c>
    </row>
    <row r="847" spans="1:9" ht="15.75" x14ac:dyDescent="0.25">
      <c r="A847" s="23">
        <v>797</v>
      </c>
      <c r="B847" s="6" t="str">
        <f>CADASTROS!$C$528</f>
        <v>Adriana Souza dos Anjos</v>
      </c>
      <c r="C847" s="159"/>
      <c r="D847" s="159"/>
      <c r="E847" s="159"/>
      <c r="F847" s="159"/>
      <c r="G847" s="159"/>
      <c r="H847" s="159"/>
      <c r="I847" s="7">
        <f t="shared" si="81"/>
        <v>0</v>
      </c>
    </row>
    <row r="848" spans="1:9" ht="15.75" x14ac:dyDescent="0.25">
      <c r="A848" s="23">
        <v>798</v>
      </c>
      <c r="B848" s="6" t="str">
        <f>CADASTROS!$C$529</f>
        <v>Jaime Aguida de Souza</v>
      </c>
      <c r="C848" s="159"/>
      <c r="D848" s="159"/>
      <c r="E848" s="159"/>
      <c r="F848" s="159"/>
      <c r="G848" s="159"/>
      <c r="H848" s="159"/>
      <c r="I848" s="7">
        <f t="shared" si="81"/>
        <v>0</v>
      </c>
    </row>
    <row r="849" spans="1:9" ht="15.75" x14ac:dyDescent="0.25">
      <c r="A849" s="23">
        <v>799</v>
      </c>
      <c r="B849" s="6" t="str">
        <f>CADASTROS!$C$530</f>
        <v>Joselito Lima de Souza</v>
      </c>
      <c r="C849" s="159"/>
      <c r="D849" s="159"/>
      <c r="E849" s="159"/>
      <c r="F849" s="159"/>
      <c r="G849" s="159"/>
      <c r="H849" s="159"/>
      <c r="I849" s="7">
        <f t="shared" si="81"/>
        <v>0</v>
      </c>
    </row>
    <row r="850" spans="1:9" ht="15.75" x14ac:dyDescent="0.25">
      <c r="A850" s="23">
        <v>800</v>
      </c>
      <c r="B850" s="6" t="str">
        <f>CADASTROS!$C$531</f>
        <v>Vanuza Martins Pereira</v>
      </c>
      <c r="C850" s="159"/>
      <c r="D850" s="159"/>
      <c r="E850" s="159"/>
      <c r="F850" s="159"/>
      <c r="G850" s="159"/>
      <c r="H850" s="159"/>
      <c r="I850" s="7">
        <f t="shared" si="81"/>
        <v>0</v>
      </c>
    </row>
    <row r="851" spans="1:9" ht="15.75" x14ac:dyDescent="0.25">
      <c r="A851" s="23">
        <v>801</v>
      </c>
      <c r="B851" s="6" t="str">
        <f>CADASTROS!$C$532</f>
        <v>Maria das Graças Pereira Moreira</v>
      </c>
      <c r="C851" s="159"/>
      <c r="D851" s="159"/>
      <c r="E851" s="159"/>
      <c r="F851" s="159"/>
      <c r="G851" s="159"/>
      <c r="H851" s="159"/>
      <c r="I851" s="7">
        <f t="shared" si="81"/>
        <v>0</v>
      </c>
    </row>
    <row r="852" spans="1:9" ht="15.75" x14ac:dyDescent="0.25">
      <c r="A852" s="23"/>
      <c r="B852" s="159" t="s">
        <v>4829</v>
      </c>
      <c r="C852" s="159">
        <f>SUM(C825:C851)</f>
        <v>0</v>
      </c>
      <c r="D852" s="159">
        <f t="shared" ref="D852:H852" si="82">SUM(D825:D851)</f>
        <v>12</v>
      </c>
      <c r="E852" s="159">
        <f t="shared" si="82"/>
        <v>0</v>
      </c>
      <c r="F852" s="159">
        <f t="shared" si="82"/>
        <v>0</v>
      </c>
      <c r="G852" s="159">
        <f t="shared" si="82"/>
        <v>0</v>
      </c>
      <c r="H852" s="159">
        <f t="shared" si="82"/>
        <v>0</v>
      </c>
      <c r="I852" s="159">
        <f>SUM(I825:I851)</f>
        <v>12</v>
      </c>
    </row>
    <row r="854" spans="1:9" ht="15.75" x14ac:dyDescent="0.25">
      <c r="B854" s="8" t="s">
        <v>4830</v>
      </c>
      <c r="C854" s="159"/>
      <c r="D854" s="159"/>
      <c r="E854" s="159"/>
      <c r="F854" s="159"/>
      <c r="G854" s="159"/>
      <c r="H854" s="159"/>
      <c r="I854" s="159">
        <f>SUM(C854:H854)</f>
        <v>0</v>
      </c>
    </row>
    <row r="855" spans="1:9" x14ac:dyDescent="0.25">
      <c r="B855" s="167"/>
    </row>
    <row r="856" spans="1:9" ht="15.75" x14ac:dyDescent="0.25">
      <c r="B856" s="8" t="s">
        <v>4831</v>
      </c>
      <c r="C856" s="9" t="e">
        <f>C852/C854</f>
        <v>#DIV/0!</v>
      </c>
      <c r="D856" s="9" t="e">
        <f t="shared" ref="D856:H856" si="83">D852/D854</f>
        <v>#DIV/0!</v>
      </c>
      <c r="E856" s="9" t="e">
        <f t="shared" si="83"/>
        <v>#DIV/0!</v>
      </c>
      <c r="F856" s="9" t="e">
        <f t="shared" si="83"/>
        <v>#DIV/0!</v>
      </c>
      <c r="G856" s="9" t="e">
        <f t="shared" si="83"/>
        <v>#DIV/0!</v>
      </c>
      <c r="H856" s="9" t="e">
        <f t="shared" si="83"/>
        <v>#DIV/0!</v>
      </c>
      <c r="I856" s="9"/>
    </row>
    <row r="857" spans="1:9" ht="15.75" x14ac:dyDescent="0.25">
      <c r="B857" s="163"/>
      <c r="C857" s="10"/>
      <c r="D857" s="10"/>
      <c r="E857" s="10"/>
      <c r="F857" s="10"/>
      <c r="G857" s="10"/>
      <c r="H857" s="163"/>
      <c r="I857" s="163"/>
    </row>
    <row r="858" spans="1:9" ht="15.75" x14ac:dyDescent="0.25">
      <c r="B858" s="8" t="s">
        <v>4832</v>
      </c>
      <c r="C858" s="159"/>
      <c r="D858" s="159"/>
      <c r="E858" s="6"/>
      <c r="F858" s="6"/>
      <c r="G858" s="6"/>
      <c r="H858" s="6"/>
      <c r="I858" s="11"/>
    </row>
    <row r="861" spans="1:9" ht="21" x14ac:dyDescent="0.35">
      <c r="B861" s="184" t="s">
        <v>4816</v>
      </c>
      <c r="C861" s="185"/>
      <c r="D861" s="185"/>
      <c r="E861" s="185"/>
      <c r="F861" s="185"/>
      <c r="G861" s="185"/>
      <c r="H861" s="185"/>
      <c r="I861" s="186"/>
    </row>
    <row r="862" spans="1:9" x14ac:dyDescent="0.25">
      <c r="I862" s="3"/>
    </row>
    <row r="863" spans="1:9" ht="21" x14ac:dyDescent="0.35">
      <c r="B863" s="192" t="s">
        <v>4817</v>
      </c>
      <c r="C863" s="193"/>
      <c r="D863" s="193"/>
      <c r="E863" s="193"/>
      <c r="F863" s="193"/>
      <c r="G863" s="193"/>
      <c r="H863" s="193"/>
      <c r="I863" s="194"/>
    </row>
    <row r="865" spans="1:9" ht="33.75" x14ac:dyDescent="0.25">
      <c r="B865" s="187" t="s">
        <v>4842</v>
      </c>
      <c r="C865" s="188"/>
      <c r="D865" s="188"/>
      <c r="E865" s="188"/>
      <c r="F865" s="188"/>
      <c r="G865" s="188"/>
      <c r="H865" s="188"/>
      <c r="I865" s="189"/>
    </row>
    <row r="866" spans="1:9" ht="47.25" x14ac:dyDescent="0.25">
      <c r="A866" s="182" t="s">
        <v>4819</v>
      </c>
      <c r="B866" s="155" t="s">
        <v>4820</v>
      </c>
      <c r="C866" s="4" t="s">
        <v>4821</v>
      </c>
      <c r="D866" s="4" t="s">
        <v>4822</v>
      </c>
      <c r="E866" s="88" t="s">
        <v>4823</v>
      </c>
      <c r="F866" s="88" t="s">
        <v>4824</v>
      </c>
      <c r="G866" s="88" t="s">
        <v>4825</v>
      </c>
      <c r="H866" s="4" t="s">
        <v>4826</v>
      </c>
      <c r="I866" s="29" t="s">
        <v>4827</v>
      </c>
    </row>
    <row r="867" spans="1:9" ht="25.5" x14ac:dyDescent="0.25">
      <c r="A867" s="183"/>
      <c r="B867" s="156"/>
      <c r="C867" s="13" t="s">
        <v>4828</v>
      </c>
      <c r="D867" s="13" t="s">
        <v>4828</v>
      </c>
      <c r="E867" s="13" t="s">
        <v>4828</v>
      </c>
      <c r="F867" s="13" t="s">
        <v>4828</v>
      </c>
      <c r="G867" s="13" t="s">
        <v>4828</v>
      </c>
      <c r="H867" s="13" t="s">
        <v>4828</v>
      </c>
      <c r="I867" s="30"/>
    </row>
    <row r="868" spans="1:9" ht="15.75" x14ac:dyDescent="0.25">
      <c r="A868" s="23">
        <v>802</v>
      </c>
      <c r="B868" s="6" t="str">
        <f>CADASTROS!$C$533</f>
        <v>Adailton Barbosa dos Santos</v>
      </c>
      <c r="C868" s="159"/>
      <c r="D868" s="159"/>
      <c r="E868" s="159"/>
      <c r="F868" s="159"/>
      <c r="G868" s="159"/>
      <c r="H868" s="159"/>
      <c r="I868" s="7">
        <f>SUM(C868+D868+E868+F868+G868+H868)</f>
        <v>0</v>
      </c>
    </row>
    <row r="869" spans="1:9" ht="15.75" x14ac:dyDescent="0.25">
      <c r="A869" s="23">
        <v>803</v>
      </c>
      <c r="B869" s="6" t="str">
        <f>CADASTROS!$C$534</f>
        <v>Carlinho Pereira dos Santos</v>
      </c>
      <c r="C869" s="159"/>
      <c r="D869" s="159"/>
      <c r="E869" s="159"/>
      <c r="F869" s="159"/>
      <c r="G869" s="159"/>
      <c r="H869" s="159"/>
      <c r="I869" s="7">
        <f t="shared" ref="I869:I894" si="84">SUM(C869+D869+E869+F869+G869+H869)</f>
        <v>0</v>
      </c>
    </row>
    <row r="870" spans="1:9" ht="15.75" x14ac:dyDescent="0.25">
      <c r="A870" s="23">
        <v>804</v>
      </c>
      <c r="B870" s="6" t="str">
        <f>CADASTROS!$C$535</f>
        <v>Regilandia Pereira dos Santos</v>
      </c>
      <c r="C870" s="159"/>
      <c r="D870" s="159"/>
      <c r="E870" s="159"/>
      <c r="F870" s="159"/>
      <c r="G870" s="159"/>
      <c r="H870" s="159"/>
      <c r="I870" s="7">
        <f t="shared" si="84"/>
        <v>0</v>
      </c>
    </row>
    <row r="871" spans="1:9" ht="15.75" x14ac:dyDescent="0.25">
      <c r="A871" s="23">
        <v>805</v>
      </c>
      <c r="B871" s="6" t="str">
        <f>CADASTROS!$C$536</f>
        <v>Roseli Lima de Oliveira</v>
      </c>
      <c r="C871" s="159"/>
      <c r="D871" s="159"/>
      <c r="E871" s="159"/>
      <c r="F871" s="159"/>
      <c r="G871" s="159"/>
      <c r="H871" s="159"/>
      <c r="I871" s="7">
        <f t="shared" si="84"/>
        <v>0</v>
      </c>
    </row>
    <row r="872" spans="1:9" ht="15.75" x14ac:dyDescent="0.25">
      <c r="A872" s="23">
        <v>806</v>
      </c>
      <c r="B872" s="6" t="str">
        <f>CADASTROS!$C$537</f>
        <v>Adriana Alcanja Santos</v>
      </c>
      <c r="C872" s="159"/>
      <c r="D872" s="159"/>
      <c r="E872" s="159"/>
      <c r="F872" s="159"/>
      <c r="G872" s="159"/>
      <c r="H872" s="159"/>
      <c r="I872" s="7">
        <f t="shared" si="84"/>
        <v>0</v>
      </c>
    </row>
    <row r="873" spans="1:9" ht="15.75" x14ac:dyDescent="0.25">
      <c r="A873" s="23">
        <v>807</v>
      </c>
      <c r="B873" s="6" t="str">
        <f>CADASTROS!$C$538</f>
        <v>Romário Nascimento dos Santos</v>
      </c>
      <c r="C873" s="159"/>
      <c r="D873" s="159"/>
      <c r="E873" s="159"/>
      <c r="F873" s="159"/>
      <c r="G873" s="159"/>
      <c r="H873" s="159"/>
      <c r="I873" s="7">
        <f t="shared" si="84"/>
        <v>0</v>
      </c>
    </row>
    <row r="874" spans="1:9" ht="15.75" x14ac:dyDescent="0.25">
      <c r="A874" s="23">
        <v>808</v>
      </c>
      <c r="B874" s="6" t="str">
        <f>CADASTROS!$C$539</f>
        <v>Adriana Carlos da Silva</v>
      </c>
      <c r="C874" s="159"/>
      <c r="D874" s="159"/>
      <c r="E874" s="159"/>
      <c r="F874" s="159"/>
      <c r="G874" s="159"/>
      <c r="H874" s="159"/>
      <c r="I874" s="7">
        <f t="shared" si="84"/>
        <v>0</v>
      </c>
    </row>
    <row r="875" spans="1:9" ht="15.75" x14ac:dyDescent="0.25">
      <c r="A875" s="23">
        <v>809</v>
      </c>
      <c r="B875" s="6" t="str">
        <f>CADASTROS!$C$540</f>
        <v>Maria José Alves de Souza</v>
      </c>
      <c r="C875" s="159"/>
      <c r="D875" s="159"/>
      <c r="E875" s="159"/>
      <c r="F875" s="159"/>
      <c r="G875" s="159"/>
      <c r="H875" s="159"/>
      <c r="I875" s="7">
        <f t="shared" si="84"/>
        <v>0</v>
      </c>
    </row>
    <row r="876" spans="1:9" ht="15.75" x14ac:dyDescent="0.25">
      <c r="A876" s="23">
        <v>810</v>
      </c>
      <c r="B876" s="6" t="str">
        <f>CADASTROS!$C$541</f>
        <v>Albino Joaquim da Silva</v>
      </c>
      <c r="C876" s="159"/>
      <c r="D876" s="159"/>
      <c r="E876" s="159"/>
      <c r="F876" s="159"/>
      <c r="G876" s="159"/>
      <c r="H876" s="159"/>
      <c r="I876" s="7">
        <f t="shared" si="84"/>
        <v>0</v>
      </c>
    </row>
    <row r="877" spans="1:9" ht="15.75" x14ac:dyDescent="0.25">
      <c r="A877" s="23">
        <v>812</v>
      </c>
      <c r="B877" s="6" t="str">
        <f>CADASTROS!$C$542</f>
        <v>Raimundo R Oliveira</v>
      </c>
      <c r="C877" s="159"/>
      <c r="D877" s="159"/>
      <c r="E877" s="159"/>
      <c r="F877" s="159"/>
      <c r="G877" s="159"/>
      <c r="H877" s="159"/>
      <c r="I877" s="7">
        <f t="shared" si="84"/>
        <v>0</v>
      </c>
    </row>
    <row r="878" spans="1:9" ht="15.75" x14ac:dyDescent="0.25">
      <c r="A878" s="23">
        <v>813</v>
      </c>
      <c r="B878" s="6" t="str">
        <f>CADASTROS!$C$543</f>
        <v>Graciene Maria Gabriel</v>
      </c>
      <c r="C878" s="159"/>
      <c r="D878" s="159"/>
      <c r="E878" s="159"/>
      <c r="F878" s="159"/>
      <c r="G878" s="159"/>
      <c r="H878" s="159"/>
      <c r="I878" s="7">
        <f t="shared" si="84"/>
        <v>0</v>
      </c>
    </row>
    <row r="879" spans="1:9" ht="15.75" x14ac:dyDescent="0.25">
      <c r="A879" s="23">
        <v>814</v>
      </c>
      <c r="B879" s="6" t="str">
        <f>CADASTROS!$C$544</f>
        <v>Mirian Jorge dos Santos</v>
      </c>
      <c r="C879" s="159"/>
      <c r="D879" s="159"/>
      <c r="E879" s="159"/>
      <c r="F879" s="159"/>
      <c r="G879" s="159"/>
      <c r="H879" s="159"/>
      <c r="I879" s="7">
        <f t="shared" si="84"/>
        <v>0</v>
      </c>
    </row>
    <row r="880" spans="1:9" ht="15.75" x14ac:dyDescent="0.25">
      <c r="A880" s="23">
        <v>815</v>
      </c>
      <c r="B880" s="6" t="str">
        <f>CADASTROS!$C$545</f>
        <v>Gilmacio Santos Oliveira</v>
      </c>
      <c r="C880" s="159"/>
      <c r="D880" s="159"/>
      <c r="E880" s="159"/>
      <c r="F880" s="159"/>
      <c r="G880" s="159"/>
      <c r="H880" s="159"/>
      <c r="I880" s="7">
        <f t="shared" si="84"/>
        <v>0</v>
      </c>
    </row>
    <row r="881" spans="1:9" ht="15.75" x14ac:dyDescent="0.25">
      <c r="A881" s="23">
        <v>816</v>
      </c>
      <c r="B881" s="6" t="str">
        <f>CADASTROS!$C$546</f>
        <v>Roberto A Fernandes</v>
      </c>
      <c r="C881" s="159"/>
      <c r="D881" s="159"/>
      <c r="E881" s="159"/>
      <c r="F881" s="159"/>
      <c r="G881" s="159"/>
      <c r="H881" s="159"/>
      <c r="I881" s="7">
        <f t="shared" si="84"/>
        <v>0</v>
      </c>
    </row>
    <row r="882" spans="1:9" ht="15.75" x14ac:dyDescent="0.25">
      <c r="A882" s="23">
        <v>817</v>
      </c>
      <c r="B882" s="6" t="str">
        <f>CADASTROS!$C$547</f>
        <v>Zenaide Souza</v>
      </c>
      <c r="C882" s="159"/>
      <c r="D882" s="159"/>
      <c r="E882" s="159"/>
      <c r="F882" s="159"/>
      <c r="G882" s="159"/>
      <c r="H882" s="159"/>
      <c r="I882" s="7">
        <f t="shared" si="84"/>
        <v>0</v>
      </c>
    </row>
    <row r="883" spans="1:9" ht="15.75" x14ac:dyDescent="0.25">
      <c r="A883" s="23">
        <v>818</v>
      </c>
      <c r="B883" s="6" t="str">
        <f>CADASTROS!$C$548</f>
        <v>Leda Marcia Rosa Santos</v>
      </c>
      <c r="C883" s="159"/>
      <c r="D883" s="159"/>
      <c r="E883" s="159"/>
      <c r="F883" s="159"/>
      <c r="G883" s="159"/>
      <c r="H883" s="159"/>
      <c r="I883" s="7">
        <f t="shared" si="84"/>
        <v>0</v>
      </c>
    </row>
    <row r="884" spans="1:9" ht="15.75" x14ac:dyDescent="0.25">
      <c r="A884" s="23">
        <v>819</v>
      </c>
      <c r="B884" s="6" t="str">
        <f>CADASTROS!$C$549</f>
        <v>Valter Pereira Alves</v>
      </c>
      <c r="C884" s="159"/>
      <c r="D884" s="159"/>
      <c r="E884" s="159"/>
      <c r="F884" s="159"/>
      <c r="G884" s="159"/>
      <c r="H884" s="159"/>
      <c r="I884" s="7">
        <f t="shared" si="84"/>
        <v>0</v>
      </c>
    </row>
    <row r="885" spans="1:9" ht="15.75" x14ac:dyDescent="0.25">
      <c r="A885" s="23">
        <v>820</v>
      </c>
      <c r="B885" s="6" t="str">
        <f>CADASTROS!$C$550</f>
        <v>Sebastião Almeida da Cruz</v>
      </c>
      <c r="C885" s="159"/>
      <c r="D885" s="159"/>
      <c r="E885" s="159"/>
      <c r="F885" s="159"/>
      <c r="G885" s="159"/>
      <c r="H885" s="159"/>
      <c r="I885" s="7">
        <f t="shared" si="84"/>
        <v>0</v>
      </c>
    </row>
    <row r="886" spans="1:9" ht="15.75" x14ac:dyDescent="0.25">
      <c r="A886" s="23">
        <v>821</v>
      </c>
      <c r="B886" s="6" t="str">
        <f>CADASTROS!$C$551</f>
        <v>Ana Rita Santos de Souza</v>
      </c>
      <c r="C886" s="159"/>
      <c r="D886" s="159"/>
      <c r="E886" s="159"/>
      <c r="F886" s="159"/>
      <c r="G886" s="159"/>
      <c r="H886" s="159"/>
      <c r="I886" s="7">
        <f t="shared" si="84"/>
        <v>0</v>
      </c>
    </row>
    <row r="887" spans="1:9" ht="15.75" x14ac:dyDescent="0.25">
      <c r="A887" s="23">
        <v>822</v>
      </c>
      <c r="B887" s="6" t="str">
        <f>CADASTROS!$C$552</f>
        <v>Luana Conceição Santos</v>
      </c>
      <c r="C887" s="159"/>
      <c r="D887" s="159"/>
      <c r="E887" s="159"/>
      <c r="F887" s="159"/>
      <c r="G887" s="159"/>
      <c r="H887" s="159"/>
      <c r="I887" s="7">
        <f t="shared" si="84"/>
        <v>0</v>
      </c>
    </row>
    <row r="888" spans="1:9" ht="15.75" x14ac:dyDescent="0.25">
      <c r="A888" s="23">
        <v>823</v>
      </c>
      <c r="B888" s="6" t="str">
        <f>CADASTROS!$C$553</f>
        <v>Aldenir Marques de Souza</v>
      </c>
      <c r="C888" s="159"/>
      <c r="D888" s="159"/>
      <c r="E888" s="159"/>
      <c r="F888" s="159"/>
      <c r="G888" s="159"/>
      <c r="H888" s="159"/>
      <c r="I888" s="7">
        <f t="shared" si="84"/>
        <v>0</v>
      </c>
    </row>
    <row r="889" spans="1:9" ht="15.75" x14ac:dyDescent="0.25">
      <c r="A889" s="23">
        <v>824</v>
      </c>
      <c r="B889" s="6" t="str">
        <f>CADASTROS!$C$554</f>
        <v>Neilton de Oliveira Mendes</v>
      </c>
      <c r="C889" s="159"/>
      <c r="D889" s="159"/>
      <c r="E889" s="159"/>
      <c r="F889" s="159"/>
      <c r="G889" s="159"/>
      <c r="H889" s="159"/>
      <c r="I889" s="7">
        <f t="shared" si="84"/>
        <v>0</v>
      </c>
    </row>
    <row r="890" spans="1:9" ht="15.75" x14ac:dyDescent="0.25">
      <c r="A890" s="23">
        <v>826</v>
      </c>
      <c r="B890" s="6" t="str">
        <f>CADASTROS!$C$555</f>
        <v>Ednalva Moreira da Silva</v>
      </c>
      <c r="C890" s="159"/>
      <c r="D890" s="159"/>
      <c r="E890" s="159"/>
      <c r="F890" s="159"/>
      <c r="G890" s="159"/>
      <c r="H890" s="159"/>
      <c r="I890" s="7">
        <f t="shared" si="84"/>
        <v>0</v>
      </c>
    </row>
    <row r="891" spans="1:9" ht="15.75" x14ac:dyDescent="0.25">
      <c r="A891" s="23">
        <v>827</v>
      </c>
      <c r="B891" s="6" t="str">
        <f>CADASTROS!$C$556</f>
        <v>Nilza Bispo Ferreira</v>
      </c>
      <c r="C891" s="159"/>
      <c r="D891" s="159"/>
      <c r="E891" s="159"/>
      <c r="F891" s="159"/>
      <c r="G891" s="159"/>
      <c r="H891" s="159"/>
      <c r="I891" s="7">
        <f t="shared" si="84"/>
        <v>0</v>
      </c>
    </row>
    <row r="892" spans="1:9" ht="15.75" x14ac:dyDescent="0.25">
      <c r="A892" s="23">
        <v>828</v>
      </c>
      <c r="B892" s="6" t="str">
        <f>CADASTROS!$C$557</f>
        <v>Alcilene Jesus da Silva</v>
      </c>
      <c r="C892" s="159"/>
      <c r="D892" s="159"/>
      <c r="E892" s="159"/>
      <c r="F892" s="159"/>
      <c r="G892" s="159"/>
      <c r="H892" s="159"/>
      <c r="I892" s="7">
        <f t="shared" si="84"/>
        <v>0</v>
      </c>
    </row>
    <row r="893" spans="1:9" ht="15.75" x14ac:dyDescent="0.25">
      <c r="A893" s="23">
        <v>829</v>
      </c>
      <c r="B893" s="6" t="str">
        <f>CADASTROS!$C$558</f>
        <v>Mariazinha de Jesus Silva</v>
      </c>
      <c r="C893" s="159"/>
      <c r="D893" s="159"/>
      <c r="E893" s="159"/>
      <c r="F893" s="159"/>
      <c r="G893" s="159"/>
      <c r="H893" s="159"/>
      <c r="I893" s="7">
        <f t="shared" si="84"/>
        <v>0</v>
      </c>
    </row>
    <row r="894" spans="1:9" ht="15.75" x14ac:dyDescent="0.25">
      <c r="A894" s="23">
        <v>830</v>
      </c>
      <c r="B894" s="6" t="str">
        <f>CADASTROS!$C$559</f>
        <v>Maria José Alves da Silva</v>
      </c>
      <c r="C894" s="159"/>
      <c r="D894" s="159"/>
      <c r="E894" s="159"/>
      <c r="F894" s="159"/>
      <c r="G894" s="159"/>
      <c r="H894" s="159"/>
      <c r="I894" s="7">
        <f t="shared" si="84"/>
        <v>0</v>
      </c>
    </row>
    <row r="895" spans="1:9" ht="15.75" x14ac:dyDescent="0.25">
      <c r="B895" s="159" t="s">
        <v>4829</v>
      </c>
      <c r="C895" s="159">
        <f>SUM(C868:C894)</f>
        <v>0</v>
      </c>
      <c r="D895" s="159">
        <f t="shared" ref="D895:H895" si="85">SUM(D868:D894)</f>
        <v>0</v>
      </c>
      <c r="E895" s="159">
        <f t="shared" si="85"/>
        <v>0</v>
      </c>
      <c r="F895" s="159">
        <f t="shared" si="85"/>
        <v>0</v>
      </c>
      <c r="G895" s="159">
        <f t="shared" si="85"/>
        <v>0</v>
      </c>
      <c r="H895" s="159">
        <f t="shared" si="85"/>
        <v>0</v>
      </c>
      <c r="I895" s="159">
        <f>SUM(I868:I894)</f>
        <v>0</v>
      </c>
    </row>
    <row r="897" spans="1:13" ht="15.75" x14ac:dyDescent="0.25">
      <c r="B897" s="8" t="s">
        <v>4830</v>
      </c>
      <c r="C897" s="159"/>
      <c r="D897" s="159"/>
      <c r="E897" s="159"/>
      <c r="F897" s="159"/>
      <c r="G897" s="159"/>
      <c r="H897" s="159"/>
      <c r="I897" s="159">
        <f>SUM(C897:H897)</f>
        <v>0</v>
      </c>
    </row>
    <row r="898" spans="1:13" x14ac:dyDescent="0.25">
      <c r="B898" s="167"/>
    </row>
    <row r="899" spans="1:13" ht="15.75" x14ac:dyDescent="0.25">
      <c r="B899" s="8" t="s">
        <v>4831</v>
      </c>
      <c r="C899" s="9" t="e">
        <f>C895/C897</f>
        <v>#DIV/0!</v>
      </c>
      <c r="D899" s="9" t="e">
        <f t="shared" ref="D899:H899" si="86">D895/D897</f>
        <v>#DIV/0!</v>
      </c>
      <c r="E899" s="9" t="e">
        <f t="shared" si="86"/>
        <v>#DIV/0!</v>
      </c>
      <c r="F899" s="9" t="e">
        <f t="shared" si="86"/>
        <v>#DIV/0!</v>
      </c>
      <c r="G899" s="9" t="e">
        <f t="shared" si="86"/>
        <v>#DIV/0!</v>
      </c>
      <c r="H899" s="9" t="e">
        <f t="shared" si="86"/>
        <v>#DIV/0!</v>
      </c>
      <c r="I899" s="9"/>
    </row>
    <row r="900" spans="1:13" ht="15.75" x14ac:dyDescent="0.25">
      <c r="B900" s="163"/>
      <c r="C900" s="10"/>
      <c r="D900" s="10"/>
      <c r="E900" s="10"/>
      <c r="F900" s="10"/>
      <c r="G900" s="10"/>
      <c r="H900" s="163"/>
      <c r="I900" s="163"/>
    </row>
    <row r="901" spans="1:13" ht="15.75" x14ac:dyDescent="0.25">
      <c r="B901" s="8" t="s">
        <v>4832</v>
      </c>
      <c r="C901" s="159"/>
      <c r="D901" s="159"/>
      <c r="E901" s="6"/>
      <c r="F901" s="6"/>
      <c r="G901" s="6"/>
      <c r="H901" s="6"/>
      <c r="I901" s="11"/>
    </row>
    <row r="904" spans="1:13" ht="21" x14ac:dyDescent="0.35">
      <c r="B904" s="184" t="s">
        <v>4816</v>
      </c>
      <c r="C904" s="185"/>
      <c r="D904" s="185"/>
      <c r="E904" s="185"/>
      <c r="F904" s="185"/>
      <c r="G904" s="185"/>
      <c r="H904" s="185"/>
      <c r="I904" s="186"/>
    </row>
    <row r="905" spans="1:13" x14ac:dyDescent="0.25">
      <c r="I905" s="3"/>
    </row>
    <row r="906" spans="1:13" ht="21" x14ac:dyDescent="0.35">
      <c r="B906" s="192" t="s">
        <v>4817</v>
      </c>
      <c r="C906" s="193"/>
      <c r="D906" s="193"/>
      <c r="E906" s="193"/>
      <c r="F906" s="193"/>
      <c r="G906" s="193"/>
      <c r="H906" s="193"/>
      <c r="I906" s="194"/>
    </row>
    <row r="908" spans="1:13" ht="33.6" customHeight="1" x14ac:dyDescent="0.25">
      <c r="B908" s="187" t="s">
        <v>4842</v>
      </c>
      <c r="C908" s="188"/>
      <c r="D908" s="188"/>
      <c r="E908" s="188"/>
      <c r="F908" s="188"/>
      <c r="G908" s="188"/>
      <c r="H908" s="188"/>
      <c r="I908" s="189"/>
    </row>
    <row r="909" spans="1:13" ht="47.25" x14ac:dyDescent="0.25">
      <c r="A909" s="155" t="s">
        <v>4819</v>
      </c>
      <c r="B909" s="155" t="s">
        <v>4820</v>
      </c>
      <c r="C909" s="4" t="s">
        <v>4821</v>
      </c>
      <c r="D909" s="4" t="s">
        <v>4822</v>
      </c>
      <c r="E909" s="88" t="s">
        <v>4823</v>
      </c>
      <c r="F909" s="88" t="s">
        <v>4824</v>
      </c>
      <c r="G909" s="88" t="s">
        <v>4825</v>
      </c>
      <c r="H909" s="4" t="s">
        <v>4826</v>
      </c>
      <c r="I909" s="29" t="s">
        <v>4827</v>
      </c>
    </row>
    <row r="910" spans="1:13" ht="25.5" x14ac:dyDescent="0.25">
      <c r="A910" s="156"/>
      <c r="B910" s="156"/>
      <c r="C910" s="13" t="s">
        <v>4828</v>
      </c>
      <c r="D910" s="13" t="s">
        <v>4828</v>
      </c>
      <c r="E910" s="13" t="s">
        <v>4828</v>
      </c>
      <c r="F910" s="13" t="s">
        <v>4828</v>
      </c>
      <c r="G910" s="13" t="s">
        <v>4828</v>
      </c>
      <c r="H910" s="13" t="s">
        <v>4828</v>
      </c>
      <c r="I910" s="30"/>
      <c r="J910" s="94"/>
      <c r="K910" s="94"/>
      <c r="L910" s="93"/>
      <c r="M910" s="93"/>
    </row>
    <row r="911" spans="1:13" ht="15.75" x14ac:dyDescent="0.25">
      <c r="A911" s="23">
        <v>831</v>
      </c>
      <c r="B911" s="6" t="str">
        <f>CADASTROS!$C$560</f>
        <v>Adenilson Amaral</v>
      </c>
      <c r="C911" s="159"/>
      <c r="D911" s="159"/>
      <c r="E911" s="159"/>
      <c r="F911" s="159"/>
      <c r="G911" s="159"/>
      <c r="H911" s="159"/>
      <c r="I911" s="7">
        <f>SUM(C911+D911+E911+F911+G911+H911)</f>
        <v>0</v>
      </c>
    </row>
    <row r="912" spans="1:13" ht="15.75" x14ac:dyDescent="0.25">
      <c r="A912" s="23">
        <v>832</v>
      </c>
      <c r="B912" s="6" t="str">
        <f>CADASTROS!$C$561</f>
        <v>Girleide Jesus da Silva</v>
      </c>
      <c r="C912" s="159"/>
      <c r="D912" s="159"/>
      <c r="E912" s="159"/>
      <c r="F912" s="159"/>
      <c r="G912" s="159"/>
      <c r="H912" s="159"/>
      <c r="I912" s="7">
        <f t="shared" ref="I912:I937" si="87">SUM(C912+D912+E912+F912+G912+H912)</f>
        <v>0</v>
      </c>
    </row>
    <row r="913" spans="1:9" ht="15.75" x14ac:dyDescent="0.25">
      <c r="A913" s="23">
        <v>833</v>
      </c>
      <c r="B913" s="6" t="str">
        <f>CADASTROS!$C$562</f>
        <v>Edvan Brito Santos</v>
      </c>
      <c r="C913" s="159"/>
      <c r="D913" s="159"/>
      <c r="E913" s="159"/>
      <c r="F913" s="159"/>
      <c r="G913" s="159"/>
      <c r="H913" s="159"/>
      <c r="I913" s="7">
        <f t="shared" si="87"/>
        <v>0</v>
      </c>
    </row>
    <row r="914" spans="1:9" ht="15.75" x14ac:dyDescent="0.25">
      <c r="A914" s="23">
        <v>834</v>
      </c>
      <c r="B914" s="6" t="str">
        <f>CADASTROS!$C$563</f>
        <v>Agda M de Souza Cruz</v>
      </c>
      <c r="C914" s="159">
        <v>18</v>
      </c>
      <c r="D914" s="159">
        <v>17</v>
      </c>
      <c r="E914" s="159">
        <v>17.5</v>
      </c>
      <c r="F914" s="159"/>
      <c r="G914" s="159">
        <v>15</v>
      </c>
      <c r="H914" s="159"/>
      <c r="I914" s="7">
        <f t="shared" si="87"/>
        <v>67.5</v>
      </c>
    </row>
    <row r="915" spans="1:9" ht="15.75" x14ac:dyDescent="0.25">
      <c r="A915" s="23">
        <v>835</v>
      </c>
      <c r="B915" s="6" t="str">
        <f>CADASTROS!$C$564</f>
        <v>Marlene Rosa de Jesus</v>
      </c>
      <c r="C915" s="159"/>
      <c r="D915" s="159"/>
      <c r="E915" s="159"/>
      <c r="F915" s="159"/>
      <c r="G915" s="159"/>
      <c r="H915" s="159"/>
      <c r="I915" s="7">
        <f t="shared" si="87"/>
        <v>0</v>
      </c>
    </row>
    <row r="916" spans="1:9" ht="15.75" x14ac:dyDescent="0.25">
      <c r="A916" s="23">
        <v>836</v>
      </c>
      <c r="B916" s="6" t="str">
        <f>CADASTROS!$C$565</f>
        <v>Maria Nilma S Oliveira</v>
      </c>
      <c r="C916" s="159"/>
      <c r="D916" s="159"/>
      <c r="E916" s="159"/>
      <c r="F916" s="159"/>
      <c r="G916" s="159"/>
      <c r="H916" s="159"/>
      <c r="I916" s="7">
        <f t="shared" si="87"/>
        <v>0</v>
      </c>
    </row>
    <row r="917" spans="1:9" ht="15.75" x14ac:dyDescent="0.25">
      <c r="A917" s="23">
        <v>837</v>
      </c>
      <c r="B917" s="6" t="str">
        <f>CADASTROS!$C$566</f>
        <v>Lisete Araújos dos Santos</v>
      </c>
      <c r="C917" s="159"/>
      <c r="D917" s="159"/>
      <c r="E917" s="159"/>
      <c r="F917" s="159"/>
      <c r="G917" s="159"/>
      <c r="H917" s="159"/>
      <c r="I917" s="7">
        <f t="shared" si="87"/>
        <v>0</v>
      </c>
    </row>
    <row r="918" spans="1:9" ht="15.75" x14ac:dyDescent="0.25">
      <c r="A918" s="23">
        <v>838</v>
      </c>
      <c r="B918" s="6" t="str">
        <f>CADASTROS!$C$567</f>
        <v>Francineide Sabino da Silva</v>
      </c>
      <c r="C918" s="159"/>
      <c r="D918" s="159"/>
      <c r="E918" s="159"/>
      <c r="F918" s="159"/>
      <c r="G918" s="159"/>
      <c r="H918" s="159"/>
      <c r="I918" s="7">
        <f t="shared" si="87"/>
        <v>0</v>
      </c>
    </row>
    <row r="919" spans="1:9" ht="15.75" x14ac:dyDescent="0.25">
      <c r="A919" s="23">
        <v>839</v>
      </c>
      <c r="B919" s="6" t="str">
        <f>CADASTROS!$C$568</f>
        <v>Lucidalva S Gonçaves</v>
      </c>
      <c r="C919" s="159"/>
      <c r="D919" s="159"/>
      <c r="E919" s="159"/>
      <c r="F919" s="159"/>
      <c r="G919" s="159"/>
      <c r="H919" s="159"/>
      <c r="I919" s="7">
        <f t="shared" si="87"/>
        <v>0</v>
      </c>
    </row>
    <row r="920" spans="1:9" ht="15.75" x14ac:dyDescent="0.25">
      <c r="A920" s="23">
        <v>840</v>
      </c>
      <c r="B920" s="6" t="str">
        <f>CADASTROS!$C$569</f>
        <v>Sandoval Francisco de Souza</v>
      </c>
      <c r="C920" s="159"/>
      <c r="D920" s="159"/>
      <c r="E920" s="159"/>
      <c r="F920" s="159"/>
      <c r="G920" s="159"/>
      <c r="H920" s="159"/>
      <c r="I920" s="7">
        <f t="shared" si="87"/>
        <v>0</v>
      </c>
    </row>
    <row r="921" spans="1:9" ht="15.75" x14ac:dyDescent="0.25">
      <c r="A921" s="23">
        <v>841</v>
      </c>
      <c r="B921" s="6" t="str">
        <f>CADASTROS!$C$570</f>
        <v>Damare Santana Passos</v>
      </c>
      <c r="C921" s="159"/>
      <c r="D921" s="159"/>
      <c r="E921" s="159"/>
      <c r="F921" s="159"/>
      <c r="G921" s="159"/>
      <c r="H921" s="159"/>
      <c r="I921" s="7">
        <f t="shared" si="87"/>
        <v>0</v>
      </c>
    </row>
    <row r="922" spans="1:9" ht="15.75" x14ac:dyDescent="0.25">
      <c r="A922" s="23">
        <v>842</v>
      </c>
      <c r="B922" s="6" t="str">
        <f>CADASTROS!$C$571</f>
        <v>Noelma Araújo dos Santos</v>
      </c>
      <c r="C922" s="159"/>
      <c r="D922" s="159"/>
      <c r="E922" s="159"/>
      <c r="F922" s="159"/>
      <c r="G922" s="159"/>
      <c r="H922" s="159"/>
      <c r="I922" s="7">
        <f t="shared" si="87"/>
        <v>0</v>
      </c>
    </row>
    <row r="923" spans="1:9" ht="15.75" x14ac:dyDescent="0.25">
      <c r="A923" s="23">
        <v>843</v>
      </c>
      <c r="B923" s="6" t="str">
        <f>CADASTROS!$C$572</f>
        <v>Zilnei Fernandes da Silva</v>
      </c>
      <c r="C923" s="159"/>
      <c r="D923" s="159"/>
      <c r="E923" s="159"/>
      <c r="F923" s="159"/>
      <c r="G923" s="159"/>
      <c r="H923" s="159"/>
      <c r="I923" s="7">
        <f t="shared" si="87"/>
        <v>0</v>
      </c>
    </row>
    <row r="924" spans="1:9" ht="15.75" x14ac:dyDescent="0.25">
      <c r="A924" s="23">
        <v>844</v>
      </c>
      <c r="B924" s="6" t="str">
        <f>CADASTROS!$C$573</f>
        <v>Floraci Maria Fidelis</v>
      </c>
      <c r="C924" s="159"/>
      <c r="D924" s="159"/>
      <c r="E924" s="159"/>
      <c r="F924" s="159"/>
      <c r="G924" s="159"/>
      <c r="H924" s="159"/>
      <c r="I924" s="7">
        <f t="shared" si="87"/>
        <v>0</v>
      </c>
    </row>
    <row r="925" spans="1:9" ht="15.75" x14ac:dyDescent="0.25">
      <c r="A925" s="23">
        <v>845</v>
      </c>
      <c r="B925" s="6" t="str">
        <f>CADASTROS!$C$574</f>
        <v>Gersivan Santos Gonçalves</v>
      </c>
      <c r="C925" s="159"/>
      <c r="D925" s="159"/>
      <c r="E925" s="159"/>
      <c r="F925" s="159"/>
      <c r="G925" s="159"/>
      <c r="H925" s="159"/>
      <c r="I925" s="7">
        <f t="shared" si="87"/>
        <v>0</v>
      </c>
    </row>
    <row r="926" spans="1:9" ht="15.75" x14ac:dyDescent="0.25">
      <c r="A926" s="23">
        <v>846</v>
      </c>
      <c r="B926" s="6" t="str">
        <f>CADASTROS!$C$575</f>
        <v>Ivanilde Barbosa Viana</v>
      </c>
      <c r="C926" s="159">
        <v>23</v>
      </c>
      <c r="D926" s="159">
        <v>26</v>
      </c>
      <c r="E926" s="159">
        <v>21.5</v>
      </c>
      <c r="F926" s="159"/>
      <c r="G926" s="159">
        <v>17</v>
      </c>
      <c r="H926" s="159"/>
      <c r="I926" s="7">
        <f t="shared" si="87"/>
        <v>87.5</v>
      </c>
    </row>
    <row r="927" spans="1:9" ht="15.75" x14ac:dyDescent="0.25">
      <c r="A927" s="23">
        <v>847</v>
      </c>
      <c r="B927" s="6" t="str">
        <f>CADASTROS!$C$576</f>
        <v>Cassio Jesus Silva</v>
      </c>
      <c r="C927" s="159"/>
      <c r="D927" s="159"/>
      <c r="E927" s="159"/>
      <c r="F927" s="159"/>
      <c r="G927" s="159"/>
      <c r="H927" s="159"/>
      <c r="I927" s="7">
        <f t="shared" si="87"/>
        <v>0</v>
      </c>
    </row>
    <row r="928" spans="1:9" ht="15.75" x14ac:dyDescent="0.25">
      <c r="A928" s="23">
        <v>848</v>
      </c>
      <c r="B928" s="6" t="str">
        <f>CADASTROS!$C$577</f>
        <v>Eciene Pereira da Silva</v>
      </c>
      <c r="C928" s="159">
        <v>35</v>
      </c>
      <c r="D928" s="159">
        <v>47.5</v>
      </c>
      <c r="E928" s="159">
        <v>33</v>
      </c>
      <c r="F928" s="159"/>
      <c r="G928" s="159">
        <v>52.5</v>
      </c>
      <c r="H928" s="159">
        <v>38</v>
      </c>
      <c r="I928" s="7">
        <f t="shared" si="87"/>
        <v>206</v>
      </c>
    </row>
    <row r="929" spans="1:9" ht="15.75" x14ac:dyDescent="0.25">
      <c r="A929" s="23">
        <v>849</v>
      </c>
      <c r="B929" s="6" t="str">
        <f>CADASTROS!$C$578</f>
        <v>Ronaldo Souza da Cruz</v>
      </c>
      <c r="C929" s="159"/>
      <c r="D929" s="159">
        <v>6</v>
      </c>
      <c r="E929" s="159"/>
      <c r="F929" s="159"/>
      <c r="G929" s="159">
        <v>19</v>
      </c>
      <c r="H929" s="159"/>
      <c r="I929" s="7">
        <f t="shared" si="87"/>
        <v>25</v>
      </c>
    </row>
    <row r="930" spans="1:9" ht="15.75" x14ac:dyDescent="0.25">
      <c r="A930" s="23">
        <v>850</v>
      </c>
      <c r="B930" s="6" t="str">
        <f>CADASTROS!$C$579</f>
        <v>Maria Paula de Jesus Matos</v>
      </c>
      <c r="C930" s="159"/>
      <c r="D930" s="159"/>
      <c r="E930" s="159"/>
      <c r="F930" s="159"/>
      <c r="G930" s="159"/>
      <c r="H930" s="159"/>
      <c r="I930" s="7">
        <f t="shared" si="87"/>
        <v>0</v>
      </c>
    </row>
    <row r="931" spans="1:9" ht="15.75" x14ac:dyDescent="0.25">
      <c r="A931" s="23">
        <v>851</v>
      </c>
      <c r="B931" s="6" t="str">
        <f>CADASTROS!$C$580</f>
        <v>Lucas Fernandes B Santos</v>
      </c>
      <c r="C931" s="159">
        <v>15</v>
      </c>
      <c r="D931" s="159">
        <v>11</v>
      </c>
      <c r="E931" s="159">
        <v>13.5</v>
      </c>
      <c r="F931" s="159"/>
      <c r="G931" s="159">
        <v>14</v>
      </c>
      <c r="H931" s="159"/>
      <c r="I931" s="7">
        <f t="shared" si="87"/>
        <v>53.5</v>
      </c>
    </row>
    <row r="932" spans="1:9" ht="15.75" x14ac:dyDescent="0.25">
      <c r="A932" s="23">
        <v>852</v>
      </c>
      <c r="B932" s="6" t="str">
        <f>CADASTROS!$C$581</f>
        <v>Leandro Souza dos Santos</v>
      </c>
      <c r="C932" s="159"/>
      <c r="D932" s="159"/>
      <c r="E932" s="159"/>
      <c r="F932" s="159"/>
      <c r="G932" s="159"/>
      <c r="H932" s="159"/>
      <c r="I932" s="7">
        <f t="shared" si="87"/>
        <v>0</v>
      </c>
    </row>
    <row r="933" spans="1:9" ht="15.75" x14ac:dyDescent="0.25">
      <c r="A933" s="23">
        <v>853</v>
      </c>
      <c r="B933" s="6" t="str">
        <f>CADASTROS!$C$582</f>
        <v>Alex Silva dos Santos</v>
      </c>
      <c r="C933" s="159"/>
      <c r="D933" s="159"/>
      <c r="E933" s="159"/>
      <c r="F933" s="159"/>
      <c r="G933" s="159"/>
      <c r="H933" s="159"/>
      <c r="I933" s="7">
        <f t="shared" si="87"/>
        <v>0</v>
      </c>
    </row>
    <row r="934" spans="1:9" ht="15.75" x14ac:dyDescent="0.25">
      <c r="A934" s="23">
        <v>854</v>
      </c>
      <c r="B934" s="6" t="str">
        <f>CADASTROS!$C$583</f>
        <v>Nilzete de Jesus Santos</v>
      </c>
      <c r="C934" s="159"/>
      <c r="D934" s="159"/>
      <c r="E934" s="159"/>
      <c r="F934" s="159"/>
      <c r="G934" s="159"/>
      <c r="H934" s="159"/>
      <c r="I934" s="7">
        <f t="shared" si="87"/>
        <v>0</v>
      </c>
    </row>
    <row r="935" spans="1:9" ht="15.75" x14ac:dyDescent="0.25">
      <c r="A935" s="23">
        <v>864</v>
      </c>
      <c r="B935" s="6" t="str">
        <f>CADASTROS!$C$584</f>
        <v>Maria de Fátima Teles de Oliveira</v>
      </c>
      <c r="C935" s="159"/>
      <c r="D935" s="159"/>
      <c r="E935" s="159"/>
      <c r="F935" s="159"/>
      <c r="G935" s="159"/>
      <c r="H935" s="159"/>
      <c r="I935" s="7">
        <f t="shared" si="87"/>
        <v>0</v>
      </c>
    </row>
    <row r="936" spans="1:9" ht="15.75" x14ac:dyDescent="0.25">
      <c r="A936" s="23">
        <v>865</v>
      </c>
      <c r="B936" s="6" t="str">
        <f>CADASTROS!$C$585</f>
        <v>Elvismaria Santos dos Anjos</v>
      </c>
      <c r="C936" s="159"/>
      <c r="D936" s="159"/>
      <c r="E936" s="159"/>
      <c r="F936" s="159"/>
      <c r="G936" s="159"/>
      <c r="H936" s="159"/>
      <c r="I936" s="7">
        <f t="shared" si="87"/>
        <v>0</v>
      </c>
    </row>
    <row r="937" spans="1:9" ht="15.75" x14ac:dyDescent="0.25">
      <c r="A937" s="23">
        <v>866</v>
      </c>
      <c r="B937" s="6" t="str">
        <f>CADASTROS!$C$586</f>
        <v>Evanessa Santos Oliveira</v>
      </c>
      <c r="C937" s="159"/>
      <c r="D937" s="159"/>
      <c r="E937" s="159"/>
      <c r="F937" s="159"/>
      <c r="G937" s="159"/>
      <c r="H937" s="159"/>
      <c r="I937" s="7">
        <f t="shared" si="87"/>
        <v>0</v>
      </c>
    </row>
    <row r="938" spans="1:9" ht="15.75" x14ac:dyDescent="0.25">
      <c r="B938" s="159" t="s">
        <v>4829</v>
      </c>
      <c r="C938" s="159">
        <f>SUM(C911:C937)</f>
        <v>91</v>
      </c>
      <c r="D938" s="159">
        <f t="shared" ref="D938:H938" si="88">SUM(D911:D937)</f>
        <v>107.5</v>
      </c>
      <c r="E938" s="159">
        <f t="shared" si="88"/>
        <v>85.5</v>
      </c>
      <c r="F938" s="159">
        <f t="shared" si="88"/>
        <v>0</v>
      </c>
      <c r="G938" s="159">
        <f t="shared" si="88"/>
        <v>117.5</v>
      </c>
      <c r="H938" s="159">
        <f t="shared" si="88"/>
        <v>38</v>
      </c>
      <c r="I938" s="159">
        <f>SUM(I911:I937)</f>
        <v>439.5</v>
      </c>
    </row>
    <row r="940" spans="1:9" ht="15.75" x14ac:dyDescent="0.25">
      <c r="B940" s="8" t="s">
        <v>4830</v>
      </c>
      <c r="C940" s="159"/>
      <c r="D940" s="159"/>
      <c r="E940" s="159"/>
      <c r="F940" s="159"/>
      <c r="G940" s="159"/>
      <c r="H940" s="159"/>
      <c r="I940" s="159">
        <f>SUM(C940:H940)</f>
        <v>0</v>
      </c>
    </row>
    <row r="941" spans="1:9" x14ac:dyDescent="0.25">
      <c r="B941" s="167"/>
    </row>
    <row r="942" spans="1:9" ht="15.75" x14ac:dyDescent="0.25">
      <c r="B942" s="8" t="s">
        <v>4831</v>
      </c>
      <c r="C942" s="9" t="e">
        <f>C938/C940</f>
        <v>#DIV/0!</v>
      </c>
      <c r="D942" s="9" t="e">
        <f t="shared" ref="D942:H942" si="89">D938/D940</f>
        <v>#DIV/0!</v>
      </c>
      <c r="E942" s="9" t="e">
        <f t="shared" si="89"/>
        <v>#DIV/0!</v>
      </c>
      <c r="F942" s="9" t="e">
        <f t="shared" si="89"/>
        <v>#DIV/0!</v>
      </c>
      <c r="G942" s="9" t="e">
        <f t="shared" si="89"/>
        <v>#DIV/0!</v>
      </c>
      <c r="H942" s="9" t="e">
        <f t="shared" si="89"/>
        <v>#DIV/0!</v>
      </c>
      <c r="I942" s="9"/>
    </row>
    <row r="943" spans="1:9" ht="15.75" x14ac:dyDescent="0.25">
      <c r="B943" s="163"/>
      <c r="C943" s="10"/>
      <c r="D943" s="10"/>
      <c r="E943" s="10"/>
      <c r="F943" s="10"/>
      <c r="G943" s="10"/>
      <c r="H943" s="163"/>
      <c r="I943" s="163"/>
    </row>
    <row r="944" spans="1:9" ht="15.75" x14ac:dyDescent="0.25">
      <c r="B944" s="8" t="s">
        <v>4832</v>
      </c>
      <c r="C944" s="159"/>
      <c r="D944" s="159"/>
      <c r="E944" s="6"/>
      <c r="F944" s="6"/>
      <c r="G944" s="6"/>
      <c r="H944" s="6"/>
      <c r="I944" s="11"/>
    </row>
    <row r="947" spans="1:9" ht="21" x14ac:dyDescent="0.35">
      <c r="B947" s="184" t="s">
        <v>4816</v>
      </c>
      <c r="C947" s="185"/>
      <c r="D947" s="185"/>
      <c r="E947" s="185"/>
      <c r="F947" s="185"/>
      <c r="G947" s="185"/>
      <c r="H947" s="185"/>
      <c r="I947" s="186"/>
    </row>
    <row r="948" spans="1:9" x14ac:dyDescent="0.25">
      <c r="I948" s="3"/>
    </row>
    <row r="949" spans="1:9" ht="21" x14ac:dyDescent="0.35">
      <c r="B949" s="192" t="s">
        <v>4817</v>
      </c>
      <c r="C949" s="193"/>
      <c r="D949" s="193"/>
      <c r="E949" s="193"/>
      <c r="F949" s="193"/>
      <c r="G949" s="193"/>
      <c r="H949" s="193"/>
      <c r="I949" s="194"/>
    </row>
    <row r="951" spans="1:9" ht="33.6" customHeight="1" x14ac:dyDescent="0.25">
      <c r="B951" s="187" t="s">
        <v>4842</v>
      </c>
      <c r="C951" s="188"/>
      <c r="D951" s="188"/>
      <c r="E951" s="188"/>
      <c r="F951" s="188"/>
      <c r="G951" s="188"/>
      <c r="H951" s="188"/>
      <c r="I951" s="189"/>
    </row>
    <row r="952" spans="1:9" ht="47.25" x14ac:dyDescent="0.25">
      <c r="A952" s="155" t="s">
        <v>4819</v>
      </c>
      <c r="B952" s="155" t="s">
        <v>4820</v>
      </c>
      <c r="C952" s="4" t="s">
        <v>4821</v>
      </c>
      <c r="D952" s="4" t="s">
        <v>4822</v>
      </c>
      <c r="E952" s="88" t="s">
        <v>4823</v>
      </c>
      <c r="F952" s="88" t="s">
        <v>4824</v>
      </c>
      <c r="G952" s="88" t="s">
        <v>4825</v>
      </c>
      <c r="H952" s="4" t="s">
        <v>4826</v>
      </c>
      <c r="I952" s="29" t="s">
        <v>4827</v>
      </c>
    </row>
    <row r="953" spans="1:9" ht="25.5" x14ac:dyDescent="0.25">
      <c r="A953" s="156"/>
      <c r="B953" s="156"/>
      <c r="C953" s="13" t="s">
        <v>4828</v>
      </c>
      <c r="D953" s="13" t="s">
        <v>4828</v>
      </c>
      <c r="E953" s="13" t="s">
        <v>4828</v>
      </c>
      <c r="F953" s="13" t="s">
        <v>4828</v>
      </c>
      <c r="G953" s="13" t="s">
        <v>4828</v>
      </c>
      <c r="H953" s="13" t="s">
        <v>4828</v>
      </c>
      <c r="I953" s="30"/>
    </row>
    <row r="954" spans="1:9" ht="15.75" x14ac:dyDescent="0.25">
      <c r="A954" s="23">
        <v>873</v>
      </c>
      <c r="B954" s="6" t="str">
        <f>CADASTROS!$C$587</f>
        <v>Lucimar Rosa do Nascimento</v>
      </c>
      <c r="C954" s="159"/>
      <c r="D954" s="159"/>
      <c r="E954" s="159"/>
      <c r="F954" s="159"/>
      <c r="G954" s="159"/>
      <c r="H954" s="159"/>
      <c r="I954" s="7">
        <f>SUM(C954+D954+E954+F954+G954+H954)</f>
        <v>0</v>
      </c>
    </row>
    <row r="955" spans="1:9" ht="15.75" x14ac:dyDescent="0.25">
      <c r="A955" s="23">
        <v>881</v>
      </c>
      <c r="B955" s="6" t="str">
        <f>CADASTROS!$C$588</f>
        <v>Ilza Matos S Santos</v>
      </c>
      <c r="C955" s="159"/>
      <c r="D955" s="159"/>
      <c r="E955" s="159"/>
      <c r="F955" s="159"/>
      <c r="G955" s="159"/>
      <c r="H955" s="159"/>
      <c r="I955" s="7">
        <f t="shared" ref="I955:I980" si="90">SUM(C955+D955+E955+F955+G955+H955)</f>
        <v>0</v>
      </c>
    </row>
    <row r="956" spans="1:9" ht="15.75" x14ac:dyDescent="0.25">
      <c r="A956" s="23">
        <v>882</v>
      </c>
      <c r="B956" s="6" t="str">
        <f>CADASTROS!$C$589</f>
        <v>Lucineide da Silva Veleiro</v>
      </c>
      <c r="C956" s="159"/>
      <c r="D956" s="159"/>
      <c r="E956" s="159"/>
      <c r="F956" s="159"/>
      <c r="G956" s="159"/>
      <c r="H956" s="159"/>
      <c r="I956" s="7">
        <f t="shared" si="90"/>
        <v>0</v>
      </c>
    </row>
    <row r="957" spans="1:9" ht="15.75" x14ac:dyDescent="0.25">
      <c r="A957" s="23">
        <v>885</v>
      </c>
      <c r="B957" s="43" t="str">
        <f>CADASTROS!$C$590</f>
        <v>Realdo Santos Oliveira</v>
      </c>
      <c r="C957" s="159"/>
      <c r="D957" s="159"/>
      <c r="E957" s="159"/>
      <c r="F957" s="159"/>
      <c r="G957" s="159"/>
      <c r="H957" s="159"/>
      <c r="I957" s="7">
        <f t="shared" si="90"/>
        <v>0</v>
      </c>
    </row>
    <row r="958" spans="1:9" ht="15.75" x14ac:dyDescent="0.25">
      <c r="A958" s="23">
        <v>896</v>
      </c>
      <c r="B958" s="6" t="str">
        <f>CADASTROS!$C$591</f>
        <v>Morgana Dias de Araújo</v>
      </c>
      <c r="C958" s="159"/>
      <c r="D958" s="159"/>
      <c r="E958" s="159"/>
      <c r="F958" s="159"/>
      <c r="G958" s="159"/>
      <c r="H958" s="159"/>
      <c r="I958" s="7">
        <f t="shared" si="90"/>
        <v>0</v>
      </c>
    </row>
    <row r="959" spans="1:9" ht="15.75" x14ac:dyDescent="0.25">
      <c r="A959" s="23">
        <v>901</v>
      </c>
      <c r="B959" s="6" t="str">
        <f>CADASTROS!$C$592</f>
        <v>Quitéria Jesus da Silva</v>
      </c>
      <c r="C959" s="159"/>
      <c r="D959" s="159"/>
      <c r="E959" s="159"/>
      <c r="F959" s="159"/>
      <c r="G959" s="159"/>
      <c r="H959" s="159"/>
      <c r="I959" s="7">
        <f t="shared" si="90"/>
        <v>0</v>
      </c>
    </row>
    <row r="960" spans="1:9" ht="15.75" x14ac:dyDescent="0.25">
      <c r="A960" s="23">
        <v>902</v>
      </c>
      <c r="B960" s="6" t="str">
        <f>CADASTROS!$C$593</f>
        <v>Sirlandia Alves dos Santos</v>
      </c>
      <c r="C960" s="159"/>
      <c r="D960" s="159"/>
      <c r="E960" s="159"/>
      <c r="F960" s="159"/>
      <c r="G960" s="159"/>
      <c r="H960" s="159"/>
      <c r="I960" s="7">
        <f t="shared" si="90"/>
        <v>0</v>
      </c>
    </row>
    <row r="961" spans="1:9" ht="15.75" x14ac:dyDescent="0.25">
      <c r="A961" s="23">
        <v>903</v>
      </c>
      <c r="B961" s="6" t="str">
        <f>CADASTROS!$C$594</f>
        <v>Eulalia Oliveira Costa</v>
      </c>
      <c r="C961" s="159"/>
      <c r="D961" s="159"/>
      <c r="E961" s="159"/>
      <c r="F961" s="159"/>
      <c r="G961" s="159"/>
      <c r="H961" s="159"/>
      <c r="I961" s="7">
        <f t="shared" si="90"/>
        <v>0</v>
      </c>
    </row>
    <row r="962" spans="1:9" ht="15.75" x14ac:dyDescent="0.25">
      <c r="A962" s="23">
        <v>904</v>
      </c>
      <c r="B962" s="6" t="str">
        <f>CADASTROS!$C$595</f>
        <v>Flaudemir F Fonseca</v>
      </c>
      <c r="C962" s="159"/>
      <c r="D962" s="159"/>
      <c r="E962" s="159"/>
      <c r="F962" s="159"/>
      <c r="G962" s="159"/>
      <c r="H962" s="159"/>
      <c r="I962" s="7">
        <f t="shared" si="90"/>
        <v>0</v>
      </c>
    </row>
    <row r="963" spans="1:9" ht="15.75" x14ac:dyDescent="0.25">
      <c r="A963" s="23">
        <v>906</v>
      </c>
      <c r="B963" s="6" t="str">
        <f>CADASTROS!$C$596</f>
        <v>João Marcos M Alcantara</v>
      </c>
      <c r="C963" s="159"/>
      <c r="D963" s="159"/>
      <c r="E963" s="159"/>
      <c r="F963" s="159"/>
      <c r="G963" s="159"/>
      <c r="H963" s="159"/>
      <c r="I963" s="7">
        <f t="shared" si="90"/>
        <v>0</v>
      </c>
    </row>
    <row r="964" spans="1:9" ht="15.75" x14ac:dyDescent="0.25">
      <c r="A964" s="23">
        <v>922</v>
      </c>
      <c r="B964" s="6" t="str">
        <f>CADASTROS!$C$597</f>
        <v>Deleon de Jesus Souza</v>
      </c>
      <c r="C964" s="159"/>
      <c r="D964" s="159"/>
      <c r="E964" s="159"/>
      <c r="F964" s="159"/>
      <c r="G964" s="159"/>
      <c r="H964" s="159"/>
      <c r="I964" s="7">
        <f t="shared" si="90"/>
        <v>0</v>
      </c>
    </row>
    <row r="965" spans="1:9" ht="15.75" x14ac:dyDescent="0.25">
      <c r="A965" s="23">
        <v>923</v>
      </c>
      <c r="B965" s="6" t="str">
        <f>CADASTROS!$C$598</f>
        <v>Jorge Ferreira Lopes</v>
      </c>
      <c r="C965" s="159"/>
      <c r="D965" s="159"/>
      <c r="E965" s="159"/>
      <c r="F965" s="159"/>
      <c r="G965" s="159"/>
      <c r="H965" s="159"/>
      <c r="I965" s="7">
        <f t="shared" si="90"/>
        <v>0</v>
      </c>
    </row>
    <row r="966" spans="1:9" ht="15.75" x14ac:dyDescent="0.25">
      <c r="A966" s="23">
        <v>924</v>
      </c>
      <c r="B966" s="6" t="str">
        <f>CADASTROS!$C$599</f>
        <v>Gracinelia Rosa de Oliveira</v>
      </c>
      <c r="C966" s="159"/>
      <c r="D966" s="159"/>
      <c r="E966" s="159"/>
      <c r="F966" s="159"/>
      <c r="G966" s="159"/>
      <c r="H966" s="159"/>
      <c r="I966" s="7">
        <f t="shared" si="90"/>
        <v>0</v>
      </c>
    </row>
    <row r="967" spans="1:9" ht="15.75" x14ac:dyDescent="0.25">
      <c r="A967" s="23">
        <v>934</v>
      </c>
      <c r="B967" s="6" t="str">
        <f>CADASTROS!$C$600</f>
        <v>Elissandro Lopes de Souza</v>
      </c>
      <c r="C967" s="159"/>
      <c r="D967" s="159">
        <v>13.5</v>
      </c>
      <c r="E967" s="159"/>
      <c r="F967" s="159"/>
      <c r="G967" s="159"/>
      <c r="H967" s="159"/>
      <c r="I967" s="7">
        <f t="shared" si="90"/>
        <v>13.5</v>
      </c>
    </row>
    <row r="968" spans="1:9" ht="15.75" x14ac:dyDescent="0.25">
      <c r="A968" s="23">
        <v>937</v>
      </c>
      <c r="B968" s="6" t="str">
        <f>CADASTROS!$C$601</f>
        <v>Gilverson Costa de Souza</v>
      </c>
      <c r="C968" s="159"/>
      <c r="D968" s="159"/>
      <c r="E968" s="159"/>
      <c r="F968" s="159"/>
      <c r="G968" s="159"/>
      <c r="H968" s="159"/>
      <c r="I968" s="7">
        <f t="shared" si="90"/>
        <v>0</v>
      </c>
    </row>
    <row r="969" spans="1:9" ht="15.75" x14ac:dyDescent="0.25">
      <c r="A969" s="23">
        <v>940</v>
      </c>
      <c r="B969" s="6" t="str">
        <f>CADASTROS!$C$602</f>
        <v>Maria Augusta Sales dos Santos</v>
      </c>
      <c r="C969" s="159"/>
      <c r="D969" s="159"/>
      <c r="E969" s="159"/>
      <c r="F969" s="159"/>
      <c r="G969" s="159"/>
      <c r="H969" s="159"/>
      <c r="I969" s="7">
        <f t="shared" si="90"/>
        <v>0</v>
      </c>
    </row>
    <row r="970" spans="1:9" ht="15.75" x14ac:dyDescent="0.25">
      <c r="A970" s="23">
        <v>946</v>
      </c>
      <c r="B970" s="6" t="str">
        <f>CADASTROS!$C$603</f>
        <v>Márcio Santana dos Santos</v>
      </c>
      <c r="C970" s="159"/>
      <c r="D970" s="159"/>
      <c r="E970" s="159"/>
      <c r="F970" s="159"/>
      <c r="G970" s="159"/>
      <c r="H970" s="159"/>
      <c r="I970" s="7">
        <f t="shared" si="90"/>
        <v>0</v>
      </c>
    </row>
    <row r="971" spans="1:9" ht="15.75" x14ac:dyDescent="0.25">
      <c r="A971" s="23">
        <v>947</v>
      </c>
      <c r="B971" s="6" t="str">
        <f>CADASTROS!$C$604</f>
        <v>Lidiane Jesus da Cruz</v>
      </c>
      <c r="C971" s="159"/>
      <c r="D971" s="159"/>
      <c r="E971" s="159"/>
      <c r="F971" s="159"/>
      <c r="G971" s="159"/>
      <c r="H971" s="159"/>
      <c r="I971" s="7">
        <f t="shared" si="90"/>
        <v>0</v>
      </c>
    </row>
    <row r="972" spans="1:9" ht="15.75" x14ac:dyDescent="0.25">
      <c r="A972" s="23">
        <v>948</v>
      </c>
      <c r="B972" s="6" t="str">
        <f>CADASTROS!$C$605</f>
        <v>Marinalva de Oliveira</v>
      </c>
      <c r="C972" s="159"/>
      <c r="D972" s="159"/>
      <c r="E972" s="159"/>
      <c r="F972" s="159"/>
      <c r="G972" s="159"/>
      <c r="H972" s="159"/>
      <c r="I972" s="7">
        <f t="shared" si="90"/>
        <v>0</v>
      </c>
    </row>
    <row r="973" spans="1:9" ht="15.75" x14ac:dyDescent="0.25">
      <c r="A973" s="23">
        <v>949</v>
      </c>
      <c r="B973" s="6" t="str">
        <f>CADASTROS!$C$606</f>
        <v>Carlos Cruz Almeida</v>
      </c>
      <c r="C973" s="159"/>
      <c r="D973" s="159"/>
      <c r="E973" s="159"/>
      <c r="F973" s="159"/>
      <c r="G973" s="159"/>
      <c r="H973" s="159"/>
      <c r="I973" s="7">
        <f t="shared" si="90"/>
        <v>0</v>
      </c>
    </row>
    <row r="974" spans="1:9" ht="15.75" x14ac:dyDescent="0.25">
      <c r="A974" s="23">
        <v>950</v>
      </c>
      <c r="B974" s="6" t="str">
        <f>CADASTROS!$C$607</f>
        <v>Darleide Santana de Aandrade</v>
      </c>
      <c r="C974" s="159"/>
      <c r="D974" s="159"/>
      <c r="E974" s="159"/>
      <c r="F974" s="159"/>
      <c r="G974" s="159"/>
      <c r="H974" s="159"/>
      <c r="I974" s="7">
        <f t="shared" si="90"/>
        <v>0</v>
      </c>
    </row>
    <row r="975" spans="1:9" ht="15.75" x14ac:dyDescent="0.25">
      <c r="A975" s="23">
        <v>959</v>
      </c>
      <c r="B975" s="6" t="str">
        <f>CADASTROS!$C$608</f>
        <v>Vailson Magno dos Anjos</v>
      </c>
      <c r="C975" s="159"/>
      <c r="D975" s="159"/>
      <c r="E975" s="159"/>
      <c r="F975" s="159"/>
      <c r="G975" s="159"/>
      <c r="H975" s="159"/>
      <c r="I975" s="7">
        <f t="shared" si="90"/>
        <v>0</v>
      </c>
    </row>
    <row r="976" spans="1:9" ht="15.75" x14ac:dyDescent="0.25">
      <c r="A976" s="23">
        <v>964</v>
      </c>
      <c r="B976" s="6" t="str">
        <f>CADASTROS!$C$609</f>
        <v>Carlos Santana da Silva</v>
      </c>
      <c r="C976" s="159"/>
      <c r="D976" s="159"/>
      <c r="E976" s="159"/>
      <c r="F976" s="159"/>
      <c r="G976" s="159"/>
      <c r="H976" s="159"/>
      <c r="I976" s="7">
        <f t="shared" si="90"/>
        <v>0</v>
      </c>
    </row>
    <row r="977" spans="1:9" ht="15.75" x14ac:dyDescent="0.25">
      <c r="A977" s="23">
        <v>967</v>
      </c>
      <c r="B977" s="6" t="str">
        <f>CADASTROS!$C$610</f>
        <v>Gerivan G. Ferreira</v>
      </c>
      <c r="C977" s="159"/>
      <c r="D977" s="159"/>
      <c r="E977" s="159"/>
      <c r="F977" s="159"/>
      <c r="G977" s="159"/>
      <c r="H977" s="159"/>
      <c r="I977" s="7">
        <f t="shared" si="90"/>
        <v>0</v>
      </c>
    </row>
    <row r="978" spans="1:9" ht="15.75" x14ac:dyDescent="0.25">
      <c r="A978" s="23">
        <v>968</v>
      </c>
      <c r="B978" s="6" t="str">
        <f>CADASTROS!$C$611</f>
        <v>Juciara Oliveira Vieira</v>
      </c>
      <c r="C978" s="159"/>
      <c r="D978" s="159"/>
      <c r="E978" s="159"/>
      <c r="F978" s="159"/>
      <c r="G978" s="159"/>
      <c r="H978" s="159"/>
      <c r="I978" s="7">
        <f t="shared" si="90"/>
        <v>0</v>
      </c>
    </row>
    <row r="979" spans="1:9" ht="15.75" x14ac:dyDescent="0.25">
      <c r="A979" s="23">
        <v>971</v>
      </c>
      <c r="B979" s="6" t="str">
        <f>CADASTROS!$C$612</f>
        <v>Ana Lucia Santana Souza</v>
      </c>
      <c r="C979" s="159"/>
      <c r="D979" s="159"/>
      <c r="E979" s="159"/>
      <c r="F979" s="159"/>
      <c r="G979" s="159"/>
      <c r="H979" s="159"/>
      <c r="I979" s="7">
        <f t="shared" si="90"/>
        <v>0</v>
      </c>
    </row>
    <row r="980" spans="1:9" ht="15.75" x14ac:dyDescent="0.25">
      <c r="A980" s="23">
        <v>973</v>
      </c>
      <c r="B980" s="6" t="str">
        <f>CADASTROS!$C$613</f>
        <v>Marcos Cesar Araújo</v>
      </c>
      <c r="C980" s="159"/>
      <c r="D980" s="159"/>
      <c r="E980" s="159"/>
      <c r="F980" s="159"/>
      <c r="G980" s="159"/>
      <c r="H980" s="159"/>
      <c r="I980" s="7">
        <f t="shared" si="90"/>
        <v>0</v>
      </c>
    </row>
    <row r="981" spans="1:9" ht="15.75" x14ac:dyDescent="0.25">
      <c r="B981" s="159" t="s">
        <v>4829</v>
      </c>
      <c r="C981" s="159">
        <f>SUM(C954:C980)</f>
        <v>0</v>
      </c>
      <c r="D981" s="159">
        <f t="shared" ref="D981:H981" si="91">SUM(D954:D980)</f>
        <v>13.5</v>
      </c>
      <c r="E981" s="159">
        <f t="shared" si="91"/>
        <v>0</v>
      </c>
      <c r="F981" s="159">
        <f t="shared" si="91"/>
        <v>0</v>
      </c>
      <c r="G981" s="159">
        <f t="shared" si="91"/>
        <v>0</v>
      </c>
      <c r="H981" s="159">
        <f t="shared" si="91"/>
        <v>0</v>
      </c>
      <c r="I981" s="159">
        <f>SUM(I954:I980)</f>
        <v>13.5</v>
      </c>
    </row>
    <row r="983" spans="1:9" ht="15.75" x14ac:dyDescent="0.25">
      <c r="B983" s="8" t="s">
        <v>4830</v>
      </c>
      <c r="C983" s="159"/>
      <c r="D983" s="159"/>
      <c r="E983" s="159"/>
      <c r="F983" s="159"/>
      <c r="G983" s="159"/>
      <c r="H983" s="159"/>
      <c r="I983" s="159">
        <f>SUM(C983:H983)</f>
        <v>0</v>
      </c>
    </row>
    <row r="984" spans="1:9" x14ac:dyDescent="0.25">
      <c r="B984" s="167"/>
    </row>
    <row r="985" spans="1:9" ht="15.75" x14ac:dyDescent="0.25">
      <c r="B985" s="8" t="s">
        <v>4831</v>
      </c>
      <c r="C985" s="9" t="e">
        <f>C981/C983</f>
        <v>#DIV/0!</v>
      </c>
      <c r="D985" s="9" t="e">
        <f t="shared" ref="D985:H985" si="92">D981/D983</f>
        <v>#DIV/0!</v>
      </c>
      <c r="E985" s="9" t="e">
        <f t="shared" si="92"/>
        <v>#DIV/0!</v>
      </c>
      <c r="F985" s="9" t="e">
        <f t="shared" si="92"/>
        <v>#DIV/0!</v>
      </c>
      <c r="G985" s="9" t="e">
        <f t="shared" si="92"/>
        <v>#DIV/0!</v>
      </c>
      <c r="H985" s="9" t="e">
        <f t="shared" si="92"/>
        <v>#DIV/0!</v>
      </c>
      <c r="I985" s="9"/>
    </row>
    <row r="986" spans="1:9" ht="15.75" x14ac:dyDescent="0.25">
      <c r="B986" s="163"/>
      <c r="C986" s="10"/>
      <c r="D986" s="10"/>
      <c r="E986" s="10"/>
      <c r="F986" s="10"/>
      <c r="G986" s="10"/>
      <c r="H986" s="163"/>
      <c r="I986" s="163"/>
    </row>
    <row r="987" spans="1:9" ht="15.75" x14ac:dyDescent="0.25">
      <c r="B987" s="8" t="s">
        <v>4832</v>
      </c>
      <c r="C987" s="159"/>
      <c r="D987" s="159"/>
      <c r="E987" s="6"/>
      <c r="F987" s="6"/>
      <c r="G987" s="6"/>
      <c r="H987" s="6"/>
      <c r="I987" s="11"/>
    </row>
    <row r="990" spans="1:9" ht="21" x14ac:dyDescent="0.35">
      <c r="B990" s="184" t="s">
        <v>4816</v>
      </c>
      <c r="C990" s="185"/>
      <c r="D990" s="185"/>
      <c r="E990" s="185"/>
      <c r="F990" s="185"/>
      <c r="G990" s="185"/>
      <c r="H990" s="185"/>
      <c r="I990" s="186"/>
    </row>
    <row r="991" spans="1:9" x14ac:dyDescent="0.25">
      <c r="I991" s="3"/>
    </row>
    <row r="992" spans="1:9" ht="21" x14ac:dyDescent="0.35">
      <c r="B992" s="192" t="s">
        <v>4817</v>
      </c>
      <c r="C992" s="193"/>
      <c r="D992" s="193"/>
      <c r="E992" s="193"/>
      <c r="F992" s="193"/>
      <c r="G992" s="193"/>
      <c r="H992" s="193"/>
      <c r="I992" s="194"/>
    </row>
    <row r="994" spans="1:9" ht="33.6" customHeight="1" x14ac:dyDescent="0.25">
      <c r="B994" s="187" t="s">
        <v>4818</v>
      </c>
      <c r="C994" s="188"/>
      <c r="D994" s="188"/>
      <c r="E994" s="188"/>
      <c r="F994" s="188"/>
      <c r="G994" s="188"/>
      <c r="H994" s="188"/>
      <c r="I994" s="189"/>
    </row>
    <row r="995" spans="1:9" ht="47.25" x14ac:dyDescent="0.25">
      <c r="A995" s="155" t="s">
        <v>4819</v>
      </c>
      <c r="B995" s="155" t="s">
        <v>4820</v>
      </c>
      <c r="C995" s="4" t="s">
        <v>4821</v>
      </c>
      <c r="D995" s="4" t="s">
        <v>4822</v>
      </c>
      <c r="E995" s="88" t="s">
        <v>4823</v>
      </c>
      <c r="F995" s="88" t="s">
        <v>4824</v>
      </c>
      <c r="G995" s="88" t="s">
        <v>4825</v>
      </c>
      <c r="H995" s="4" t="s">
        <v>4826</v>
      </c>
      <c r="I995" s="29" t="s">
        <v>4827</v>
      </c>
    </row>
    <row r="996" spans="1:9" ht="26.65" customHeight="1" x14ac:dyDescent="0.25">
      <c r="A996" s="156"/>
      <c r="B996" s="156"/>
      <c r="C996" s="13" t="s">
        <v>4828</v>
      </c>
      <c r="D996" s="13" t="s">
        <v>4828</v>
      </c>
      <c r="E996" s="13" t="s">
        <v>4828</v>
      </c>
      <c r="F996" s="13" t="s">
        <v>4828</v>
      </c>
      <c r="G996" s="13" t="s">
        <v>4828</v>
      </c>
      <c r="H996" s="13" t="s">
        <v>4828</v>
      </c>
      <c r="I996" s="30"/>
    </row>
    <row r="997" spans="1:9" ht="15.75" x14ac:dyDescent="0.25">
      <c r="A997" s="23">
        <v>905</v>
      </c>
      <c r="B997" s="6" t="str">
        <f>CADASTROS!$C$637</f>
        <v>Marizete Francisco de Oliveira</v>
      </c>
      <c r="C997" s="159"/>
      <c r="D997" s="159"/>
      <c r="E997" s="159"/>
      <c r="F997" s="159"/>
      <c r="G997" s="159"/>
      <c r="H997" s="159"/>
      <c r="I997" s="7">
        <f>SUM(C997+D997+E997+F997+G997+H997)</f>
        <v>0</v>
      </c>
    </row>
    <row r="998" spans="1:9" ht="15.75" x14ac:dyDescent="0.25">
      <c r="A998" s="23">
        <v>907</v>
      </c>
      <c r="B998" s="6" t="str">
        <f>CADASTROS!$C$638</f>
        <v>Ronaldo Souza Santos</v>
      </c>
      <c r="C998" s="159"/>
      <c r="D998" s="159"/>
      <c r="E998" s="159"/>
      <c r="F998" s="159"/>
      <c r="G998" s="159"/>
      <c r="H998" s="159"/>
      <c r="I998" s="7">
        <f>SUM(C998+D998+E998+F998+G998+H998)</f>
        <v>0</v>
      </c>
    </row>
    <row r="999" spans="1:9" ht="15.75" x14ac:dyDescent="0.25">
      <c r="A999" s="23">
        <v>908</v>
      </c>
      <c r="B999" s="6" t="str">
        <f>CADASTROS!$C$639</f>
        <v>Lindaci Santana Lopes</v>
      </c>
      <c r="C999" s="159"/>
      <c r="D999" s="159"/>
      <c r="E999" s="159"/>
      <c r="F999" s="159"/>
      <c r="G999" s="159"/>
      <c r="H999" s="159"/>
      <c r="I999" s="7">
        <f t="shared" ref="I999:I1023" si="93">SUM(C999+D999+E999+F999+G999+H999)</f>
        <v>0</v>
      </c>
    </row>
    <row r="1000" spans="1:9" ht="15.75" x14ac:dyDescent="0.25">
      <c r="A1000" s="23">
        <v>909</v>
      </c>
      <c r="B1000" s="6" t="str">
        <f>CADASTROS!$C$640</f>
        <v>Lidiane Teles Miranda</v>
      </c>
      <c r="C1000" s="159"/>
      <c r="D1000" s="159">
        <v>15.5</v>
      </c>
      <c r="E1000" s="159">
        <v>14.5</v>
      </c>
      <c r="F1000" s="159"/>
      <c r="G1000" s="159">
        <v>20</v>
      </c>
      <c r="H1000" s="159"/>
      <c r="I1000" s="7">
        <f t="shared" si="93"/>
        <v>50</v>
      </c>
    </row>
    <row r="1001" spans="1:9" ht="15.75" x14ac:dyDescent="0.25">
      <c r="A1001" s="23">
        <v>910</v>
      </c>
      <c r="B1001" s="6" t="str">
        <f>CADASTROS!$C$641</f>
        <v>Geiciane Mendes da Silva</v>
      </c>
      <c r="C1001" s="159"/>
      <c r="D1001" s="159"/>
      <c r="E1001" s="159"/>
      <c r="F1001" s="159"/>
      <c r="G1001" s="159"/>
      <c r="H1001" s="159"/>
      <c r="I1001" s="7">
        <f t="shared" si="93"/>
        <v>0</v>
      </c>
    </row>
    <row r="1002" spans="1:9" ht="15.75" x14ac:dyDescent="0.25">
      <c r="A1002" s="23">
        <v>911</v>
      </c>
      <c r="B1002" s="6" t="str">
        <f>CADASTROS!$C$642</f>
        <v>Zenaide de Jesus Santos</v>
      </c>
      <c r="C1002" s="159"/>
      <c r="D1002" s="159"/>
      <c r="E1002" s="159"/>
      <c r="F1002" s="159"/>
      <c r="G1002" s="159"/>
      <c r="H1002" s="159"/>
      <c r="I1002" s="7">
        <f t="shared" si="93"/>
        <v>0</v>
      </c>
    </row>
    <row r="1003" spans="1:9" ht="15.75" x14ac:dyDescent="0.25">
      <c r="A1003" s="23">
        <v>912</v>
      </c>
      <c r="B1003" s="6" t="str">
        <f>CADASTROS!$C$643</f>
        <v>Marivalda Souza Corte</v>
      </c>
      <c r="C1003" s="159"/>
      <c r="D1003" s="159"/>
      <c r="E1003" s="159"/>
      <c r="F1003" s="159"/>
      <c r="G1003" s="159"/>
      <c r="H1003" s="159"/>
      <c r="I1003" s="7">
        <f t="shared" si="93"/>
        <v>0</v>
      </c>
    </row>
    <row r="1004" spans="1:9" ht="15.75" x14ac:dyDescent="0.25">
      <c r="A1004" s="23">
        <v>913</v>
      </c>
      <c r="B1004" s="6" t="str">
        <f>CADASTROS!$C$644</f>
        <v>Eva Maria de Souza</v>
      </c>
      <c r="C1004" s="159"/>
      <c r="D1004" s="159"/>
      <c r="E1004" s="159"/>
      <c r="F1004" s="159"/>
      <c r="G1004" s="159"/>
      <c r="H1004" s="159"/>
      <c r="I1004" s="7">
        <f t="shared" si="93"/>
        <v>0</v>
      </c>
    </row>
    <row r="1005" spans="1:9" ht="15.75" x14ac:dyDescent="0.25">
      <c r="A1005" s="23">
        <v>914</v>
      </c>
      <c r="B1005" s="6" t="str">
        <f>CADASTROS!$C$645</f>
        <v>José Luiz Pereira Santos</v>
      </c>
      <c r="C1005" s="159"/>
      <c r="D1005" s="159"/>
      <c r="E1005" s="159"/>
      <c r="F1005" s="159"/>
      <c r="G1005" s="159"/>
      <c r="H1005" s="159"/>
      <c r="I1005" s="7">
        <f t="shared" si="93"/>
        <v>0</v>
      </c>
    </row>
    <row r="1006" spans="1:9" ht="15.75" x14ac:dyDescent="0.25">
      <c r="A1006" s="23">
        <v>915</v>
      </c>
      <c r="B1006" s="6" t="str">
        <f>CADASTROS!$C$646</f>
        <v>Maria Aparecida S Nascimento</v>
      </c>
      <c r="C1006" s="159"/>
      <c r="D1006" s="159"/>
      <c r="E1006" s="159"/>
      <c r="F1006" s="159"/>
      <c r="G1006" s="159"/>
      <c r="H1006" s="159"/>
      <c r="I1006" s="7">
        <f t="shared" si="93"/>
        <v>0</v>
      </c>
    </row>
    <row r="1007" spans="1:9" ht="15.75" x14ac:dyDescent="0.25">
      <c r="A1007" s="23">
        <v>916</v>
      </c>
      <c r="B1007" s="6" t="str">
        <f>CADASTROS!$C$647</f>
        <v>Emerson Alves da Silva</v>
      </c>
      <c r="C1007" s="159"/>
      <c r="D1007" s="159"/>
      <c r="E1007" s="159"/>
      <c r="F1007" s="159"/>
      <c r="G1007" s="159"/>
      <c r="H1007" s="159"/>
      <c r="I1007" s="7">
        <f t="shared" si="93"/>
        <v>0</v>
      </c>
    </row>
    <row r="1008" spans="1:9" ht="15.75" x14ac:dyDescent="0.25">
      <c r="A1008" s="23">
        <v>917</v>
      </c>
      <c r="B1008" s="6" t="str">
        <f>CADASTROS!$C$648</f>
        <v>Josemar José dos Santos</v>
      </c>
      <c r="C1008" s="159"/>
      <c r="D1008" s="159"/>
      <c r="E1008" s="159"/>
      <c r="F1008" s="159"/>
      <c r="G1008" s="159"/>
      <c r="H1008" s="159"/>
      <c r="I1008" s="7">
        <f t="shared" si="93"/>
        <v>0</v>
      </c>
    </row>
    <row r="1009" spans="1:9" ht="15.75" x14ac:dyDescent="0.25">
      <c r="A1009" s="23">
        <v>918</v>
      </c>
      <c r="B1009" s="6" t="str">
        <f>CADASTROS!$C$649</f>
        <v>Antônio Rosa dos Santos</v>
      </c>
      <c r="C1009" s="159"/>
      <c r="D1009" s="159"/>
      <c r="E1009" s="159"/>
      <c r="F1009" s="159"/>
      <c r="G1009" s="159"/>
      <c r="H1009" s="159"/>
      <c r="I1009" s="7">
        <f t="shared" si="93"/>
        <v>0</v>
      </c>
    </row>
    <row r="1010" spans="1:9" ht="15.75" x14ac:dyDescent="0.25">
      <c r="A1010" s="23">
        <v>919</v>
      </c>
      <c r="B1010" s="6" t="str">
        <f>CADASTROS!$C$650</f>
        <v>Josivan Santos Ferreira</v>
      </c>
      <c r="C1010" s="159"/>
      <c r="D1010" s="159"/>
      <c r="E1010" s="159"/>
      <c r="F1010" s="159"/>
      <c r="G1010" s="159"/>
      <c r="H1010" s="159"/>
      <c r="I1010" s="7">
        <f t="shared" si="93"/>
        <v>0</v>
      </c>
    </row>
    <row r="1011" spans="1:9" ht="15.75" x14ac:dyDescent="0.25">
      <c r="A1011" s="23">
        <v>920</v>
      </c>
      <c r="B1011" s="6" t="str">
        <f>CADASTROS!$C$651</f>
        <v>Gessi Maria de Jesus</v>
      </c>
      <c r="C1011" s="159"/>
      <c r="D1011" s="159"/>
      <c r="E1011" s="159">
        <v>12.5</v>
      </c>
      <c r="F1011" s="159"/>
      <c r="G1011" s="159">
        <v>12</v>
      </c>
      <c r="H1011" s="159"/>
      <c r="I1011" s="7">
        <f t="shared" si="93"/>
        <v>24.5</v>
      </c>
    </row>
    <row r="1012" spans="1:9" ht="15.75" x14ac:dyDescent="0.25">
      <c r="A1012" s="23">
        <v>921</v>
      </c>
      <c r="B1012" s="6" t="str">
        <f>CADASTROS!$C$652</f>
        <v>Lucas Miranda Pereira</v>
      </c>
      <c r="C1012" s="159"/>
      <c r="D1012" s="159"/>
      <c r="E1012" s="159"/>
      <c r="F1012" s="159"/>
      <c r="G1012" s="159"/>
      <c r="H1012" s="159"/>
      <c r="I1012" s="7">
        <f t="shared" si="93"/>
        <v>0</v>
      </c>
    </row>
    <row r="1013" spans="1:9" ht="15.75" x14ac:dyDescent="0.25">
      <c r="A1013" s="23">
        <v>926</v>
      </c>
      <c r="B1013" s="6" t="str">
        <f>CADASTROS!$C$653</f>
        <v>Ivan de Jesus Santos</v>
      </c>
      <c r="C1013" s="159"/>
      <c r="D1013" s="159"/>
      <c r="E1013" s="159"/>
      <c r="F1013" s="159"/>
      <c r="G1013" s="159"/>
      <c r="H1013" s="159"/>
      <c r="I1013" s="7">
        <f t="shared" si="93"/>
        <v>0</v>
      </c>
    </row>
    <row r="1014" spans="1:9" ht="15.75" x14ac:dyDescent="0.25">
      <c r="A1014" s="23">
        <v>927</v>
      </c>
      <c r="B1014" s="6" t="str">
        <f>CADASTROS!$C$654</f>
        <v>Renilda Pereira Lima</v>
      </c>
      <c r="C1014" s="159"/>
      <c r="D1014" s="159"/>
      <c r="E1014" s="159"/>
      <c r="F1014" s="159"/>
      <c r="G1014" s="159"/>
      <c r="H1014" s="159"/>
      <c r="I1014" s="7">
        <f t="shared" si="93"/>
        <v>0</v>
      </c>
    </row>
    <row r="1015" spans="1:9" ht="15.75" x14ac:dyDescent="0.25">
      <c r="A1015" s="23">
        <v>928</v>
      </c>
      <c r="B1015" s="6" t="str">
        <f>CADASTROS!$C$655</f>
        <v>Antônio dos Anjos Souza</v>
      </c>
      <c r="C1015" s="159"/>
      <c r="D1015" s="159"/>
      <c r="E1015" s="159"/>
      <c r="F1015" s="159"/>
      <c r="G1015" s="159"/>
      <c r="H1015" s="159"/>
      <c r="I1015" s="7">
        <f t="shared" si="93"/>
        <v>0</v>
      </c>
    </row>
    <row r="1016" spans="1:9" ht="15.75" x14ac:dyDescent="0.25">
      <c r="A1016" s="23">
        <v>929</v>
      </c>
      <c r="B1016" s="6" t="str">
        <f>CADASTROS!$C$656</f>
        <v>Ailton Bispo de Souza</v>
      </c>
      <c r="C1016" s="159"/>
      <c r="D1016" s="159"/>
      <c r="E1016" s="159"/>
      <c r="F1016" s="159"/>
      <c r="G1016" s="159"/>
      <c r="H1016" s="159"/>
      <c r="I1016" s="7">
        <f t="shared" si="93"/>
        <v>0</v>
      </c>
    </row>
    <row r="1017" spans="1:9" ht="15.75" x14ac:dyDescent="0.25">
      <c r="A1017" s="23">
        <v>930</v>
      </c>
      <c r="B1017" s="6" t="str">
        <f>CADASTROS!$C$657</f>
        <v>Irineu Marcal de Oliveira</v>
      </c>
      <c r="C1017" s="159"/>
      <c r="D1017" s="159"/>
      <c r="E1017" s="159"/>
      <c r="F1017" s="159"/>
      <c r="G1017" s="159"/>
      <c r="H1017" s="159"/>
      <c r="I1017" s="7">
        <f t="shared" si="93"/>
        <v>0</v>
      </c>
    </row>
    <row r="1018" spans="1:9" ht="15.75" x14ac:dyDescent="0.25">
      <c r="A1018" s="23">
        <v>931</v>
      </c>
      <c r="B1018" s="6" t="str">
        <f>CADASTROS!$C$658</f>
        <v>Ana Maria dos Santos</v>
      </c>
      <c r="C1018" s="159"/>
      <c r="D1018" s="159"/>
      <c r="E1018" s="159"/>
      <c r="F1018" s="159"/>
      <c r="G1018" s="159"/>
      <c r="H1018" s="159"/>
      <c r="I1018" s="7">
        <f t="shared" si="93"/>
        <v>0</v>
      </c>
    </row>
    <row r="1019" spans="1:9" ht="15.75" x14ac:dyDescent="0.25">
      <c r="A1019" s="23">
        <v>932</v>
      </c>
      <c r="B1019" s="6" t="str">
        <f>CADASTROS!$C$659</f>
        <v>Edileuza Rosa de Souza</v>
      </c>
      <c r="C1019" s="159"/>
      <c r="D1019" s="159"/>
      <c r="E1019" s="159"/>
      <c r="F1019" s="159"/>
      <c r="G1019" s="159"/>
      <c r="H1019" s="159"/>
      <c r="I1019" s="7">
        <f t="shared" si="93"/>
        <v>0</v>
      </c>
    </row>
    <row r="1020" spans="1:9" ht="15.75" x14ac:dyDescent="0.25">
      <c r="A1020" s="23">
        <v>935</v>
      </c>
      <c r="B1020" s="6" t="str">
        <f>CADASTROS!$C$660</f>
        <v>Eliana Ribeiro Boaventura</v>
      </c>
      <c r="C1020" s="159"/>
      <c r="D1020" s="159"/>
      <c r="E1020" s="159"/>
      <c r="F1020" s="159"/>
      <c r="G1020" s="159"/>
      <c r="H1020" s="159"/>
      <c r="I1020" s="7">
        <f t="shared" si="93"/>
        <v>0</v>
      </c>
    </row>
    <row r="1021" spans="1:9" ht="15.75" x14ac:dyDescent="0.25">
      <c r="A1021" s="23">
        <v>936</v>
      </c>
      <c r="B1021" s="6" t="str">
        <f>CADASTROS!$C$661</f>
        <v>Ailton da Cruz Lima</v>
      </c>
      <c r="C1021" s="159"/>
      <c r="D1021" s="159"/>
      <c r="E1021" s="159"/>
      <c r="F1021" s="159"/>
      <c r="G1021" s="159"/>
      <c r="H1021" s="159"/>
      <c r="I1021" s="7">
        <f t="shared" si="93"/>
        <v>0</v>
      </c>
    </row>
    <row r="1022" spans="1:9" ht="15.75" x14ac:dyDescent="0.25">
      <c r="A1022" s="23">
        <v>938</v>
      </c>
      <c r="B1022" s="6" t="str">
        <f>CADASTROS!$C$662</f>
        <v>Maria Silva S Oliveira</v>
      </c>
      <c r="C1022" s="159"/>
      <c r="D1022" s="159"/>
      <c r="E1022" s="159"/>
      <c r="F1022" s="159"/>
      <c r="G1022" s="159"/>
      <c r="H1022" s="159"/>
      <c r="I1022" s="7">
        <f t="shared" si="93"/>
        <v>0</v>
      </c>
    </row>
    <row r="1023" spans="1:9" ht="15.75" x14ac:dyDescent="0.25">
      <c r="A1023" s="23">
        <v>939</v>
      </c>
      <c r="B1023" s="6" t="str">
        <f>CADASTROS!$C$663</f>
        <v>Rosivan Pereira Santos</v>
      </c>
      <c r="C1023" s="159"/>
      <c r="D1023" s="159"/>
      <c r="E1023" s="159"/>
      <c r="F1023" s="159"/>
      <c r="G1023" s="159"/>
      <c r="H1023" s="159"/>
      <c r="I1023" s="7">
        <f t="shared" si="93"/>
        <v>0</v>
      </c>
    </row>
    <row r="1024" spans="1:9" ht="15.75" x14ac:dyDescent="0.25">
      <c r="B1024" s="159" t="s">
        <v>4829</v>
      </c>
      <c r="C1024" s="159">
        <f>SUM(C997:C1023)</f>
        <v>0</v>
      </c>
      <c r="D1024" s="159">
        <f t="shared" ref="D1024:H1024" si="94">SUM(D997:D1023)</f>
        <v>15.5</v>
      </c>
      <c r="E1024" s="159">
        <f t="shared" si="94"/>
        <v>27</v>
      </c>
      <c r="F1024" s="159">
        <f t="shared" si="94"/>
        <v>0</v>
      </c>
      <c r="G1024" s="159">
        <f t="shared" si="94"/>
        <v>32</v>
      </c>
      <c r="H1024" s="159">
        <f t="shared" si="94"/>
        <v>0</v>
      </c>
      <c r="I1024" s="159">
        <f>SUM(I997:I1023)</f>
        <v>74.5</v>
      </c>
    </row>
    <row r="1026" spans="1:9" ht="15.75" x14ac:dyDescent="0.25">
      <c r="B1026" s="8" t="s">
        <v>4830</v>
      </c>
      <c r="C1026" s="159"/>
      <c r="D1026" s="159"/>
      <c r="E1026" s="159"/>
      <c r="F1026" s="159"/>
      <c r="G1026" s="159"/>
      <c r="H1026" s="159"/>
      <c r="I1026" s="159">
        <f>SUM(C1026:H1026)</f>
        <v>0</v>
      </c>
    </row>
    <row r="1027" spans="1:9" x14ac:dyDescent="0.25">
      <c r="B1027" s="167"/>
    </row>
    <row r="1028" spans="1:9" ht="15.75" x14ac:dyDescent="0.25">
      <c r="B1028" s="8" t="s">
        <v>4831</v>
      </c>
      <c r="C1028" s="9" t="e">
        <f>C1024/C1026</f>
        <v>#DIV/0!</v>
      </c>
      <c r="D1028" s="9" t="e">
        <f t="shared" ref="D1028:H1028" si="95">D1024/D1026</f>
        <v>#DIV/0!</v>
      </c>
      <c r="E1028" s="9" t="e">
        <f t="shared" si="95"/>
        <v>#DIV/0!</v>
      </c>
      <c r="F1028" s="9" t="e">
        <f t="shared" si="95"/>
        <v>#DIV/0!</v>
      </c>
      <c r="G1028" s="9" t="e">
        <f t="shared" si="95"/>
        <v>#DIV/0!</v>
      </c>
      <c r="H1028" s="9" t="e">
        <f t="shared" si="95"/>
        <v>#DIV/0!</v>
      </c>
      <c r="I1028" s="9"/>
    </row>
    <row r="1029" spans="1:9" ht="15.75" x14ac:dyDescent="0.25">
      <c r="B1029" s="163"/>
      <c r="C1029" s="10"/>
      <c r="D1029" s="10"/>
      <c r="E1029" s="10"/>
      <c r="F1029" s="10"/>
      <c r="G1029" s="10"/>
      <c r="H1029" s="163"/>
      <c r="I1029" s="163"/>
    </row>
    <row r="1030" spans="1:9" ht="15.75" x14ac:dyDescent="0.25">
      <c r="B1030" s="8" t="s">
        <v>4832</v>
      </c>
      <c r="C1030" s="159"/>
      <c r="D1030" s="159"/>
      <c r="E1030" s="6"/>
      <c r="F1030" s="6"/>
      <c r="G1030" s="6"/>
      <c r="H1030" s="6"/>
      <c r="I1030" s="11"/>
    </row>
    <row r="1033" spans="1:9" ht="21" x14ac:dyDescent="0.35">
      <c r="B1033" s="184" t="s">
        <v>4816</v>
      </c>
      <c r="C1033" s="185"/>
      <c r="D1033" s="185"/>
      <c r="E1033" s="185"/>
      <c r="F1033" s="185"/>
      <c r="G1033" s="185"/>
      <c r="H1033" s="185"/>
      <c r="I1033" s="186"/>
    </row>
    <row r="1034" spans="1:9" x14ac:dyDescent="0.25">
      <c r="I1034" s="3"/>
    </row>
    <row r="1035" spans="1:9" ht="21" x14ac:dyDescent="0.35">
      <c r="B1035" s="192" t="s">
        <v>4817</v>
      </c>
      <c r="C1035" s="193"/>
      <c r="D1035" s="193"/>
      <c r="E1035" s="193"/>
      <c r="F1035" s="193"/>
      <c r="G1035" s="193"/>
      <c r="H1035" s="193"/>
      <c r="I1035" s="194"/>
    </row>
    <row r="1037" spans="1:9" ht="33.6" customHeight="1" x14ac:dyDescent="0.25">
      <c r="B1037" s="187" t="s">
        <v>4818</v>
      </c>
      <c r="C1037" s="188"/>
      <c r="D1037" s="188"/>
      <c r="E1037" s="188"/>
      <c r="F1037" s="188"/>
      <c r="G1037" s="188"/>
      <c r="H1037" s="188"/>
      <c r="I1037" s="189"/>
    </row>
    <row r="1038" spans="1:9" ht="47.25" x14ac:dyDescent="0.25">
      <c r="A1038" s="155" t="s">
        <v>4819</v>
      </c>
      <c r="B1038" s="155" t="s">
        <v>4820</v>
      </c>
      <c r="C1038" s="4" t="s">
        <v>4821</v>
      </c>
      <c r="D1038" s="4" t="s">
        <v>4822</v>
      </c>
      <c r="E1038" s="88" t="s">
        <v>4823</v>
      </c>
      <c r="F1038" s="88" t="s">
        <v>4824</v>
      </c>
      <c r="G1038" s="88" t="s">
        <v>4825</v>
      </c>
      <c r="H1038" s="4" t="s">
        <v>4826</v>
      </c>
      <c r="I1038" s="29" t="s">
        <v>4827</v>
      </c>
    </row>
    <row r="1039" spans="1:9" ht="25.5" x14ac:dyDescent="0.25">
      <c r="A1039" s="156"/>
      <c r="B1039" s="156"/>
      <c r="C1039" s="13" t="s">
        <v>4828</v>
      </c>
      <c r="D1039" s="13" t="s">
        <v>4828</v>
      </c>
      <c r="E1039" s="13" t="s">
        <v>4828</v>
      </c>
      <c r="F1039" s="13" t="s">
        <v>4828</v>
      </c>
      <c r="G1039" s="13" t="s">
        <v>4828</v>
      </c>
      <c r="H1039" s="13" t="s">
        <v>4828</v>
      </c>
      <c r="I1039" s="30"/>
    </row>
    <row r="1040" spans="1:9" ht="15.75" x14ac:dyDescent="0.25">
      <c r="A1040" s="23">
        <v>942</v>
      </c>
      <c r="B1040" s="6" t="str">
        <f>CADASTROS!$C$664</f>
        <v>Lourisvaldo Brito Silva</v>
      </c>
      <c r="C1040" s="159"/>
      <c r="D1040" s="159"/>
      <c r="E1040" s="159"/>
      <c r="F1040" s="159"/>
      <c r="G1040" s="159"/>
      <c r="H1040" s="159"/>
      <c r="I1040" s="7">
        <f>SUM(C1040+D1040+E1040+F1040+G1040+H1040)</f>
        <v>0</v>
      </c>
    </row>
    <row r="1041" spans="1:9" ht="15.75" x14ac:dyDescent="0.25">
      <c r="A1041" s="23">
        <v>943</v>
      </c>
      <c r="B1041" s="6" t="str">
        <f>CADASTROS!$C$665</f>
        <v>Valderico J da Silva</v>
      </c>
      <c r="C1041" s="159"/>
      <c r="D1041" s="159"/>
      <c r="E1041" s="159"/>
      <c r="F1041" s="159"/>
      <c r="G1041" s="159"/>
      <c r="H1041" s="159"/>
      <c r="I1041" s="7">
        <f t="shared" ref="I1041:I1066" si="96">SUM(C1041+D1041+E1041+F1041+G1041+H1041)</f>
        <v>0</v>
      </c>
    </row>
    <row r="1042" spans="1:9" ht="15.75" x14ac:dyDescent="0.25">
      <c r="A1042" s="23">
        <v>944</v>
      </c>
      <c r="B1042" s="6" t="str">
        <f>CADASTROS!$C$666</f>
        <v>Robenilton Paixão Nago</v>
      </c>
      <c r="C1042" s="159"/>
      <c r="D1042" s="159"/>
      <c r="E1042" s="159"/>
      <c r="F1042" s="159"/>
      <c r="G1042" s="159"/>
      <c r="H1042" s="159"/>
      <c r="I1042" s="7">
        <f t="shared" si="96"/>
        <v>0</v>
      </c>
    </row>
    <row r="1043" spans="1:9" ht="15.75" x14ac:dyDescent="0.25">
      <c r="A1043" s="23">
        <v>945</v>
      </c>
      <c r="B1043" s="6" t="str">
        <f>CADASTROS!$C$667</f>
        <v>Eloísio Cruz da Silva</v>
      </c>
      <c r="C1043" s="159"/>
      <c r="D1043" s="159"/>
      <c r="E1043" s="159"/>
      <c r="F1043" s="159"/>
      <c r="G1043" s="159"/>
      <c r="H1043" s="159"/>
      <c r="I1043" s="7">
        <f t="shared" si="96"/>
        <v>0</v>
      </c>
    </row>
    <row r="1044" spans="1:9" ht="15.75" x14ac:dyDescent="0.25">
      <c r="A1044" s="23">
        <v>951</v>
      </c>
      <c r="B1044" s="6" t="str">
        <f>CADASTROS!$C$668</f>
        <v>Carlos Ronei Machado Silva</v>
      </c>
      <c r="C1044" s="159"/>
      <c r="D1044" s="159"/>
      <c r="E1044" s="159"/>
      <c r="F1044" s="159"/>
      <c r="G1044" s="159"/>
      <c r="H1044" s="159"/>
      <c r="I1044" s="7">
        <f t="shared" si="96"/>
        <v>0</v>
      </c>
    </row>
    <row r="1045" spans="1:9" ht="15.75" x14ac:dyDescent="0.25">
      <c r="A1045" s="23">
        <v>952</v>
      </c>
      <c r="B1045" s="6" t="str">
        <f>CADASTROS!$C$669</f>
        <v>Vera Lúcia F Silva</v>
      </c>
      <c r="C1045" s="159"/>
      <c r="D1045" s="159"/>
      <c r="E1045" s="159"/>
      <c r="F1045" s="159"/>
      <c r="G1045" s="159"/>
      <c r="H1045" s="159"/>
      <c r="I1045" s="7">
        <f t="shared" si="96"/>
        <v>0</v>
      </c>
    </row>
    <row r="1046" spans="1:9" ht="15.75" x14ac:dyDescent="0.25">
      <c r="A1046" s="23">
        <v>953</v>
      </c>
      <c r="B1046" s="6" t="str">
        <f>CADASTROS!$C$670</f>
        <v>Rosemeire Paraguai Pereira</v>
      </c>
      <c r="C1046" s="159"/>
      <c r="D1046" s="159"/>
      <c r="E1046" s="159"/>
      <c r="F1046" s="159"/>
      <c r="G1046" s="159"/>
      <c r="H1046" s="159"/>
      <c r="I1046" s="7">
        <f t="shared" si="96"/>
        <v>0</v>
      </c>
    </row>
    <row r="1047" spans="1:9" ht="15.75" x14ac:dyDescent="0.25">
      <c r="A1047" s="23">
        <v>954</v>
      </c>
      <c r="B1047" s="6" t="str">
        <f>CADASTROS!$C$671</f>
        <v>Joseane de Jesus Moreira</v>
      </c>
      <c r="C1047" s="159"/>
      <c r="D1047" s="159">
        <v>2.5</v>
      </c>
      <c r="E1047" s="159">
        <v>6</v>
      </c>
      <c r="F1047" s="159"/>
      <c r="G1047" s="159"/>
      <c r="H1047" s="159"/>
      <c r="I1047" s="7">
        <f t="shared" si="96"/>
        <v>8.5</v>
      </c>
    </row>
    <row r="1048" spans="1:9" ht="15.75" x14ac:dyDescent="0.25">
      <c r="A1048" s="23">
        <v>955</v>
      </c>
      <c r="B1048" s="6" t="str">
        <f>CADASTROS!$C$672</f>
        <v>Eliana Lima Nascimento</v>
      </c>
      <c r="C1048" s="159"/>
      <c r="D1048" s="159"/>
      <c r="E1048" s="159"/>
      <c r="F1048" s="159"/>
      <c r="G1048" s="159"/>
      <c r="H1048" s="159"/>
      <c r="I1048" s="7">
        <f t="shared" si="96"/>
        <v>0</v>
      </c>
    </row>
    <row r="1049" spans="1:9" ht="15.75" x14ac:dyDescent="0.25">
      <c r="A1049" s="23">
        <v>956</v>
      </c>
      <c r="B1049" s="6" t="str">
        <f>CADASTROS!$C$673</f>
        <v>Carlos Candido Profeta</v>
      </c>
      <c r="C1049" s="159"/>
      <c r="D1049" s="159">
        <v>14</v>
      </c>
      <c r="E1049" s="159">
        <v>12.5</v>
      </c>
      <c r="F1049" s="159"/>
      <c r="G1049" s="159">
        <v>10</v>
      </c>
      <c r="H1049" s="159"/>
      <c r="I1049" s="7">
        <f t="shared" si="96"/>
        <v>36.5</v>
      </c>
    </row>
    <row r="1050" spans="1:9" ht="15.75" x14ac:dyDescent="0.25">
      <c r="A1050" s="23">
        <v>957</v>
      </c>
      <c r="B1050" s="6" t="str">
        <f>CADASTROS!$C$674</f>
        <v>Ronivaldo Sousa Santos</v>
      </c>
      <c r="C1050" s="159"/>
      <c r="D1050" s="159"/>
      <c r="E1050" s="159"/>
      <c r="F1050" s="159"/>
      <c r="G1050" s="159"/>
      <c r="H1050" s="159"/>
      <c r="I1050" s="7">
        <f t="shared" si="96"/>
        <v>0</v>
      </c>
    </row>
    <row r="1051" spans="1:9" ht="15.75" x14ac:dyDescent="0.25">
      <c r="A1051" s="23">
        <v>958</v>
      </c>
      <c r="B1051" s="6" t="str">
        <f>CADASTROS!$C$675</f>
        <v>Mauricio F Silva</v>
      </c>
      <c r="C1051" s="159"/>
      <c r="D1051" s="159"/>
      <c r="E1051" s="159"/>
      <c r="F1051" s="159"/>
      <c r="G1051" s="159"/>
      <c r="H1051" s="159"/>
      <c r="I1051" s="7">
        <f t="shared" si="96"/>
        <v>0</v>
      </c>
    </row>
    <row r="1052" spans="1:9" ht="15.75" x14ac:dyDescent="0.25">
      <c r="A1052" s="23">
        <v>960</v>
      </c>
      <c r="B1052" s="6" t="str">
        <f>CADASTROS!$C$676</f>
        <v>Robertania Mª de Queiróz</v>
      </c>
      <c r="C1052" s="159"/>
      <c r="D1052" s="159"/>
      <c r="E1052" s="159"/>
      <c r="F1052" s="159"/>
      <c r="G1052" s="159"/>
      <c r="H1052" s="159"/>
      <c r="I1052" s="7">
        <f t="shared" si="96"/>
        <v>0</v>
      </c>
    </row>
    <row r="1053" spans="1:9" ht="15.75" x14ac:dyDescent="0.25">
      <c r="A1053" s="23">
        <v>961</v>
      </c>
      <c r="B1053" s="6" t="str">
        <f>CADASTROS!$C$677</f>
        <v>Romário Cruz Carvalho</v>
      </c>
      <c r="C1053" s="159"/>
      <c r="D1053" s="159"/>
      <c r="E1053" s="159"/>
      <c r="F1053" s="159"/>
      <c r="G1053" s="159"/>
      <c r="H1053" s="159"/>
      <c r="I1053" s="7">
        <f t="shared" si="96"/>
        <v>0</v>
      </c>
    </row>
    <row r="1054" spans="1:9" ht="15.75" x14ac:dyDescent="0.25">
      <c r="A1054" s="23">
        <v>962</v>
      </c>
      <c r="B1054" s="6" t="str">
        <f>CADASTROS!$C$678</f>
        <v>Robério P Santos</v>
      </c>
      <c r="C1054" s="159"/>
      <c r="D1054" s="159"/>
      <c r="E1054" s="159"/>
      <c r="F1054" s="159"/>
      <c r="G1054" s="159"/>
      <c r="H1054" s="159"/>
      <c r="I1054" s="7">
        <f t="shared" si="96"/>
        <v>0</v>
      </c>
    </row>
    <row r="1055" spans="1:9" ht="15.75" x14ac:dyDescent="0.25">
      <c r="A1055" s="23">
        <v>963</v>
      </c>
      <c r="B1055" s="6" t="str">
        <f>CADASTROS!$C$679</f>
        <v>Gilzene A Borges</v>
      </c>
      <c r="C1055" s="159"/>
      <c r="D1055" s="159"/>
      <c r="E1055" s="159"/>
      <c r="F1055" s="159"/>
      <c r="G1055" s="159"/>
      <c r="H1055" s="159"/>
      <c r="I1055" s="7">
        <f t="shared" si="96"/>
        <v>0</v>
      </c>
    </row>
    <row r="1056" spans="1:9" ht="15.75" x14ac:dyDescent="0.25">
      <c r="A1056" s="23">
        <v>965</v>
      </c>
      <c r="B1056" s="6" t="str">
        <f>CADASTROS!$C$680</f>
        <v>Ailson Oliveira dos Santos</v>
      </c>
      <c r="C1056" s="159"/>
      <c r="D1056" s="159"/>
      <c r="E1056" s="159"/>
      <c r="F1056" s="159"/>
      <c r="G1056" s="159"/>
      <c r="H1056" s="159"/>
      <c r="I1056" s="7">
        <f t="shared" si="96"/>
        <v>0</v>
      </c>
    </row>
    <row r="1057" spans="1:9" ht="15.75" x14ac:dyDescent="0.25">
      <c r="A1057" s="23">
        <v>966</v>
      </c>
      <c r="B1057" s="6" t="str">
        <f>CADASTROS!$C$681</f>
        <v>Ilzaene F Souza</v>
      </c>
      <c r="C1057" s="159"/>
      <c r="D1057" s="159"/>
      <c r="E1057" s="159"/>
      <c r="F1057" s="159"/>
      <c r="G1057" s="159"/>
      <c r="H1057" s="159"/>
      <c r="I1057" s="7">
        <f t="shared" si="96"/>
        <v>0</v>
      </c>
    </row>
    <row r="1058" spans="1:9" ht="15.75" x14ac:dyDescent="0.25">
      <c r="A1058" s="23">
        <v>969</v>
      </c>
      <c r="B1058" s="6" t="str">
        <f>CADASTROS!$C$682</f>
        <v>Eliana Souza da Cruz</v>
      </c>
      <c r="C1058" s="159"/>
      <c r="D1058" s="159"/>
      <c r="E1058" s="159"/>
      <c r="F1058" s="159"/>
      <c r="G1058" s="159"/>
      <c r="H1058" s="159"/>
      <c r="I1058" s="7">
        <f t="shared" si="96"/>
        <v>0</v>
      </c>
    </row>
    <row r="1059" spans="1:9" ht="15.75" x14ac:dyDescent="0.25">
      <c r="A1059" s="23">
        <v>970</v>
      </c>
      <c r="B1059" s="6" t="str">
        <f>CADASTROS!$C$683</f>
        <v>Florisvaldo R. da Silva</v>
      </c>
      <c r="C1059" s="159"/>
      <c r="D1059" s="159">
        <v>23.5</v>
      </c>
      <c r="E1059" s="159">
        <v>21</v>
      </c>
      <c r="F1059" s="159"/>
      <c r="G1059" s="159"/>
      <c r="H1059" s="159"/>
      <c r="I1059" s="7">
        <f t="shared" si="96"/>
        <v>44.5</v>
      </c>
    </row>
    <row r="1060" spans="1:9" ht="15.75" x14ac:dyDescent="0.25">
      <c r="A1060" s="23">
        <v>972</v>
      </c>
      <c r="B1060" s="6" t="str">
        <f>CADASTROS!$C$684</f>
        <v>João Batista C de Jesus</v>
      </c>
      <c r="C1060" s="159"/>
      <c r="D1060" s="159"/>
      <c r="E1060" s="159"/>
      <c r="F1060" s="159"/>
      <c r="G1060" s="159"/>
      <c r="H1060" s="159"/>
      <c r="I1060" s="7">
        <f t="shared" si="96"/>
        <v>0</v>
      </c>
    </row>
    <row r="1061" spans="1:9" ht="15.75" x14ac:dyDescent="0.25">
      <c r="A1061" s="23">
        <v>974</v>
      </c>
      <c r="B1061" s="6" t="str">
        <f>CADASTROS!$C$685</f>
        <v>Ivanilson de Sousa Pinto</v>
      </c>
      <c r="C1061" s="159"/>
      <c r="D1061" s="159"/>
      <c r="E1061" s="159"/>
      <c r="F1061" s="159"/>
      <c r="G1061" s="159"/>
      <c r="H1061" s="159"/>
      <c r="I1061" s="7">
        <f t="shared" si="96"/>
        <v>0</v>
      </c>
    </row>
    <row r="1062" spans="1:9" ht="15.75" x14ac:dyDescent="0.25">
      <c r="A1062" s="23">
        <v>975</v>
      </c>
      <c r="B1062" s="6" t="str">
        <f>CADASTROS!$C$686</f>
        <v>Janete da Silva Gonçalves</v>
      </c>
      <c r="C1062" s="159"/>
      <c r="D1062" s="159"/>
      <c r="E1062" s="159"/>
      <c r="F1062" s="159"/>
      <c r="G1062" s="159"/>
      <c r="H1062" s="159"/>
      <c r="I1062" s="7">
        <f t="shared" si="96"/>
        <v>0</v>
      </c>
    </row>
    <row r="1063" spans="1:9" ht="15.75" x14ac:dyDescent="0.25">
      <c r="A1063" s="23">
        <v>976</v>
      </c>
      <c r="B1063" s="6" t="str">
        <f>CADASTROS!$C$687</f>
        <v>Ademilton Oliveira Santos</v>
      </c>
      <c r="C1063" s="159"/>
      <c r="D1063" s="159"/>
      <c r="E1063" s="159"/>
      <c r="F1063" s="159"/>
      <c r="G1063" s="159"/>
      <c r="H1063" s="159"/>
      <c r="I1063" s="7">
        <f t="shared" si="96"/>
        <v>0</v>
      </c>
    </row>
    <row r="1064" spans="1:9" ht="15.75" x14ac:dyDescent="0.25">
      <c r="A1064" s="23">
        <v>985</v>
      </c>
      <c r="B1064" s="6" t="str">
        <f>CADASTROS!$C$688</f>
        <v>Denize Baraúna de Souza</v>
      </c>
      <c r="C1064" s="159"/>
      <c r="D1064" s="159"/>
      <c r="E1064" s="159"/>
      <c r="F1064" s="159"/>
      <c r="G1064" s="159"/>
      <c r="H1064" s="159"/>
      <c r="I1064" s="7">
        <f t="shared" si="96"/>
        <v>0</v>
      </c>
    </row>
    <row r="1065" spans="1:9" ht="15.75" x14ac:dyDescent="0.25">
      <c r="A1065" s="23">
        <v>988</v>
      </c>
      <c r="B1065" s="6" t="str">
        <f>CADASTROS!$C$689</f>
        <v>Gelson Pereira dos Santos</v>
      </c>
      <c r="C1065" s="159"/>
      <c r="D1065" s="159">
        <v>16</v>
      </c>
      <c r="E1065" s="159"/>
      <c r="F1065" s="159"/>
      <c r="G1065" s="159">
        <v>17.5</v>
      </c>
      <c r="H1065" s="159"/>
      <c r="I1065" s="7">
        <f t="shared" si="96"/>
        <v>33.5</v>
      </c>
    </row>
    <row r="1066" spans="1:9" ht="15.75" x14ac:dyDescent="0.25">
      <c r="A1066" s="23">
        <v>989</v>
      </c>
      <c r="B1066" s="6" t="str">
        <f>CADASTROS!$C$690</f>
        <v>Francisco Fracion M SI</v>
      </c>
      <c r="C1066" s="159"/>
      <c r="D1066" s="159"/>
      <c r="E1066" s="159"/>
      <c r="F1066" s="159"/>
      <c r="G1066" s="159"/>
      <c r="H1066" s="159"/>
      <c r="I1066" s="7">
        <f t="shared" si="96"/>
        <v>0</v>
      </c>
    </row>
    <row r="1067" spans="1:9" ht="15.75" x14ac:dyDescent="0.25">
      <c r="B1067" s="159" t="s">
        <v>4829</v>
      </c>
      <c r="C1067" s="159">
        <f>SUM(C1040:C1066)</f>
        <v>0</v>
      </c>
      <c r="D1067" s="159">
        <f t="shared" ref="D1067:H1067" si="97">SUM(D1040:D1066)</f>
        <v>56</v>
      </c>
      <c r="E1067" s="159">
        <f t="shared" si="97"/>
        <v>39.5</v>
      </c>
      <c r="F1067" s="159">
        <f t="shared" si="97"/>
        <v>0</v>
      </c>
      <c r="G1067" s="159">
        <f t="shared" si="97"/>
        <v>27.5</v>
      </c>
      <c r="H1067" s="159">
        <f t="shared" si="97"/>
        <v>0</v>
      </c>
      <c r="I1067" s="159">
        <f>SUM(I1040:I1066)</f>
        <v>123</v>
      </c>
    </row>
    <row r="1069" spans="1:9" ht="15.75" x14ac:dyDescent="0.25">
      <c r="B1069" s="8" t="s">
        <v>4830</v>
      </c>
      <c r="C1069" s="159"/>
      <c r="D1069" s="159"/>
      <c r="E1069" s="159"/>
      <c r="F1069" s="159"/>
      <c r="G1069" s="159"/>
      <c r="H1069" s="159"/>
      <c r="I1069" s="159">
        <f>SUM(C1069:H1069)</f>
        <v>0</v>
      </c>
    </row>
    <row r="1070" spans="1:9" x14ac:dyDescent="0.25">
      <c r="B1070" s="167"/>
    </row>
    <row r="1071" spans="1:9" ht="15.75" x14ac:dyDescent="0.25">
      <c r="B1071" s="8" t="s">
        <v>4831</v>
      </c>
      <c r="C1071" s="9" t="e">
        <f>C1067/C1069</f>
        <v>#DIV/0!</v>
      </c>
      <c r="D1071" s="9" t="e">
        <f t="shared" ref="D1071:H1071" si="98">D1067/D1069</f>
        <v>#DIV/0!</v>
      </c>
      <c r="E1071" s="9" t="e">
        <f t="shared" si="98"/>
        <v>#DIV/0!</v>
      </c>
      <c r="F1071" s="9" t="e">
        <f t="shared" si="98"/>
        <v>#DIV/0!</v>
      </c>
      <c r="G1071" s="9" t="e">
        <f t="shared" si="98"/>
        <v>#DIV/0!</v>
      </c>
      <c r="H1071" s="9" t="e">
        <f t="shared" si="98"/>
        <v>#DIV/0!</v>
      </c>
      <c r="I1071" s="9"/>
    </row>
    <row r="1072" spans="1:9" ht="15.75" x14ac:dyDescent="0.25">
      <c r="B1072" s="163"/>
      <c r="C1072" s="10"/>
      <c r="D1072" s="10"/>
      <c r="E1072" s="10"/>
      <c r="F1072" s="10"/>
      <c r="G1072" s="10"/>
      <c r="H1072" s="163"/>
      <c r="I1072" s="163"/>
    </row>
    <row r="1073" spans="1:9" ht="33.6" customHeight="1" x14ac:dyDescent="0.25">
      <c r="B1073" s="8" t="s">
        <v>4832</v>
      </c>
      <c r="C1073" s="159"/>
      <c r="D1073" s="159"/>
      <c r="E1073" s="6"/>
      <c r="F1073" s="6"/>
      <c r="G1073" s="6"/>
      <c r="H1073" s="6"/>
      <c r="I1073" s="11"/>
    </row>
    <row r="1076" spans="1:9" ht="21" x14ac:dyDescent="0.35">
      <c r="B1076" s="184" t="s">
        <v>4816</v>
      </c>
      <c r="C1076" s="185"/>
      <c r="D1076" s="185"/>
      <c r="E1076" s="185"/>
      <c r="F1076" s="185"/>
      <c r="G1076" s="185"/>
      <c r="H1076" s="185"/>
      <c r="I1076" s="186"/>
    </row>
    <row r="1077" spans="1:9" x14ac:dyDescent="0.25">
      <c r="I1077" s="3"/>
    </row>
    <row r="1078" spans="1:9" ht="21" x14ac:dyDescent="0.35">
      <c r="B1078" s="192" t="s">
        <v>4817</v>
      </c>
      <c r="C1078" s="193"/>
      <c r="D1078" s="193"/>
      <c r="E1078" s="193"/>
      <c r="F1078" s="193"/>
      <c r="G1078" s="193"/>
      <c r="H1078" s="193"/>
      <c r="I1078" s="194"/>
    </row>
    <row r="1080" spans="1:9" ht="33.6" customHeight="1" x14ac:dyDescent="0.25">
      <c r="B1080" s="187" t="s">
        <v>4842</v>
      </c>
      <c r="C1080" s="188"/>
      <c r="D1080" s="188"/>
      <c r="E1080" s="188"/>
      <c r="F1080" s="188"/>
      <c r="G1080" s="188"/>
      <c r="H1080" s="188"/>
      <c r="I1080" s="189"/>
    </row>
    <row r="1081" spans="1:9" ht="47.25" x14ac:dyDescent="0.25">
      <c r="A1081" s="155" t="s">
        <v>4819</v>
      </c>
      <c r="B1081" s="155" t="s">
        <v>4820</v>
      </c>
      <c r="C1081" s="4" t="s">
        <v>4821</v>
      </c>
      <c r="D1081" s="4" t="s">
        <v>4822</v>
      </c>
      <c r="E1081" s="88" t="s">
        <v>4823</v>
      </c>
      <c r="F1081" s="88" t="s">
        <v>4824</v>
      </c>
      <c r="G1081" s="88" t="s">
        <v>4825</v>
      </c>
      <c r="H1081" s="4" t="s">
        <v>4826</v>
      </c>
      <c r="I1081" s="29" t="s">
        <v>4827</v>
      </c>
    </row>
    <row r="1082" spans="1:9" ht="25.5" x14ac:dyDescent="0.25">
      <c r="A1082" s="156"/>
      <c r="B1082" s="156"/>
      <c r="C1082" s="13" t="s">
        <v>4828</v>
      </c>
      <c r="D1082" s="13" t="s">
        <v>4828</v>
      </c>
      <c r="E1082" s="13" t="s">
        <v>4828</v>
      </c>
      <c r="F1082" s="13" t="s">
        <v>4828</v>
      </c>
      <c r="G1082" s="13" t="s">
        <v>4828</v>
      </c>
      <c r="H1082" s="13" t="s">
        <v>4828</v>
      </c>
      <c r="I1082" s="30"/>
    </row>
    <row r="1083" spans="1:9" ht="15.75" x14ac:dyDescent="0.25">
      <c r="A1083" s="23">
        <v>977</v>
      </c>
      <c r="B1083" s="6" t="str">
        <f>CADASTROS!$C$614</f>
        <v>Edimar Araújo da Silva</v>
      </c>
      <c r="C1083" s="159"/>
      <c r="D1083" s="159"/>
      <c r="E1083" s="159"/>
      <c r="F1083" s="159"/>
      <c r="G1083" s="159"/>
      <c r="H1083" s="159"/>
      <c r="I1083" s="7">
        <f>SUM(C1083+D1083+E1083+F1083+G1083+H1083)</f>
        <v>0</v>
      </c>
    </row>
    <row r="1084" spans="1:9" ht="15.75" x14ac:dyDescent="0.25">
      <c r="A1084" s="23">
        <v>978</v>
      </c>
      <c r="B1084" s="6" t="str">
        <f>CADASTROS!$C$615</f>
        <v>Cosme Miranda de Andrade</v>
      </c>
      <c r="C1084" s="159"/>
      <c r="D1084" s="159"/>
      <c r="E1084" s="159"/>
      <c r="F1084" s="159"/>
      <c r="G1084" s="159"/>
      <c r="H1084" s="159"/>
      <c r="I1084" s="7">
        <f t="shared" ref="I1084:I1109" si="99">SUM(C1084+D1084+E1084+F1084+G1084+H1084)</f>
        <v>0</v>
      </c>
    </row>
    <row r="1085" spans="1:9" ht="15.75" x14ac:dyDescent="0.25">
      <c r="A1085" s="23">
        <v>979</v>
      </c>
      <c r="B1085" s="6" t="str">
        <f>CADASTROS!$C$616</f>
        <v>Luis Inácio Souza Santos</v>
      </c>
      <c r="C1085" s="159"/>
      <c r="D1085" s="159"/>
      <c r="E1085" s="159"/>
      <c r="F1085" s="159"/>
      <c r="G1085" s="159"/>
      <c r="H1085" s="159"/>
      <c r="I1085" s="7">
        <f t="shared" si="99"/>
        <v>0</v>
      </c>
    </row>
    <row r="1086" spans="1:9" ht="15.75" x14ac:dyDescent="0.25">
      <c r="A1086" s="23">
        <v>980</v>
      </c>
      <c r="B1086" s="6" t="str">
        <f>CADASTROS!$C$617</f>
        <v>Claudinei Baraúna Souza</v>
      </c>
      <c r="C1086" s="159"/>
      <c r="D1086" s="159"/>
      <c r="E1086" s="159"/>
      <c r="F1086" s="159"/>
      <c r="G1086" s="159"/>
      <c r="H1086" s="159"/>
      <c r="I1086" s="7">
        <f t="shared" si="99"/>
        <v>0</v>
      </c>
    </row>
    <row r="1087" spans="1:9" ht="15.75" x14ac:dyDescent="0.25">
      <c r="A1087" s="23">
        <v>981</v>
      </c>
      <c r="B1087" s="6" t="str">
        <f>CADASTROS!$C$618</f>
        <v>Maria Edileusa O Souza</v>
      </c>
      <c r="C1087" s="159"/>
      <c r="D1087" s="159"/>
      <c r="E1087" s="159"/>
      <c r="F1087" s="159"/>
      <c r="G1087" s="159"/>
      <c r="H1087" s="159"/>
      <c r="I1087" s="7">
        <f t="shared" si="99"/>
        <v>0</v>
      </c>
    </row>
    <row r="1088" spans="1:9" ht="15.75" x14ac:dyDescent="0.25">
      <c r="A1088" s="23">
        <v>982</v>
      </c>
      <c r="B1088" s="6" t="str">
        <f>CADASTROS!$C$619</f>
        <v>Tereza Sena dos Santos</v>
      </c>
      <c r="C1088" s="159"/>
      <c r="D1088" s="159"/>
      <c r="E1088" s="159"/>
      <c r="F1088" s="159"/>
      <c r="G1088" s="159"/>
      <c r="H1088" s="159"/>
      <c r="I1088" s="7">
        <f t="shared" si="99"/>
        <v>0</v>
      </c>
    </row>
    <row r="1089" spans="1:9" ht="15.75" x14ac:dyDescent="0.25">
      <c r="A1089" s="23">
        <v>983</v>
      </c>
      <c r="B1089" s="6" t="str">
        <f>CADASTROS!$C$620</f>
        <v>Zilda de Souza Dias</v>
      </c>
      <c r="C1089" s="159"/>
      <c r="D1089" s="159"/>
      <c r="E1089" s="159"/>
      <c r="F1089" s="159"/>
      <c r="G1089" s="159"/>
      <c r="H1089" s="159"/>
      <c r="I1089" s="7">
        <f t="shared" si="99"/>
        <v>0</v>
      </c>
    </row>
    <row r="1090" spans="1:9" ht="15.75" x14ac:dyDescent="0.25">
      <c r="A1090" s="23">
        <v>984</v>
      </c>
      <c r="B1090" s="6" t="str">
        <f>CADASTROS!$C$621</f>
        <v>Patrícia Barauna Oliveira</v>
      </c>
      <c r="C1090" s="159"/>
      <c r="D1090" s="159"/>
      <c r="E1090" s="159"/>
      <c r="F1090" s="159"/>
      <c r="G1090" s="159"/>
      <c r="H1090" s="159"/>
      <c r="I1090" s="7">
        <f t="shared" si="99"/>
        <v>0</v>
      </c>
    </row>
    <row r="1091" spans="1:9" ht="15.75" x14ac:dyDescent="0.25">
      <c r="A1091" s="23">
        <v>986</v>
      </c>
      <c r="B1091" s="6" t="str">
        <f>CADASTROS!$C$622</f>
        <v>Raquel Oliveira Santos</v>
      </c>
      <c r="C1091" s="159"/>
      <c r="D1091" s="159"/>
      <c r="E1091" s="159"/>
      <c r="F1091" s="159"/>
      <c r="G1091" s="159"/>
      <c r="H1091" s="159"/>
      <c r="I1091" s="7">
        <f t="shared" si="99"/>
        <v>0</v>
      </c>
    </row>
    <row r="1092" spans="1:9" ht="15.75" x14ac:dyDescent="0.25">
      <c r="A1092" s="23">
        <v>987</v>
      </c>
      <c r="B1092" s="6" t="str">
        <f>CADASTROS!$C$623</f>
        <v>Ednalva Soares de Lima</v>
      </c>
      <c r="C1092" s="159"/>
      <c r="D1092" s="159"/>
      <c r="E1092" s="159"/>
      <c r="F1092" s="159"/>
      <c r="G1092" s="159"/>
      <c r="H1092" s="159"/>
      <c r="I1092" s="7">
        <f t="shared" si="99"/>
        <v>0</v>
      </c>
    </row>
    <row r="1093" spans="1:9" ht="15.75" x14ac:dyDescent="0.25">
      <c r="A1093" s="23">
        <v>992</v>
      </c>
      <c r="B1093" s="6" t="str">
        <f>CADASTROS!$C$624</f>
        <v>Gesiana de Oliveira Souza</v>
      </c>
      <c r="C1093" s="159"/>
      <c r="D1093" s="159"/>
      <c r="E1093" s="159"/>
      <c r="F1093" s="159"/>
      <c r="G1093" s="159"/>
      <c r="H1093" s="159"/>
      <c r="I1093" s="7">
        <f t="shared" si="99"/>
        <v>0</v>
      </c>
    </row>
    <row r="1094" spans="1:9" ht="15.75" x14ac:dyDescent="0.25">
      <c r="A1094" s="23">
        <v>998</v>
      </c>
      <c r="B1094" s="6" t="str">
        <f>CADASTROS!$C$625</f>
        <v>Janete de Souza</v>
      </c>
      <c r="C1094" s="159"/>
      <c r="D1094" s="159"/>
      <c r="E1094" s="159"/>
      <c r="F1094" s="159"/>
      <c r="G1094" s="159"/>
      <c r="H1094" s="159"/>
      <c r="I1094" s="7">
        <f t="shared" si="99"/>
        <v>0</v>
      </c>
    </row>
    <row r="1095" spans="1:9" ht="15.75" x14ac:dyDescent="0.25">
      <c r="A1095" s="23">
        <v>1006</v>
      </c>
      <c r="B1095" s="6" t="str">
        <f>CADASTROS!$C$626</f>
        <v>Paula dos Reis Silva</v>
      </c>
      <c r="C1095" s="159"/>
      <c r="D1095" s="159"/>
      <c r="E1095" s="159"/>
      <c r="F1095" s="159"/>
      <c r="G1095" s="159"/>
      <c r="H1095" s="159"/>
      <c r="I1095" s="7">
        <f t="shared" si="99"/>
        <v>0</v>
      </c>
    </row>
    <row r="1096" spans="1:9" ht="15.75" x14ac:dyDescent="0.25">
      <c r="A1096" s="23">
        <v>1010</v>
      </c>
      <c r="B1096" s="6" t="str">
        <f>CADASTROS!$C$627</f>
        <v>Marivania Teles de Oliveira</v>
      </c>
      <c r="C1096" s="159"/>
      <c r="D1096" s="159"/>
      <c r="E1096" s="159"/>
      <c r="F1096" s="159"/>
      <c r="G1096" s="159"/>
      <c r="H1096" s="159"/>
      <c r="I1096" s="7">
        <f t="shared" si="99"/>
        <v>0</v>
      </c>
    </row>
    <row r="1097" spans="1:9" ht="15.75" x14ac:dyDescent="0.25">
      <c r="A1097" s="23">
        <v>1016</v>
      </c>
      <c r="B1097" s="6" t="str">
        <f>CADASTROS!$C$628</f>
        <v xml:space="preserve">Aristides F Sena </v>
      </c>
      <c r="C1097" s="159"/>
      <c r="D1097" s="159"/>
      <c r="E1097" s="159"/>
      <c r="F1097" s="159"/>
      <c r="G1097" s="159"/>
      <c r="H1097" s="159"/>
      <c r="I1097" s="7">
        <f t="shared" si="99"/>
        <v>0</v>
      </c>
    </row>
    <row r="1098" spans="1:9" ht="15.75" x14ac:dyDescent="0.25">
      <c r="A1098" s="23">
        <v>1017</v>
      </c>
      <c r="B1098" s="6" t="str">
        <f>CADASTROS!$C$629</f>
        <v>Ademilson Maria Oliveira</v>
      </c>
      <c r="C1098" s="159"/>
      <c r="D1098" s="159"/>
      <c r="E1098" s="159"/>
      <c r="F1098" s="159"/>
      <c r="G1098" s="159"/>
      <c r="H1098" s="159"/>
      <c r="I1098" s="7">
        <f t="shared" si="99"/>
        <v>0</v>
      </c>
    </row>
    <row r="1099" spans="1:9" ht="15.75" x14ac:dyDescent="0.25">
      <c r="A1099" s="23">
        <v>1018</v>
      </c>
      <c r="B1099" s="6" t="str">
        <f>CADASTROS!$C$630</f>
        <v>Edna Rosa da Fonseca</v>
      </c>
      <c r="C1099" s="159"/>
      <c r="D1099" s="159"/>
      <c r="E1099" s="159"/>
      <c r="F1099" s="159"/>
      <c r="G1099" s="159"/>
      <c r="H1099" s="159"/>
      <c r="I1099" s="7">
        <f t="shared" si="99"/>
        <v>0</v>
      </c>
    </row>
    <row r="1100" spans="1:9" ht="15.75" x14ac:dyDescent="0.25">
      <c r="A1100" s="23">
        <v>1019</v>
      </c>
      <c r="B1100" s="6" t="str">
        <f>CADASTROS!$C$631</f>
        <v>Rosimeire Oliveira Jesus</v>
      </c>
      <c r="C1100" s="159"/>
      <c r="D1100" s="159"/>
      <c r="E1100" s="159"/>
      <c r="F1100" s="159"/>
      <c r="G1100" s="159"/>
      <c r="H1100" s="159"/>
      <c r="I1100" s="7">
        <f t="shared" si="99"/>
        <v>0</v>
      </c>
    </row>
    <row r="1101" spans="1:9" ht="15.75" x14ac:dyDescent="0.25">
      <c r="A1101" s="23">
        <v>1020</v>
      </c>
      <c r="B1101" s="6" t="str">
        <f>CADASTROS!$C$722</f>
        <v>Renilton da Silva Lopes</v>
      </c>
      <c r="C1101" s="159"/>
      <c r="D1101" s="159"/>
      <c r="E1101" s="159"/>
      <c r="F1101" s="159"/>
      <c r="G1101" s="159"/>
      <c r="H1101" s="159"/>
      <c r="I1101" s="7">
        <f t="shared" si="99"/>
        <v>0</v>
      </c>
    </row>
    <row r="1102" spans="1:9" ht="15.75" x14ac:dyDescent="0.25">
      <c r="A1102" s="23">
        <v>1021</v>
      </c>
      <c r="B1102" s="6" t="str">
        <f>CADASTROS!$C$723</f>
        <v>Joelma Maria de Jesus</v>
      </c>
      <c r="C1102" s="159"/>
      <c r="D1102" s="159"/>
      <c r="E1102" s="159"/>
      <c r="F1102" s="159"/>
      <c r="G1102" s="159"/>
      <c r="H1102" s="159"/>
      <c r="I1102" s="7">
        <f t="shared" si="99"/>
        <v>0</v>
      </c>
    </row>
    <row r="1103" spans="1:9" ht="15.75" x14ac:dyDescent="0.25">
      <c r="A1103" s="23">
        <v>1022</v>
      </c>
      <c r="B1103" s="6" t="str">
        <f>CADASTROS!$C$724</f>
        <v>Zenilde Pereira da Cruz</v>
      </c>
      <c r="C1103" s="159"/>
      <c r="D1103" s="159"/>
      <c r="E1103" s="159"/>
      <c r="F1103" s="159"/>
      <c r="G1103" s="159"/>
      <c r="H1103" s="159"/>
      <c r="I1103" s="7">
        <f t="shared" si="99"/>
        <v>0</v>
      </c>
    </row>
    <row r="1104" spans="1:9" ht="15.75" x14ac:dyDescent="0.25">
      <c r="A1104" s="23">
        <v>1023</v>
      </c>
      <c r="B1104" s="6" t="str">
        <f>CADASTROS!$C$725</f>
        <v>Tatiane Jesus de Souza</v>
      </c>
      <c r="C1104" s="159"/>
      <c r="D1104" s="159"/>
      <c r="E1104" s="159"/>
      <c r="F1104" s="159"/>
      <c r="G1104" s="159"/>
      <c r="H1104" s="159"/>
      <c r="I1104" s="7">
        <f t="shared" si="99"/>
        <v>0</v>
      </c>
    </row>
    <row r="1105" spans="1:9" ht="15.75" x14ac:dyDescent="0.25">
      <c r="A1105" s="23">
        <v>1024</v>
      </c>
      <c r="B1105" s="6" t="str">
        <f>CADASTROS!$C$726</f>
        <v>Edileuza Rosa da Silva</v>
      </c>
      <c r="C1105" s="159"/>
      <c r="D1105" s="159"/>
      <c r="E1105" s="159"/>
      <c r="F1105" s="159"/>
      <c r="G1105" s="159"/>
      <c r="H1105" s="159"/>
      <c r="I1105" s="7">
        <f t="shared" si="99"/>
        <v>0</v>
      </c>
    </row>
    <row r="1106" spans="1:9" ht="15.75" x14ac:dyDescent="0.25">
      <c r="A1106" s="23">
        <v>1025</v>
      </c>
      <c r="B1106" s="6" t="str">
        <f>CADASTROS!$C$727</f>
        <v>Valdionor Caetano de Souza</v>
      </c>
      <c r="C1106" s="159"/>
      <c r="D1106" s="159">
        <v>13</v>
      </c>
      <c r="E1106" s="159">
        <v>25</v>
      </c>
      <c r="F1106" s="159"/>
      <c r="G1106" s="159">
        <v>28</v>
      </c>
      <c r="H1106" s="159"/>
      <c r="I1106" s="7">
        <f t="shared" si="99"/>
        <v>66</v>
      </c>
    </row>
    <row r="1107" spans="1:9" ht="15.75" x14ac:dyDescent="0.25">
      <c r="A1107" s="23">
        <v>1026</v>
      </c>
      <c r="B1107" s="6" t="str">
        <f>CADASTROS!$C$728</f>
        <v>José Silva Bispo</v>
      </c>
      <c r="C1107" s="159"/>
      <c r="D1107" s="159"/>
      <c r="E1107" s="159"/>
      <c r="F1107" s="159"/>
      <c r="G1107" s="159"/>
      <c r="H1107" s="159"/>
      <c r="I1107" s="7">
        <f t="shared" si="99"/>
        <v>0</v>
      </c>
    </row>
    <row r="1108" spans="1:9" ht="15.75" x14ac:dyDescent="0.25">
      <c r="A1108" s="23">
        <v>1027</v>
      </c>
      <c r="B1108" s="6" t="str">
        <f>CADASTROS!$C$729</f>
        <v>Leonardo Jesus Souza</v>
      </c>
      <c r="C1108" s="159"/>
      <c r="D1108" s="159"/>
      <c r="E1108" s="159"/>
      <c r="F1108" s="159"/>
      <c r="G1108" s="159"/>
      <c r="H1108" s="159"/>
      <c r="I1108" s="7">
        <f t="shared" si="99"/>
        <v>0</v>
      </c>
    </row>
    <row r="1109" spans="1:9" ht="15.75" x14ac:dyDescent="0.25">
      <c r="A1109" s="23">
        <v>1028</v>
      </c>
      <c r="B1109" s="6" t="str">
        <f>CADASTROS!$C$730</f>
        <v>Adilton Souza dos Santos</v>
      </c>
      <c r="C1109" s="159"/>
      <c r="D1109" s="159"/>
      <c r="E1109" s="159"/>
      <c r="F1109" s="159"/>
      <c r="G1109" s="159"/>
      <c r="H1109" s="159"/>
      <c r="I1109" s="7">
        <f t="shared" si="99"/>
        <v>0</v>
      </c>
    </row>
    <row r="1110" spans="1:9" ht="15.75" x14ac:dyDescent="0.25">
      <c r="B1110" s="159" t="s">
        <v>4829</v>
      </c>
      <c r="C1110" s="159">
        <f>SUM(C1083:C1109)</f>
        <v>0</v>
      </c>
      <c r="D1110" s="159">
        <f t="shared" ref="D1110:H1110" si="100">SUM(D1083:D1109)</f>
        <v>13</v>
      </c>
      <c r="E1110" s="159">
        <f t="shared" si="100"/>
        <v>25</v>
      </c>
      <c r="F1110" s="159">
        <f t="shared" si="100"/>
        <v>0</v>
      </c>
      <c r="G1110" s="159">
        <f t="shared" si="100"/>
        <v>28</v>
      </c>
      <c r="H1110" s="159">
        <f t="shared" si="100"/>
        <v>0</v>
      </c>
      <c r="I1110" s="159">
        <f>SUM(I1083:I1109)</f>
        <v>66</v>
      </c>
    </row>
    <row r="1112" spans="1:9" ht="15.75" x14ac:dyDescent="0.25">
      <c r="B1112" s="8" t="s">
        <v>4830</v>
      </c>
      <c r="C1112" s="159"/>
      <c r="D1112" s="159"/>
      <c r="E1112" s="159"/>
      <c r="F1112" s="159"/>
      <c r="G1112" s="159"/>
      <c r="H1112" s="159"/>
      <c r="I1112" s="159">
        <f>SUM(C1112:H1112)</f>
        <v>0</v>
      </c>
    </row>
    <row r="1113" spans="1:9" x14ac:dyDescent="0.25">
      <c r="B1113" s="167"/>
    </row>
    <row r="1114" spans="1:9" ht="15.75" x14ac:dyDescent="0.25">
      <c r="B1114" s="8" t="s">
        <v>4831</v>
      </c>
      <c r="C1114" s="9" t="e">
        <f>C1110/C1112</f>
        <v>#DIV/0!</v>
      </c>
      <c r="D1114" s="9" t="e">
        <f t="shared" ref="D1114:H1114" si="101">D1110/D1112</f>
        <v>#DIV/0!</v>
      </c>
      <c r="E1114" s="9" t="e">
        <f t="shared" si="101"/>
        <v>#DIV/0!</v>
      </c>
      <c r="F1114" s="9" t="e">
        <f t="shared" si="101"/>
        <v>#DIV/0!</v>
      </c>
      <c r="G1114" s="9" t="e">
        <f t="shared" si="101"/>
        <v>#DIV/0!</v>
      </c>
      <c r="H1114" s="9" t="e">
        <f t="shared" si="101"/>
        <v>#DIV/0!</v>
      </c>
      <c r="I1114" s="9"/>
    </row>
    <row r="1115" spans="1:9" ht="15.75" x14ac:dyDescent="0.25">
      <c r="B1115" s="163"/>
      <c r="C1115" s="10"/>
      <c r="D1115" s="10"/>
      <c r="E1115" s="10"/>
      <c r="F1115" s="10"/>
      <c r="G1115" s="10"/>
      <c r="H1115" s="163"/>
      <c r="I1115" s="163"/>
    </row>
    <row r="1116" spans="1:9" ht="15.75" x14ac:dyDescent="0.25">
      <c r="B1116" s="8" t="s">
        <v>4832</v>
      </c>
      <c r="C1116" s="159"/>
      <c r="D1116" s="159"/>
      <c r="E1116" s="6"/>
      <c r="F1116" s="6"/>
      <c r="G1116" s="6"/>
      <c r="H1116" s="6"/>
      <c r="I1116" s="11"/>
    </row>
    <row r="1119" spans="1:9" ht="21" x14ac:dyDescent="0.35">
      <c r="B1119" s="184" t="s">
        <v>4816</v>
      </c>
      <c r="C1119" s="185"/>
      <c r="D1119" s="185"/>
      <c r="E1119" s="185"/>
      <c r="F1119" s="185"/>
      <c r="G1119" s="185"/>
      <c r="H1119" s="185"/>
      <c r="I1119" s="186"/>
    </row>
    <row r="1120" spans="1:9" x14ac:dyDescent="0.25">
      <c r="I1120" s="3"/>
    </row>
    <row r="1121" spans="1:9" ht="21" x14ac:dyDescent="0.35">
      <c r="B1121" s="192" t="s">
        <v>4817</v>
      </c>
      <c r="C1121" s="193"/>
      <c r="D1121" s="193"/>
      <c r="E1121" s="193"/>
      <c r="F1121" s="193"/>
      <c r="G1121" s="193"/>
      <c r="H1121" s="193"/>
      <c r="I1121" s="194"/>
    </row>
    <row r="1123" spans="1:9" ht="33.6" customHeight="1" x14ac:dyDescent="0.25">
      <c r="B1123" s="187" t="s">
        <v>4818</v>
      </c>
      <c r="C1123" s="188"/>
      <c r="D1123" s="188"/>
      <c r="E1123" s="188"/>
      <c r="F1123" s="188"/>
      <c r="G1123" s="188"/>
      <c r="H1123" s="188"/>
      <c r="I1123" s="189"/>
    </row>
    <row r="1124" spans="1:9" ht="47.25" x14ac:dyDescent="0.25">
      <c r="A1124" s="155" t="s">
        <v>4819</v>
      </c>
      <c r="B1124" s="155" t="s">
        <v>4820</v>
      </c>
      <c r="C1124" s="4" t="s">
        <v>4821</v>
      </c>
      <c r="D1124" s="4" t="s">
        <v>4822</v>
      </c>
      <c r="E1124" s="88" t="s">
        <v>4823</v>
      </c>
      <c r="F1124" s="88" t="s">
        <v>4824</v>
      </c>
      <c r="G1124" s="88" t="s">
        <v>4825</v>
      </c>
      <c r="H1124" s="4" t="s">
        <v>4826</v>
      </c>
      <c r="I1124" s="29" t="s">
        <v>4827</v>
      </c>
    </row>
    <row r="1125" spans="1:9" ht="26.65" customHeight="1" x14ac:dyDescent="0.25">
      <c r="A1125" s="156"/>
      <c r="B1125" s="156"/>
      <c r="C1125" s="13" t="s">
        <v>4828</v>
      </c>
      <c r="D1125" s="13" t="s">
        <v>4828</v>
      </c>
      <c r="E1125" s="13" t="s">
        <v>4828</v>
      </c>
      <c r="F1125" s="13" t="s">
        <v>4828</v>
      </c>
      <c r="G1125" s="13" t="s">
        <v>4828</v>
      </c>
      <c r="H1125" s="13" t="s">
        <v>4828</v>
      </c>
      <c r="I1125" s="30"/>
    </row>
    <row r="1126" spans="1:9" ht="15.75" x14ac:dyDescent="0.25">
      <c r="A1126" s="23">
        <v>990</v>
      </c>
      <c r="B1126" s="6" t="str">
        <f>CADASTROS!$C$691</f>
        <v>Gerônimo Alves de Jesus</v>
      </c>
      <c r="C1126" s="159"/>
      <c r="D1126" s="159"/>
      <c r="E1126" s="159"/>
      <c r="F1126" s="159"/>
      <c r="G1126" s="159"/>
      <c r="H1126" s="159"/>
      <c r="I1126" s="7">
        <f>SUM(C1126+D1126+E1126+F1126+G1126+H1126)</f>
        <v>0</v>
      </c>
    </row>
    <row r="1127" spans="1:9" ht="15.75" x14ac:dyDescent="0.25">
      <c r="A1127" s="23">
        <v>991</v>
      </c>
      <c r="B1127" s="6" t="str">
        <f>CADASTROS!$C$692</f>
        <v>João Batista da Silva</v>
      </c>
      <c r="C1127" s="159"/>
      <c r="D1127" s="159"/>
      <c r="E1127" s="159"/>
      <c r="F1127" s="159"/>
      <c r="G1127" s="159"/>
      <c r="H1127" s="159"/>
      <c r="I1127" s="7">
        <f t="shared" ref="I1127:I1152" si="102">SUM(C1127+D1127+E1127+F1127+G1127+H1127)</f>
        <v>0</v>
      </c>
    </row>
    <row r="1128" spans="1:9" ht="15.75" x14ac:dyDescent="0.25">
      <c r="A1128" s="23">
        <v>993</v>
      </c>
      <c r="B1128" s="6" t="str">
        <f>CADASTROS!$C$693</f>
        <v>Mirian de Souza Barbosa</v>
      </c>
      <c r="C1128" s="159"/>
      <c r="D1128" s="159"/>
      <c r="E1128" s="159"/>
      <c r="F1128" s="159"/>
      <c r="G1128" s="159"/>
      <c r="H1128" s="159"/>
      <c r="I1128" s="7">
        <f t="shared" si="102"/>
        <v>0</v>
      </c>
    </row>
    <row r="1129" spans="1:9" ht="15.75" x14ac:dyDescent="0.25">
      <c r="A1129" s="23">
        <v>994</v>
      </c>
      <c r="B1129" s="6" t="str">
        <f>CADASTROS!$C$694</f>
        <v>Roziane Conceição de Mendes</v>
      </c>
      <c r="C1129" s="159"/>
      <c r="D1129" s="159"/>
      <c r="E1129" s="159"/>
      <c r="F1129" s="159"/>
      <c r="G1129" s="159"/>
      <c r="H1129" s="159"/>
      <c r="I1129" s="7">
        <f t="shared" si="102"/>
        <v>0</v>
      </c>
    </row>
    <row r="1130" spans="1:9" ht="15.75" x14ac:dyDescent="0.25">
      <c r="A1130" s="23">
        <v>995</v>
      </c>
      <c r="B1130" s="6" t="str">
        <f>CADASTROS!$C$695</f>
        <v>Vigínia Silva S Pereira</v>
      </c>
      <c r="C1130" s="159"/>
      <c r="D1130" s="159"/>
      <c r="E1130" s="159"/>
      <c r="F1130" s="159"/>
      <c r="G1130" s="159"/>
      <c r="H1130" s="159"/>
      <c r="I1130" s="7">
        <f t="shared" si="102"/>
        <v>0</v>
      </c>
    </row>
    <row r="1131" spans="1:9" ht="15.75" x14ac:dyDescent="0.25">
      <c r="A1131" s="23">
        <v>996</v>
      </c>
      <c r="B1131" s="6" t="str">
        <f>CADASTROS!$C$696</f>
        <v>Alex Sandro Rosa de Souza</v>
      </c>
      <c r="C1131" s="159"/>
      <c r="D1131" s="159"/>
      <c r="E1131" s="159"/>
      <c r="F1131" s="159"/>
      <c r="G1131" s="159"/>
      <c r="H1131" s="159"/>
      <c r="I1131" s="7">
        <f t="shared" si="102"/>
        <v>0</v>
      </c>
    </row>
    <row r="1132" spans="1:9" ht="15.75" x14ac:dyDescent="0.25">
      <c r="A1132" s="23">
        <v>997</v>
      </c>
      <c r="B1132" s="6" t="str">
        <f>CADASTROS!$C$697</f>
        <v>Nair Oliveira dos Santos</v>
      </c>
      <c r="C1132" s="159"/>
      <c r="D1132" s="159">
        <v>12</v>
      </c>
      <c r="E1132" s="159">
        <v>11.5</v>
      </c>
      <c r="F1132" s="159">
        <v>8.5</v>
      </c>
      <c r="G1132" s="159"/>
      <c r="H1132" s="159"/>
      <c r="I1132" s="7">
        <f t="shared" si="102"/>
        <v>32</v>
      </c>
    </row>
    <row r="1133" spans="1:9" ht="15.75" x14ac:dyDescent="0.25">
      <c r="A1133" s="23">
        <v>999</v>
      </c>
      <c r="B1133" s="6" t="str">
        <f>CADASTROS!$C$698</f>
        <v>Márcio Antônio Hora Cavalcante</v>
      </c>
      <c r="C1133" s="159"/>
      <c r="D1133" s="159"/>
      <c r="E1133" s="159"/>
      <c r="F1133" s="159"/>
      <c r="G1133" s="159"/>
      <c r="H1133" s="159"/>
      <c r="I1133" s="7">
        <f t="shared" si="102"/>
        <v>0</v>
      </c>
    </row>
    <row r="1134" spans="1:9" ht="15.75" x14ac:dyDescent="0.25">
      <c r="A1134" s="23">
        <v>1000</v>
      </c>
      <c r="B1134" s="6" t="str">
        <f>CADASTROS!$C$699</f>
        <v>Aenio Gonzaga de Oliveira</v>
      </c>
      <c r="C1134" s="159"/>
      <c r="D1134" s="159"/>
      <c r="E1134" s="159"/>
      <c r="F1134" s="159"/>
      <c r="G1134" s="159"/>
      <c r="H1134" s="159"/>
      <c r="I1134" s="7">
        <f t="shared" si="102"/>
        <v>0</v>
      </c>
    </row>
    <row r="1135" spans="1:9" ht="15.75" x14ac:dyDescent="0.25">
      <c r="A1135" s="23">
        <v>1001</v>
      </c>
      <c r="B1135" s="6" t="str">
        <f>CADASTROS!$C$700</f>
        <v>Rozeli dos Anjos Rocha</v>
      </c>
      <c r="C1135" s="159"/>
      <c r="D1135" s="159"/>
      <c r="E1135" s="159"/>
      <c r="F1135" s="159"/>
      <c r="G1135" s="159"/>
      <c r="H1135" s="159"/>
      <c r="I1135" s="7">
        <f t="shared" si="102"/>
        <v>0</v>
      </c>
    </row>
    <row r="1136" spans="1:9" ht="15.75" x14ac:dyDescent="0.25">
      <c r="A1136" s="23">
        <v>1002</v>
      </c>
      <c r="B1136" s="6" t="str">
        <f>CADASTROS!$C$701</f>
        <v>Graciene Araújo Silva</v>
      </c>
      <c r="C1136" s="159"/>
      <c r="D1136" s="159"/>
      <c r="E1136" s="159"/>
      <c r="F1136" s="159"/>
      <c r="G1136" s="159"/>
      <c r="H1136" s="159"/>
      <c r="I1136" s="7">
        <f t="shared" si="102"/>
        <v>0</v>
      </c>
    </row>
    <row r="1137" spans="1:9" ht="15.75" x14ac:dyDescent="0.25">
      <c r="A1137" s="23">
        <v>1003</v>
      </c>
      <c r="B1137" s="6" t="str">
        <f>CADASTROS!$C$702</f>
        <v>Carlos Cardoso dos Santos</v>
      </c>
      <c r="C1137" s="159"/>
      <c r="D1137" s="159"/>
      <c r="E1137" s="159"/>
      <c r="F1137" s="159"/>
      <c r="G1137" s="159"/>
      <c r="H1137" s="159"/>
      <c r="I1137" s="7">
        <f t="shared" si="102"/>
        <v>0</v>
      </c>
    </row>
    <row r="1138" spans="1:9" ht="15.75" x14ac:dyDescent="0.25">
      <c r="A1138" s="23">
        <v>1004</v>
      </c>
      <c r="B1138" s="6" t="str">
        <f>CADASTROS!$C$703</f>
        <v>Ivonete de Arruda Santos</v>
      </c>
      <c r="C1138" s="159"/>
      <c r="D1138" s="159"/>
      <c r="E1138" s="159"/>
      <c r="F1138" s="159"/>
      <c r="G1138" s="159"/>
      <c r="H1138" s="159"/>
      <c r="I1138" s="7">
        <f t="shared" si="102"/>
        <v>0</v>
      </c>
    </row>
    <row r="1139" spans="1:9" ht="15.75" x14ac:dyDescent="0.25">
      <c r="A1139" s="23">
        <v>1005</v>
      </c>
      <c r="B1139" s="6" t="str">
        <f>CADASTROS!$C$704</f>
        <v>Direne Rodrigues de Oliveira</v>
      </c>
      <c r="C1139" s="159"/>
      <c r="D1139" s="159"/>
      <c r="E1139" s="159"/>
      <c r="F1139" s="159"/>
      <c r="G1139" s="159"/>
      <c r="H1139" s="159"/>
      <c r="I1139" s="7">
        <f t="shared" si="102"/>
        <v>0</v>
      </c>
    </row>
    <row r="1140" spans="1:9" ht="15.75" x14ac:dyDescent="0.25">
      <c r="A1140" s="23">
        <v>1007</v>
      </c>
      <c r="B1140" s="6" t="str">
        <f>CADASTROS!$C$705</f>
        <v>Maria Evangelista Bahia dos Santos</v>
      </c>
      <c r="C1140" s="159"/>
      <c r="D1140" s="159"/>
      <c r="E1140" s="159"/>
      <c r="F1140" s="159"/>
      <c r="G1140" s="159"/>
      <c r="H1140" s="159"/>
      <c r="I1140" s="7">
        <f t="shared" si="102"/>
        <v>0</v>
      </c>
    </row>
    <row r="1141" spans="1:9" ht="15.75" x14ac:dyDescent="0.25">
      <c r="A1141" s="23">
        <v>1008</v>
      </c>
      <c r="B1141" s="6" t="str">
        <f>CADASTROS!$C$706</f>
        <v>Bernadete Rodrigues Oliveira</v>
      </c>
      <c r="C1141" s="159"/>
      <c r="D1141" s="159"/>
      <c r="E1141" s="159"/>
      <c r="F1141" s="159"/>
      <c r="G1141" s="159"/>
      <c r="H1141" s="159"/>
      <c r="I1141" s="7">
        <f t="shared" si="102"/>
        <v>0</v>
      </c>
    </row>
    <row r="1142" spans="1:9" ht="15.75" x14ac:dyDescent="0.25">
      <c r="A1142" s="23">
        <v>1009</v>
      </c>
      <c r="B1142" s="6" t="str">
        <f>CADASTROS!$C$707</f>
        <v>Roziane Teles de Oliveira</v>
      </c>
      <c r="C1142" s="159"/>
      <c r="D1142" s="159"/>
      <c r="E1142" s="159"/>
      <c r="F1142" s="159"/>
      <c r="G1142" s="159"/>
      <c r="H1142" s="159"/>
      <c r="I1142" s="7">
        <f t="shared" si="102"/>
        <v>0</v>
      </c>
    </row>
    <row r="1143" spans="1:9" ht="15.75" x14ac:dyDescent="0.25">
      <c r="A1143" s="23">
        <v>1011</v>
      </c>
      <c r="B1143" s="6" t="str">
        <f>CADASTROS!$C$708</f>
        <v>Aline Santos Cruz</v>
      </c>
      <c r="C1143" s="159"/>
      <c r="D1143" s="159"/>
      <c r="E1143" s="159"/>
      <c r="F1143" s="159"/>
      <c r="G1143" s="159"/>
      <c r="H1143" s="159"/>
      <c r="I1143" s="7">
        <f t="shared" si="102"/>
        <v>0</v>
      </c>
    </row>
    <row r="1144" spans="1:9" ht="15.75" x14ac:dyDescent="0.25">
      <c r="A1144" s="23">
        <v>1012</v>
      </c>
      <c r="B1144" s="6" t="str">
        <f>CADASTROS!$C$709</f>
        <v>Odacir Ribeiro</v>
      </c>
      <c r="C1144" s="159"/>
      <c r="D1144" s="159"/>
      <c r="E1144" s="159"/>
      <c r="F1144" s="159"/>
      <c r="G1144" s="159"/>
      <c r="H1144" s="159"/>
      <c r="I1144" s="7">
        <f t="shared" si="102"/>
        <v>0</v>
      </c>
    </row>
    <row r="1145" spans="1:9" ht="15.75" x14ac:dyDescent="0.25">
      <c r="A1145" s="23">
        <v>1013</v>
      </c>
      <c r="B1145" s="6" t="str">
        <f>CADASTROS!$C$710</f>
        <v>Wilton Guimarães de Lima</v>
      </c>
      <c r="C1145" s="159">
        <v>6</v>
      </c>
      <c r="D1145" s="159">
        <v>11.5</v>
      </c>
      <c r="E1145" s="159"/>
      <c r="F1145" s="159"/>
      <c r="G1145" s="159"/>
      <c r="H1145" s="159"/>
      <c r="I1145" s="7">
        <f t="shared" si="102"/>
        <v>17.5</v>
      </c>
    </row>
    <row r="1146" spans="1:9" ht="15.75" x14ac:dyDescent="0.25">
      <c r="A1146" s="23">
        <v>1014</v>
      </c>
      <c r="B1146" s="6" t="str">
        <f>CADASTROS!$C$711</f>
        <v>Edivan Baraúna de Oliveira</v>
      </c>
      <c r="C1146" s="159"/>
      <c r="D1146" s="159"/>
      <c r="E1146" s="159"/>
      <c r="F1146" s="159"/>
      <c r="G1146" s="159"/>
      <c r="H1146" s="159"/>
      <c r="I1146" s="7">
        <f t="shared" si="102"/>
        <v>0</v>
      </c>
    </row>
    <row r="1147" spans="1:9" ht="15.75" x14ac:dyDescent="0.25">
      <c r="A1147" s="23">
        <v>1015</v>
      </c>
      <c r="B1147" s="6" t="str">
        <f>CADASTROS!$C$712</f>
        <v>Adenildo Alves de Oliveira</v>
      </c>
      <c r="C1147" s="159"/>
      <c r="D1147" s="159"/>
      <c r="E1147" s="159"/>
      <c r="F1147" s="159"/>
      <c r="G1147" s="159"/>
      <c r="H1147" s="159"/>
      <c r="I1147" s="7">
        <f t="shared" si="102"/>
        <v>0</v>
      </c>
    </row>
    <row r="1148" spans="1:9" ht="15.75" x14ac:dyDescent="0.25">
      <c r="A1148" s="23">
        <v>1035</v>
      </c>
      <c r="B1148" s="6" t="str">
        <f>CADASTROS!$C$713</f>
        <v>Alvanice Lima Lopes</v>
      </c>
      <c r="C1148" s="159"/>
      <c r="D1148" s="159"/>
      <c r="E1148" s="159"/>
      <c r="F1148" s="159"/>
      <c r="G1148" s="159"/>
      <c r="H1148" s="159"/>
      <c r="I1148" s="7">
        <f t="shared" si="102"/>
        <v>0</v>
      </c>
    </row>
    <row r="1149" spans="1:9" ht="15.75" x14ac:dyDescent="0.25">
      <c r="A1149" s="23">
        <v>1036</v>
      </c>
      <c r="B1149" s="6" t="str">
        <f>CADASTROS!$C$714</f>
        <v>Maria Aparecida Paixão</v>
      </c>
      <c r="C1149" s="159"/>
      <c r="D1149" s="159"/>
      <c r="E1149" s="159"/>
      <c r="F1149" s="159"/>
      <c r="G1149" s="159"/>
      <c r="H1149" s="159"/>
      <c r="I1149" s="7">
        <f t="shared" si="102"/>
        <v>0</v>
      </c>
    </row>
    <row r="1150" spans="1:9" ht="15.75" x14ac:dyDescent="0.25">
      <c r="A1150" s="23">
        <v>1038</v>
      </c>
      <c r="B1150" s="6" t="str">
        <f>CADASTROS!$C$715</f>
        <v>Leandro Jesus de Souza</v>
      </c>
      <c r="C1150" s="159"/>
      <c r="D1150" s="159"/>
      <c r="E1150" s="159"/>
      <c r="F1150" s="159"/>
      <c r="G1150" s="159"/>
      <c r="H1150" s="159"/>
      <c r="I1150" s="7">
        <f t="shared" si="102"/>
        <v>0</v>
      </c>
    </row>
    <row r="1151" spans="1:9" ht="15.75" x14ac:dyDescent="0.25">
      <c r="A1151" s="23">
        <v>1046</v>
      </c>
      <c r="B1151" s="6" t="str">
        <f>CADASTROS!$C$716</f>
        <v>André Jesus de Souza</v>
      </c>
      <c r="C1151" s="159"/>
      <c r="D1151" s="159"/>
      <c r="E1151" s="159"/>
      <c r="F1151" s="159"/>
      <c r="G1151" s="159"/>
      <c r="H1151" s="159"/>
      <c r="I1151" s="7">
        <f t="shared" si="102"/>
        <v>0</v>
      </c>
    </row>
    <row r="1152" spans="1:9" ht="15.75" x14ac:dyDescent="0.25">
      <c r="A1152" s="23">
        <v>1051</v>
      </c>
      <c r="B1152" s="6" t="str">
        <f>CADASTROS!$C$717</f>
        <v>Joceir Pereira de Souza</v>
      </c>
      <c r="C1152" s="159"/>
      <c r="D1152" s="159"/>
      <c r="E1152" s="159"/>
      <c r="F1152" s="159"/>
      <c r="G1152" s="159"/>
      <c r="H1152" s="159"/>
      <c r="I1152" s="7">
        <f t="shared" si="102"/>
        <v>0</v>
      </c>
    </row>
    <row r="1153" spans="1:9" ht="15.75" x14ac:dyDescent="0.25">
      <c r="B1153" s="159" t="s">
        <v>4829</v>
      </c>
      <c r="C1153" s="159">
        <f>SUM(C1126:C1152)</f>
        <v>6</v>
      </c>
      <c r="D1153" s="159">
        <f t="shared" ref="D1153:H1153" si="103">SUM(D1126:D1152)</f>
        <v>23.5</v>
      </c>
      <c r="E1153" s="159">
        <f t="shared" si="103"/>
        <v>11.5</v>
      </c>
      <c r="F1153" s="159">
        <f t="shared" si="103"/>
        <v>8.5</v>
      </c>
      <c r="G1153" s="159">
        <f t="shared" si="103"/>
        <v>0</v>
      </c>
      <c r="H1153" s="159">
        <f t="shared" si="103"/>
        <v>0</v>
      </c>
      <c r="I1153" s="159">
        <f>SUM(I1126:I1152)</f>
        <v>49.5</v>
      </c>
    </row>
    <row r="1155" spans="1:9" ht="15.75" x14ac:dyDescent="0.25">
      <c r="B1155" s="8" t="s">
        <v>4830</v>
      </c>
      <c r="C1155" s="159"/>
      <c r="D1155" s="159"/>
      <c r="E1155" s="159"/>
      <c r="F1155" s="159"/>
      <c r="G1155" s="159"/>
      <c r="H1155" s="159"/>
      <c r="I1155" s="159">
        <f>SUM(C1155:H1155)</f>
        <v>0</v>
      </c>
    </row>
    <row r="1156" spans="1:9" x14ac:dyDescent="0.25">
      <c r="B1156" s="167"/>
    </row>
    <row r="1157" spans="1:9" ht="15.75" x14ac:dyDescent="0.25">
      <c r="B1157" s="8" t="s">
        <v>4831</v>
      </c>
      <c r="C1157" s="9" t="e">
        <f>C1153/C1155</f>
        <v>#DIV/0!</v>
      </c>
      <c r="D1157" s="9" t="e">
        <f t="shared" ref="D1157:H1157" si="104">D1153/D1155</f>
        <v>#DIV/0!</v>
      </c>
      <c r="E1157" s="9" t="e">
        <f t="shared" si="104"/>
        <v>#DIV/0!</v>
      </c>
      <c r="F1157" s="9" t="e">
        <f t="shared" si="104"/>
        <v>#DIV/0!</v>
      </c>
      <c r="G1157" s="9" t="e">
        <f t="shared" si="104"/>
        <v>#DIV/0!</v>
      </c>
      <c r="H1157" s="9" t="e">
        <f t="shared" si="104"/>
        <v>#DIV/0!</v>
      </c>
      <c r="I1157" s="9"/>
    </row>
    <row r="1158" spans="1:9" ht="15.75" x14ac:dyDescent="0.25">
      <c r="B1158" s="163"/>
      <c r="C1158" s="10"/>
      <c r="D1158" s="10"/>
      <c r="E1158" s="10"/>
      <c r="F1158" s="10"/>
      <c r="G1158" s="10"/>
      <c r="H1158" s="163"/>
      <c r="I1158" s="163"/>
    </row>
    <row r="1159" spans="1:9" ht="15.75" x14ac:dyDescent="0.25">
      <c r="B1159" s="8" t="s">
        <v>4832</v>
      </c>
      <c r="C1159" s="159"/>
      <c r="D1159" s="159"/>
      <c r="E1159" s="6"/>
      <c r="F1159" s="6"/>
      <c r="G1159" s="6"/>
      <c r="H1159" s="6"/>
      <c r="I1159" s="11"/>
    </row>
    <row r="1162" spans="1:9" ht="21" x14ac:dyDescent="0.35">
      <c r="B1162" s="184" t="s">
        <v>4816</v>
      </c>
      <c r="C1162" s="185"/>
      <c r="D1162" s="185"/>
      <c r="E1162" s="185"/>
      <c r="F1162" s="185"/>
      <c r="G1162" s="185"/>
      <c r="H1162" s="185"/>
      <c r="I1162" s="186"/>
    </row>
    <row r="1163" spans="1:9" x14ac:dyDescent="0.25">
      <c r="I1163" s="3"/>
    </row>
    <row r="1164" spans="1:9" ht="21" x14ac:dyDescent="0.35">
      <c r="B1164" s="192" t="s">
        <v>4817</v>
      </c>
      <c r="C1164" s="193"/>
      <c r="D1164" s="193"/>
      <c r="E1164" s="193"/>
      <c r="F1164" s="193"/>
      <c r="G1164" s="193"/>
      <c r="H1164" s="193"/>
      <c r="I1164" s="194"/>
    </row>
    <row r="1166" spans="1:9" ht="33.6" customHeight="1" x14ac:dyDescent="0.25">
      <c r="B1166" s="187" t="s">
        <v>4842</v>
      </c>
      <c r="C1166" s="188"/>
      <c r="D1166" s="188"/>
      <c r="E1166" s="188"/>
      <c r="F1166" s="188"/>
      <c r="G1166" s="188"/>
      <c r="H1166" s="188"/>
      <c r="I1166" s="189"/>
    </row>
    <row r="1167" spans="1:9" ht="47.25" x14ac:dyDescent="0.25">
      <c r="A1167" s="155" t="s">
        <v>4819</v>
      </c>
      <c r="B1167" s="155" t="s">
        <v>4820</v>
      </c>
      <c r="C1167" s="4" t="s">
        <v>4821</v>
      </c>
      <c r="D1167" s="4" t="s">
        <v>4822</v>
      </c>
      <c r="E1167" s="88" t="s">
        <v>4823</v>
      </c>
      <c r="F1167" s="88" t="s">
        <v>4824</v>
      </c>
      <c r="G1167" s="88" t="s">
        <v>4825</v>
      </c>
      <c r="H1167" s="4" t="s">
        <v>4826</v>
      </c>
      <c r="I1167" s="29" t="s">
        <v>4827</v>
      </c>
    </row>
    <row r="1168" spans="1:9" ht="25.5" x14ac:dyDescent="0.25">
      <c r="A1168" s="156"/>
      <c r="B1168" s="156"/>
      <c r="C1168" s="13" t="s">
        <v>4828</v>
      </c>
      <c r="D1168" s="13" t="s">
        <v>4828</v>
      </c>
      <c r="E1168" s="13" t="s">
        <v>4828</v>
      </c>
      <c r="F1168" s="13" t="s">
        <v>4828</v>
      </c>
      <c r="G1168" s="13" t="s">
        <v>4828</v>
      </c>
      <c r="H1168" s="13" t="s">
        <v>4828</v>
      </c>
      <c r="I1168" s="30"/>
    </row>
    <row r="1169" spans="1:9" ht="15.75" x14ac:dyDescent="0.25">
      <c r="A1169" s="23">
        <v>1029</v>
      </c>
      <c r="B1169" s="6" t="str">
        <f>CADASTROS!$C$731</f>
        <v>João Paulo S de Souza</v>
      </c>
      <c r="C1169" s="159"/>
      <c r="D1169" s="159"/>
      <c r="E1169" s="159"/>
      <c r="F1169" s="159"/>
      <c r="G1169" s="159"/>
      <c r="H1169" s="159"/>
      <c r="I1169" s="7">
        <f>SUM(C1169+D1169+E1169+F1169+G1169+H1169)</f>
        <v>0</v>
      </c>
    </row>
    <row r="1170" spans="1:9" ht="15.75" x14ac:dyDescent="0.25">
      <c r="A1170" s="23">
        <v>1030</v>
      </c>
      <c r="B1170" s="6" t="str">
        <f>CADASTROS!$C$732</f>
        <v>Luciede Rosa Baraúna</v>
      </c>
      <c r="C1170" s="159"/>
      <c r="D1170" s="159"/>
      <c r="E1170" s="159"/>
      <c r="F1170" s="159"/>
      <c r="G1170" s="159"/>
      <c r="H1170" s="159"/>
      <c r="I1170" s="7">
        <f t="shared" ref="I1170:I1195" si="105">SUM(C1170+D1170+E1170+F1170+G1170+H1170)</f>
        <v>0</v>
      </c>
    </row>
    <row r="1171" spans="1:9" ht="15.75" x14ac:dyDescent="0.25">
      <c r="A1171" s="23">
        <v>1031</v>
      </c>
      <c r="B1171" s="6" t="str">
        <f>CADASTROS!$C$733</f>
        <v>Vilma Marcia Sá T de Oliveira</v>
      </c>
      <c r="C1171" s="159"/>
      <c r="D1171" s="159"/>
      <c r="E1171" s="159"/>
      <c r="F1171" s="159"/>
      <c r="G1171" s="159"/>
      <c r="H1171" s="159"/>
      <c r="I1171" s="7">
        <f t="shared" si="105"/>
        <v>0</v>
      </c>
    </row>
    <row r="1172" spans="1:9" ht="15.75" x14ac:dyDescent="0.25">
      <c r="A1172" s="23">
        <v>1032</v>
      </c>
      <c r="B1172" s="6" t="str">
        <f>CADASTROS!$C$734</f>
        <v>Abenilton M de Oliveira</v>
      </c>
      <c r="C1172" s="159"/>
      <c r="D1172" s="159"/>
      <c r="E1172" s="159"/>
      <c r="F1172" s="159"/>
      <c r="G1172" s="159"/>
      <c r="H1172" s="159"/>
      <c r="I1172" s="7">
        <f t="shared" si="105"/>
        <v>0</v>
      </c>
    </row>
    <row r="1173" spans="1:9" ht="15.75" x14ac:dyDescent="0.25">
      <c r="A1173" s="23">
        <v>1033</v>
      </c>
      <c r="B1173" s="6" t="str">
        <f>CADASTROS!$C$735</f>
        <v>Anita de Souza Santana</v>
      </c>
      <c r="C1173" s="159"/>
      <c r="D1173" s="159"/>
      <c r="E1173" s="159"/>
      <c r="F1173" s="159"/>
      <c r="G1173" s="159"/>
      <c r="H1173" s="159"/>
      <c r="I1173" s="7">
        <f t="shared" si="105"/>
        <v>0</v>
      </c>
    </row>
    <row r="1174" spans="1:9" ht="15.75" x14ac:dyDescent="0.25">
      <c r="A1174" s="23">
        <v>1034</v>
      </c>
      <c r="B1174" s="6" t="str">
        <f>CADASTROS!$C$736</f>
        <v>Marcionaria A de Oliveira</v>
      </c>
      <c r="C1174" s="159"/>
      <c r="D1174" s="159"/>
      <c r="E1174" s="159"/>
      <c r="F1174" s="159"/>
      <c r="G1174" s="159"/>
      <c r="H1174" s="159"/>
      <c r="I1174" s="7">
        <f t="shared" si="105"/>
        <v>0</v>
      </c>
    </row>
    <row r="1175" spans="1:9" ht="15.75" x14ac:dyDescent="0.25">
      <c r="A1175" s="23">
        <v>1037</v>
      </c>
      <c r="B1175" s="6" t="str">
        <f>CADASTROS!$C$737</f>
        <v>Marcos Antonio Ribeiro</v>
      </c>
      <c r="C1175" s="159"/>
      <c r="D1175" s="159"/>
      <c r="E1175" s="159"/>
      <c r="F1175" s="159"/>
      <c r="G1175" s="159"/>
      <c r="H1175" s="159"/>
      <c r="I1175" s="7">
        <f t="shared" si="105"/>
        <v>0</v>
      </c>
    </row>
    <row r="1176" spans="1:9" ht="15.75" x14ac:dyDescent="0.25">
      <c r="A1176" s="23">
        <v>1039</v>
      </c>
      <c r="B1176" s="6" t="str">
        <f>CADASTROS!$C$738</f>
        <v>José Rosa Pereira</v>
      </c>
      <c r="C1176" s="159"/>
      <c r="D1176" s="159"/>
      <c r="E1176" s="159"/>
      <c r="F1176" s="159"/>
      <c r="G1176" s="159"/>
      <c r="H1176" s="159"/>
      <c r="I1176" s="7">
        <f t="shared" si="105"/>
        <v>0</v>
      </c>
    </row>
    <row r="1177" spans="1:9" ht="15.75" x14ac:dyDescent="0.25">
      <c r="A1177" s="23">
        <v>1040</v>
      </c>
      <c r="B1177" s="6" t="str">
        <f>CADASTROS!$C$739</f>
        <v>Avani Jesus de Souza</v>
      </c>
      <c r="C1177" s="159"/>
      <c r="D1177" s="159"/>
      <c r="E1177" s="159"/>
      <c r="F1177" s="159"/>
      <c r="G1177" s="159"/>
      <c r="H1177" s="159"/>
      <c r="I1177" s="7">
        <f t="shared" si="105"/>
        <v>0</v>
      </c>
    </row>
    <row r="1178" spans="1:9" ht="15.75" x14ac:dyDescent="0.25">
      <c r="A1178" s="23">
        <v>1041</v>
      </c>
      <c r="B1178" s="6" t="str">
        <f>CADASTROS!$C$740</f>
        <v>Zilma Pio Barbosa de Jesus</v>
      </c>
      <c r="C1178" s="159"/>
      <c r="D1178" s="159"/>
      <c r="E1178" s="159"/>
      <c r="F1178" s="159"/>
      <c r="G1178" s="159"/>
      <c r="H1178" s="159"/>
      <c r="I1178" s="7">
        <f t="shared" si="105"/>
        <v>0</v>
      </c>
    </row>
    <row r="1179" spans="1:9" ht="15.75" x14ac:dyDescent="0.25">
      <c r="A1179" s="23">
        <v>1042</v>
      </c>
      <c r="B1179" s="6" t="str">
        <f>CADASTROS!$C$741</f>
        <v>Maria Madalena L Santos</v>
      </c>
      <c r="C1179" s="159"/>
      <c r="D1179" s="159"/>
      <c r="E1179" s="159"/>
      <c r="F1179" s="159"/>
      <c r="G1179" s="159"/>
      <c r="H1179" s="159"/>
      <c r="I1179" s="7">
        <f t="shared" si="105"/>
        <v>0</v>
      </c>
    </row>
    <row r="1180" spans="1:9" ht="15.75" x14ac:dyDescent="0.25">
      <c r="A1180" s="23">
        <v>1043</v>
      </c>
      <c r="B1180" s="6" t="str">
        <f>CADASTROS!$C$742</f>
        <v>Ana Lucia das Neves</v>
      </c>
      <c r="C1180" s="159"/>
      <c r="D1180" s="159"/>
      <c r="E1180" s="159"/>
      <c r="F1180" s="159"/>
      <c r="G1180" s="159"/>
      <c r="H1180" s="159"/>
      <c r="I1180" s="7">
        <f t="shared" si="105"/>
        <v>0</v>
      </c>
    </row>
    <row r="1181" spans="1:9" ht="15.75" x14ac:dyDescent="0.25">
      <c r="A1181" s="23">
        <v>1044</v>
      </c>
      <c r="B1181" s="6" t="str">
        <f>CADASTROS!$C$743</f>
        <v>Valdir Ferreira Pinto</v>
      </c>
      <c r="C1181" s="159"/>
      <c r="D1181" s="159"/>
      <c r="E1181" s="159"/>
      <c r="F1181" s="159"/>
      <c r="G1181" s="159"/>
      <c r="H1181" s="159"/>
      <c r="I1181" s="7">
        <f t="shared" si="105"/>
        <v>0</v>
      </c>
    </row>
    <row r="1182" spans="1:9" ht="15.75" x14ac:dyDescent="0.25">
      <c r="A1182" s="23">
        <v>1045</v>
      </c>
      <c r="B1182" s="6" t="str">
        <f>CADASTROS!$C$744</f>
        <v>Rogério Enrique de Souza</v>
      </c>
      <c r="C1182" s="159"/>
      <c r="D1182" s="159"/>
      <c r="E1182" s="159"/>
      <c r="F1182" s="159"/>
      <c r="G1182" s="159"/>
      <c r="H1182" s="159"/>
      <c r="I1182" s="7">
        <f t="shared" si="105"/>
        <v>0</v>
      </c>
    </row>
    <row r="1183" spans="1:9" ht="15.75" x14ac:dyDescent="0.25">
      <c r="A1183" s="23">
        <v>1047</v>
      </c>
      <c r="B1183" s="6" t="str">
        <f>CADASTROS!$C$745</f>
        <v>Edileuza Teles Maciel</v>
      </c>
      <c r="C1183" s="159"/>
      <c r="D1183" s="159"/>
      <c r="E1183" s="159"/>
      <c r="F1183" s="159"/>
      <c r="G1183" s="159"/>
      <c r="H1183" s="159"/>
      <c r="I1183" s="7">
        <f t="shared" si="105"/>
        <v>0</v>
      </c>
    </row>
    <row r="1184" spans="1:9" ht="15.75" x14ac:dyDescent="0.25">
      <c r="A1184" s="23">
        <v>1048</v>
      </c>
      <c r="B1184" s="6" t="str">
        <f>CADASTROS!$C$746</f>
        <v>Rosimere Souza da Silva</v>
      </c>
      <c r="C1184" s="159"/>
      <c r="D1184" s="159"/>
      <c r="E1184" s="159"/>
      <c r="F1184" s="159"/>
      <c r="G1184" s="159"/>
      <c r="H1184" s="159"/>
      <c r="I1184" s="7">
        <f t="shared" si="105"/>
        <v>0</v>
      </c>
    </row>
    <row r="1185" spans="1:9" ht="15.75" x14ac:dyDescent="0.25">
      <c r="A1185" s="23">
        <v>1049</v>
      </c>
      <c r="B1185" s="6" t="str">
        <f>CADASTROS!$C$747</f>
        <v>Gilsinei Barbosa de Souza</v>
      </c>
      <c r="C1185" s="159"/>
      <c r="D1185" s="159"/>
      <c r="E1185" s="159"/>
      <c r="F1185" s="159"/>
      <c r="G1185" s="159"/>
      <c r="H1185" s="159"/>
      <c r="I1185" s="7">
        <f t="shared" si="105"/>
        <v>0</v>
      </c>
    </row>
    <row r="1186" spans="1:9" ht="15.75" x14ac:dyDescent="0.25">
      <c r="A1186" s="23">
        <v>1050</v>
      </c>
      <c r="B1186" s="6" t="str">
        <f>CADASTROS!$C$748</f>
        <v>Roque Rodrigues Dias</v>
      </c>
      <c r="C1186" s="159"/>
      <c r="D1186" s="159"/>
      <c r="E1186" s="159"/>
      <c r="F1186" s="159"/>
      <c r="G1186" s="159"/>
      <c r="H1186" s="159"/>
      <c r="I1186" s="7">
        <f t="shared" si="105"/>
        <v>0</v>
      </c>
    </row>
    <row r="1187" spans="1:9" ht="15.75" x14ac:dyDescent="0.25">
      <c r="A1187" s="23">
        <v>1052</v>
      </c>
      <c r="B1187" s="6" t="str">
        <f>CADASTROS!$C$749</f>
        <v>Valdenete Miranda Souza</v>
      </c>
      <c r="C1187" s="159"/>
      <c r="D1187" s="159"/>
      <c r="E1187" s="159"/>
      <c r="F1187" s="159"/>
      <c r="G1187" s="159"/>
      <c r="H1187" s="159"/>
      <c r="I1187" s="7">
        <f t="shared" si="105"/>
        <v>0</v>
      </c>
    </row>
    <row r="1188" spans="1:9" ht="15.75" x14ac:dyDescent="0.25">
      <c r="A1188" s="23">
        <v>1053</v>
      </c>
      <c r="B1188" s="6" t="str">
        <f>CADASTROS!$C$750</f>
        <v>Maria Cleide Santana Silva</v>
      </c>
      <c r="C1188" s="159"/>
      <c r="D1188" s="159"/>
      <c r="E1188" s="159"/>
      <c r="F1188" s="159"/>
      <c r="G1188" s="159"/>
      <c r="H1188" s="159"/>
      <c r="I1188" s="7">
        <f t="shared" si="105"/>
        <v>0</v>
      </c>
    </row>
    <row r="1189" spans="1:9" ht="15.75" x14ac:dyDescent="0.25">
      <c r="A1189" s="23">
        <v>1054</v>
      </c>
      <c r="B1189" s="6" t="str">
        <f>CADASTROS!$C$751</f>
        <v>Marlei Alves de Souza</v>
      </c>
      <c r="C1189" s="159"/>
      <c r="D1189" s="159"/>
      <c r="E1189" s="159"/>
      <c r="F1189" s="159"/>
      <c r="G1189" s="159"/>
      <c r="H1189" s="159"/>
      <c r="I1189" s="7">
        <f t="shared" si="105"/>
        <v>0</v>
      </c>
    </row>
    <row r="1190" spans="1:9" ht="15.75" x14ac:dyDescent="0.25">
      <c r="A1190" s="23">
        <v>1055</v>
      </c>
      <c r="B1190" s="6" t="str">
        <f>CADASTROS!$C$752</f>
        <v>Gideon Cesar dos Santos</v>
      </c>
      <c r="C1190" s="159"/>
      <c r="D1190" s="159"/>
      <c r="E1190" s="159"/>
      <c r="F1190" s="159"/>
      <c r="G1190" s="159"/>
      <c r="H1190" s="159"/>
      <c r="I1190" s="7">
        <f t="shared" si="105"/>
        <v>0</v>
      </c>
    </row>
    <row r="1191" spans="1:9" ht="15.75" x14ac:dyDescent="0.25">
      <c r="A1191" s="23">
        <v>1056</v>
      </c>
      <c r="B1191" s="6" t="str">
        <f>CADASTROS!$C$753</f>
        <v>Eldinei da Silva Oliveira</v>
      </c>
      <c r="C1191" s="159"/>
      <c r="D1191" s="159"/>
      <c r="E1191" s="159"/>
      <c r="F1191" s="159"/>
      <c r="G1191" s="159"/>
      <c r="H1191" s="159"/>
      <c r="I1191" s="7">
        <f t="shared" si="105"/>
        <v>0</v>
      </c>
    </row>
    <row r="1192" spans="1:9" ht="15.75" x14ac:dyDescent="0.25">
      <c r="A1192" s="23">
        <v>1057</v>
      </c>
      <c r="B1192" s="6" t="str">
        <f>CADASTROS!$C$754</f>
        <v>Alcides Rocha da Silva</v>
      </c>
      <c r="C1192" s="159"/>
      <c r="D1192" s="159"/>
      <c r="E1192" s="159"/>
      <c r="F1192" s="159"/>
      <c r="G1192" s="159"/>
      <c r="H1192" s="159"/>
      <c r="I1192" s="7">
        <f t="shared" si="105"/>
        <v>0</v>
      </c>
    </row>
    <row r="1193" spans="1:9" ht="15.75" x14ac:dyDescent="0.25">
      <c r="A1193" s="23">
        <v>1058</v>
      </c>
      <c r="B1193" s="6" t="str">
        <f>CADASTROS!$C$755</f>
        <v>Gesilda Vieira da Silva</v>
      </c>
      <c r="C1193" s="159"/>
      <c r="D1193" s="159"/>
      <c r="E1193" s="159"/>
      <c r="F1193" s="159"/>
      <c r="G1193" s="159"/>
      <c r="H1193" s="159"/>
      <c r="I1193" s="7">
        <f t="shared" si="105"/>
        <v>0</v>
      </c>
    </row>
    <row r="1194" spans="1:9" ht="15.75" x14ac:dyDescent="0.25">
      <c r="A1194" s="23">
        <v>1059</v>
      </c>
      <c r="B1194" s="6" t="str">
        <f>CADASTROS!$C$756</f>
        <v>Francinalda C Souza</v>
      </c>
      <c r="C1194" s="159"/>
      <c r="D1194" s="159"/>
      <c r="E1194" s="159"/>
      <c r="F1194" s="159"/>
      <c r="G1194" s="159"/>
      <c r="H1194" s="159"/>
      <c r="I1194" s="7">
        <f t="shared" si="105"/>
        <v>0</v>
      </c>
    </row>
    <row r="1195" spans="1:9" ht="15.75" x14ac:dyDescent="0.25">
      <c r="A1195" s="23">
        <v>1060</v>
      </c>
      <c r="B1195" s="6" t="str">
        <f>CADASTROS!$C$757</f>
        <v>Ildecir Jesus de Oliveira</v>
      </c>
      <c r="C1195" s="159"/>
      <c r="D1195" s="159"/>
      <c r="E1195" s="159"/>
      <c r="F1195" s="159"/>
      <c r="G1195" s="159"/>
      <c r="H1195" s="159"/>
      <c r="I1195" s="7">
        <f t="shared" si="105"/>
        <v>0</v>
      </c>
    </row>
    <row r="1196" spans="1:9" ht="15.75" x14ac:dyDescent="0.25">
      <c r="B1196" s="159" t="s">
        <v>4829</v>
      </c>
      <c r="C1196" s="159">
        <f>SUM(C1169:C1195)</f>
        <v>0</v>
      </c>
      <c r="D1196" s="159">
        <f t="shared" ref="D1196:H1196" si="106">SUM(D1169:D1195)</f>
        <v>0</v>
      </c>
      <c r="E1196" s="159">
        <f t="shared" si="106"/>
        <v>0</v>
      </c>
      <c r="F1196" s="159">
        <f t="shared" si="106"/>
        <v>0</v>
      </c>
      <c r="G1196" s="159">
        <f t="shared" si="106"/>
        <v>0</v>
      </c>
      <c r="H1196" s="159">
        <f t="shared" si="106"/>
        <v>0</v>
      </c>
      <c r="I1196" s="159">
        <f>SUM(I1169:I1195)</f>
        <v>0</v>
      </c>
    </row>
    <row r="1198" spans="1:9" ht="15.75" x14ac:dyDescent="0.25">
      <c r="B1198" s="8" t="s">
        <v>4830</v>
      </c>
      <c r="C1198" s="159"/>
      <c r="D1198" s="159"/>
      <c r="E1198" s="159"/>
      <c r="F1198" s="159"/>
      <c r="G1198" s="159"/>
      <c r="H1198" s="159"/>
      <c r="I1198" s="159">
        <f>SUM(C1198:H1198)</f>
        <v>0</v>
      </c>
    </row>
    <row r="1199" spans="1:9" x14ac:dyDescent="0.25">
      <c r="B1199" s="167"/>
    </row>
    <row r="1200" spans="1:9" ht="15.75" x14ac:dyDescent="0.25">
      <c r="B1200" s="8" t="s">
        <v>4831</v>
      </c>
      <c r="C1200" s="9" t="e">
        <f>C1196/C1198</f>
        <v>#DIV/0!</v>
      </c>
      <c r="D1200" s="9" t="e">
        <f t="shared" ref="D1200:H1200" si="107">D1196/D1198</f>
        <v>#DIV/0!</v>
      </c>
      <c r="E1200" s="9" t="e">
        <f t="shared" si="107"/>
        <v>#DIV/0!</v>
      </c>
      <c r="F1200" s="9" t="e">
        <f t="shared" si="107"/>
        <v>#DIV/0!</v>
      </c>
      <c r="G1200" s="9" t="e">
        <f t="shared" si="107"/>
        <v>#DIV/0!</v>
      </c>
      <c r="H1200" s="9" t="e">
        <f t="shared" si="107"/>
        <v>#DIV/0!</v>
      </c>
      <c r="I1200" s="9"/>
    </row>
    <row r="1201" spans="1:9" ht="15.75" x14ac:dyDescent="0.25">
      <c r="B1201" s="163"/>
      <c r="C1201" s="10"/>
      <c r="D1201" s="10"/>
      <c r="E1201" s="10"/>
      <c r="F1201" s="10"/>
      <c r="G1201" s="10"/>
      <c r="H1201" s="163"/>
      <c r="I1201" s="163"/>
    </row>
    <row r="1202" spans="1:9" ht="15.75" x14ac:dyDescent="0.25">
      <c r="B1202" s="8" t="s">
        <v>4832</v>
      </c>
      <c r="C1202" s="159"/>
      <c r="D1202" s="159"/>
      <c r="E1202" s="6"/>
      <c r="F1202" s="6"/>
      <c r="G1202" s="6"/>
      <c r="H1202" s="6"/>
      <c r="I1202" s="11"/>
    </row>
    <row r="1204" spans="1:9" ht="21" x14ac:dyDescent="0.35">
      <c r="B1204" s="184" t="s">
        <v>4816</v>
      </c>
      <c r="C1204" s="185"/>
      <c r="D1204" s="185"/>
      <c r="E1204" s="185"/>
      <c r="F1204" s="185"/>
      <c r="G1204" s="185"/>
      <c r="H1204" s="185"/>
      <c r="I1204" s="186"/>
    </row>
    <row r="1205" spans="1:9" x14ac:dyDescent="0.25">
      <c r="I1205" s="3"/>
    </row>
    <row r="1206" spans="1:9" ht="21" x14ac:dyDescent="0.35">
      <c r="B1206" s="192" t="s">
        <v>4817</v>
      </c>
      <c r="C1206" s="193"/>
      <c r="D1206" s="193"/>
      <c r="E1206" s="193"/>
      <c r="F1206" s="193"/>
      <c r="G1206" s="193"/>
      <c r="H1206" s="193"/>
      <c r="I1206" s="194"/>
    </row>
    <row r="1208" spans="1:9" ht="33.75" x14ac:dyDescent="0.25">
      <c r="B1208" s="187" t="s">
        <v>4838</v>
      </c>
      <c r="C1208" s="188"/>
      <c r="D1208" s="188"/>
      <c r="E1208" s="188"/>
      <c r="F1208" s="188"/>
      <c r="G1208" s="188"/>
      <c r="H1208" s="188"/>
      <c r="I1208" s="189"/>
    </row>
    <row r="1209" spans="1:9" ht="47.25" x14ac:dyDescent="0.25">
      <c r="A1209" s="155" t="s">
        <v>4819</v>
      </c>
      <c r="B1209" s="155" t="s">
        <v>4820</v>
      </c>
      <c r="C1209" s="4" t="s">
        <v>4821</v>
      </c>
      <c r="D1209" s="4" t="s">
        <v>4822</v>
      </c>
      <c r="E1209" s="88" t="s">
        <v>4823</v>
      </c>
      <c r="F1209" s="88" t="s">
        <v>4824</v>
      </c>
      <c r="G1209" s="88" t="s">
        <v>4825</v>
      </c>
      <c r="H1209" s="4" t="s">
        <v>4826</v>
      </c>
      <c r="I1209" s="29" t="s">
        <v>4827</v>
      </c>
    </row>
    <row r="1210" spans="1:9" ht="25.5" x14ac:dyDescent="0.25">
      <c r="A1210" s="156"/>
      <c r="B1210" s="156"/>
      <c r="C1210" s="13" t="s">
        <v>4828</v>
      </c>
      <c r="D1210" s="13" t="s">
        <v>4828</v>
      </c>
      <c r="E1210" s="13" t="s">
        <v>4828</v>
      </c>
      <c r="F1210" s="13" t="s">
        <v>4828</v>
      </c>
      <c r="G1210" s="13" t="s">
        <v>4828</v>
      </c>
      <c r="H1210" s="13" t="s">
        <v>4828</v>
      </c>
      <c r="I1210" s="30"/>
    </row>
    <row r="1211" spans="1:9" ht="15.75" x14ac:dyDescent="0.25">
      <c r="A1211" s="23">
        <v>1068</v>
      </c>
      <c r="B1211" s="6" t="str">
        <f>CADASTROS!$C$718</f>
        <v>Lucas Souza dos Anjos</v>
      </c>
      <c r="C1211" s="159"/>
      <c r="D1211" s="159"/>
      <c r="E1211" s="159"/>
      <c r="F1211" s="159"/>
      <c r="G1211" s="159"/>
      <c r="H1211" s="159"/>
      <c r="I1211" s="7">
        <f>SUM(C1211+D1211+E1211+F1211+G1211+H1211)</f>
        <v>0</v>
      </c>
    </row>
    <row r="1212" spans="1:9" ht="15.75" x14ac:dyDescent="0.25">
      <c r="A1212" s="23">
        <v>1069</v>
      </c>
      <c r="B1212" s="6" t="str">
        <f>CADASTROS!$C$719</f>
        <v>Cristina da Silva Dourado</v>
      </c>
      <c r="C1212" s="159"/>
      <c r="D1212" s="159"/>
      <c r="E1212" s="159"/>
      <c r="F1212" s="159"/>
      <c r="G1212" s="159"/>
      <c r="H1212" s="159"/>
      <c r="I1212" s="7">
        <f t="shared" ref="I1212:I1237" si="108">SUM(C1212+D1212+E1212+F1212+G1212+H1212)</f>
        <v>0</v>
      </c>
    </row>
    <row r="1213" spans="1:9" ht="15.75" x14ac:dyDescent="0.25">
      <c r="A1213" s="23">
        <v>1070</v>
      </c>
      <c r="B1213" s="6" t="str">
        <f>CADASTROS!$C$720</f>
        <v>André S. Fernandes</v>
      </c>
      <c r="C1213" s="159"/>
      <c r="D1213" s="159"/>
      <c r="E1213" s="159"/>
      <c r="F1213" s="159"/>
      <c r="G1213" s="159"/>
      <c r="H1213" s="159"/>
      <c r="I1213" s="7">
        <f t="shared" si="108"/>
        <v>0</v>
      </c>
    </row>
    <row r="1214" spans="1:9" ht="15.75" x14ac:dyDescent="0.25">
      <c r="A1214" s="23">
        <v>1071</v>
      </c>
      <c r="B1214" s="6" t="str">
        <f>CADASTROS!$C$721</f>
        <v>Petrucia R Oliveira</v>
      </c>
      <c r="C1214" s="159"/>
      <c r="D1214" s="159"/>
      <c r="E1214" s="159"/>
      <c r="F1214" s="159"/>
      <c r="G1214" s="159"/>
      <c r="H1214" s="159"/>
      <c r="I1214" s="7">
        <f t="shared" si="108"/>
        <v>0</v>
      </c>
    </row>
    <row r="1215" spans="1:9" ht="15.75" x14ac:dyDescent="0.25">
      <c r="A1215" s="23">
        <v>1074</v>
      </c>
      <c r="B1215" s="6" t="str">
        <f>CADASTROS!$C$767</f>
        <v>Cosme Moura Passos</v>
      </c>
      <c r="C1215" s="159"/>
      <c r="D1215" s="159"/>
      <c r="E1215" s="159"/>
      <c r="F1215" s="159"/>
      <c r="G1215" s="159"/>
      <c r="H1215" s="159"/>
      <c r="I1215" s="7">
        <f t="shared" si="108"/>
        <v>0</v>
      </c>
    </row>
    <row r="1216" spans="1:9" ht="15.75" x14ac:dyDescent="0.25">
      <c r="A1216" s="23">
        <v>1075</v>
      </c>
      <c r="B1216" s="6" t="str">
        <f>CADASTROS!$C$768</f>
        <v>Fabiana Nascimento Andrade</v>
      </c>
      <c r="C1216" s="159"/>
      <c r="D1216" s="159"/>
      <c r="E1216" s="159"/>
      <c r="F1216" s="159"/>
      <c r="G1216" s="159"/>
      <c r="H1216" s="159"/>
      <c r="I1216" s="7">
        <f t="shared" si="108"/>
        <v>0</v>
      </c>
    </row>
    <row r="1217" spans="1:9" ht="15.75" x14ac:dyDescent="0.25">
      <c r="A1217" s="23">
        <v>1076</v>
      </c>
      <c r="B1217" s="6" t="str">
        <f>CADASTROS!$C$769</f>
        <v>Jaciel Jesus de Oliveira</v>
      </c>
      <c r="C1217" s="159"/>
      <c r="D1217" s="159"/>
      <c r="E1217" s="159"/>
      <c r="F1217" s="159"/>
      <c r="G1217" s="159"/>
      <c r="H1217" s="159"/>
      <c r="I1217" s="7">
        <f t="shared" si="108"/>
        <v>0</v>
      </c>
    </row>
    <row r="1218" spans="1:9" ht="15.75" x14ac:dyDescent="0.25">
      <c r="A1218" s="23">
        <v>1077</v>
      </c>
      <c r="B1218" s="6" t="str">
        <f>CADASTROS!$C$770</f>
        <v>Marleide Maria D Santos</v>
      </c>
      <c r="C1218" s="159"/>
      <c r="D1218" s="159"/>
      <c r="E1218" s="159"/>
      <c r="F1218" s="159"/>
      <c r="G1218" s="159"/>
      <c r="H1218" s="159"/>
      <c r="I1218" s="7">
        <f t="shared" si="108"/>
        <v>0</v>
      </c>
    </row>
    <row r="1219" spans="1:9" ht="15.75" x14ac:dyDescent="0.25">
      <c r="A1219" s="23">
        <v>1078</v>
      </c>
      <c r="B1219" s="6" t="str">
        <f>CADASTROS!$C$771</f>
        <v>Cleide Silva Santos</v>
      </c>
      <c r="C1219" s="159"/>
      <c r="D1219" s="159"/>
      <c r="E1219" s="159"/>
      <c r="F1219" s="159"/>
      <c r="G1219" s="159"/>
      <c r="H1219" s="159"/>
      <c r="I1219" s="7">
        <f t="shared" si="108"/>
        <v>0</v>
      </c>
    </row>
    <row r="1220" spans="1:9" ht="15.75" x14ac:dyDescent="0.25">
      <c r="A1220" s="23">
        <v>1079</v>
      </c>
      <c r="B1220" s="6" t="str">
        <f>CADASTROS!$C$772</f>
        <v>Paulo de Jesus Nunes</v>
      </c>
      <c r="C1220" s="159"/>
      <c r="D1220" s="159"/>
      <c r="E1220" s="159"/>
      <c r="F1220" s="159"/>
      <c r="G1220" s="159"/>
      <c r="H1220" s="159"/>
      <c r="I1220" s="7">
        <f t="shared" si="108"/>
        <v>0</v>
      </c>
    </row>
    <row r="1221" spans="1:9" ht="15.75" x14ac:dyDescent="0.25">
      <c r="A1221" s="23">
        <v>1080</v>
      </c>
      <c r="B1221" s="6" t="str">
        <f>CADASTROS!$C$773</f>
        <v>Maria Aparecida S P Silva</v>
      </c>
      <c r="C1221" s="159"/>
      <c r="D1221" s="159"/>
      <c r="E1221" s="159"/>
      <c r="F1221" s="159"/>
      <c r="G1221" s="159"/>
      <c r="H1221" s="159"/>
      <c r="I1221" s="7">
        <f t="shared" si="108"/>
        <v>0</v>
      </c>
    </row>
    <row r="1222" spans="1:9" ht="15.75" x14ac:dyDescent="0.25">
      <c r="A1222" s="23">
        <v>1081</v>
      </c>
      <c r="B1222" s="6" t="str">
        <f>CADASTROS!$C$774</f>
        <v>Valdenor Pereira dos Santos</v>
      </c>
      <c r="C1222" s="159"/>
      <c r="D1222" s="159"/>
      <c r="E1222" s="159"/>
      <c r="F1222" s="159"/>
      <c r="G1222" s="159"/>
      <c r="H1222" s="159"/>
      <c r="I1222" s="7">
        <f t="shared" si="108"/>
        <v>0</v>
      </c>
    </row>
    <row r="1223" spans="1:9" ht="15.75" x14ac:dyDescent="0.25">
      <c r="A1223" s="23">
        <v>1082</v>
      </c>
      <c r="B1223" s="6" t="str">
        <f>CADASTROS!$C$775</f>
        <v>Diogenes de Souza Sales</v>
      </c>
      <c r="C1223" s="159"/>
      <c r="D1223" s="159"/>
      <c r="E1223" s="159"/>
      <c r="F1223" s="159"/>
      <c r="G1223" s="159"/>
      <c r="H1223" s="159"/>
      <c r="I1223" s="7">
        <f t="shared" si="108"/>
        <v>0</v>
      </c>
    </row>
    <row r="1224" spans="1:9" ht="15.75" x14ac:dyDescent="0.25">
      <c r="A1224" s="23">
        <v>1083</v>
      </c>
      <c r="B1224" s="6" t="str">
        <f>CADASTROS!$C$776</f>
        <v>Jean Silva Santos</v>
      </c>
      <c r="C1224" s="159"/>
      <c r="D1224" s="159"/>
      <c r="E1224" s="159"/>
      <c r="F1224" s="159"/>
      <c r="G1224" s="159"/>
      <c r="H1224" s="159"/>
      <c r="I1224" s="7">
        <f t="shared" si="108"/>
        <v>0</v>
      </c>
    </row>
    <row r="1225" spans="1:9" ht="15.75" x14ac:dyDescent="0.25">
      <c r="A1225" s="23">
        <v>1084</v>
      </c>
      <c r="B1225" s="6" t="str">
        <f>CADASTROS!$C$777</f>
        <v>Alexandra Fonseca Cedro</v>
      </c>
      <c r="C1225" s="159"/>
      <c r="D1225" s="159"/>
      <c r="E1225" s="159"/>
      <c r="F1225" s="159"/>
      <c r="G1225" s="159"/>
      <c r="H1225" s="159"/>
      <c r="I1225" s="7">
        <f t="shared" si="108"/>
        <v>0</v>
      </c>
    </row>
    <row r="1226" spans="1:9" ht="15.75" x14ac:dyDescent="0.25">
      <c r="A1226" s="23">
        <v>1085</v>
      </c>
      <c r="B1226" s="6" t="str">
        <f>CADASTROS!$C$778</f>
        <v>Irene Rodrigues Oliveira</v>
      </c>
      <c r="C1226" s="159"/>
      <c r="D1226" s="159"/>
      <c r="E1226" s="159"/>
      <c r="F1226" s="159"/>
      <c r="G1226" s="159"/>
      <c r="H1226" s="159"/>
      <c r="I1226" s="7">
        <f t="shared" si="108"/>
        <v>0</v>
      </c>
    </row>
    <row r="1227" spans="1:9" ht="15.75" x14ac:dyDescent="0.25">
      <c r="A1227" s="23">
        <v>1086</v>
      </c>
      <c r="B1227" s="6" t="str">
        <f>CADASTROS!$C$779</f>
        <v>Luana Jesus Santana</v>
      </c>
      <c r="C1227" s="159"/>
      <c r="D1227" s="159"/>
      <c r="E1227" s="159"/>
      <c r="F1227" s="159"/>
      <c r="G1227" s="159"/>
      <c r="H1227" s="159"/>
      <c r="I1227" s="7">
        <f t="shared" si="108"/>
        <v>0</v>
      </c>
    </row>
    <row r="1228" spans="1:9" ht="15.75" x14ac:dyDescent="0.25">
      <c r="A1228" s="23">
        <v>1087</v>
      </c>
      <c r="B1228" s="6" t="str">
        <f>CADASTROS!$C$780</f>
        <v>Marivani Cruz Damasceno</v>
      </c>
      <c r="C1228" s="159"/>
      <c r="D1228" s="159"/>
      <c r="E1228" s="159"/>
      <c r="F1228" s="159"/>
      <c r="G1228" s="159"/>
      <c r="H1228" s="159"/>
      <c r="I1228" s="7">
        <f t="shared" si="108"/>
        <v>0</v>
      </c>
    </row>
    <row r="1229" spans="1:9" ht="15.75" x14ac:dyDescent="0.25">
      <c r="A1229" s="23">
        <v>1088</v>
      </c>
      <c r="B1229" s="6" t="str">
        <f>CADASTROS!$C$781</f>
        <v>Maria Anunciação P Santos</v>
      </c>
      <c r="C1229" s="159"/>
      <c r="D1229" s="159"/>
      <c r="E1229" s="159"/>
      <c r="F1229" s="159"/>
      <c r="G1229" s="159"/>
      <c r="H1229" s="159"/>
      <c r="I1229" s="7">
        <f t="shared" si="108"/>
        <v>0</v>
      </c>
    </row>
    <row r="1230" spans="1:9" ht="15.75" x14ac:dyDescent="0.25">
      <c r="A1230" s="23">
        <v>1089</v>
      </c>
      <c r="B1230" s="6" t="str">
        <f>CADASTROS!$C$782</f>
        <v>Eufrásio A dos Santos</v>
      </c>
      <c r="C1230" s="159"/>
      <c r="D1230" s="159"/>
      <c r="E1230" s="159"/>
      <c r="F1230" s="159"/>
      <c r="G1230" s="159"/>
      <c r="H1230" s="159"/>
      <c r="I1230" s="7">
        <f t="shared" si="108"/>
        <v>0</v>
      </c>
    </row>
    <row r="1231" spans="1:9" ht="15.75" x14ac:dyDescent="0.25">
      <c r="A1231" s="23">
        <v>1090</v>
      </c>
      <c r="B1231" s="6" t="str">
        <f>CADASTROS!$C$783</f>
        <v>Luis Cedro de Sena</v>
      </c>
      <c r="C1231" s="159"/>
      <c r="D1231" s="159"/>
      <c r="E1231" s="159"/>
      <c r="F1231" s="159"/>
      <c r="G1231" s="159"/>
      <c r="H1231" s="159"/>
      <c r="I1231" s="7">
        <f t="shared" si="108"/>
        <v>0</v>
      </c>
    </row>
    <row r="1232" spans="1:9" ht="15.75" x14ac:dyDescent="0.25">
      <c r="A1232" s="23">
        <v>1091</v>
      </c>
      <c r="B1232" s="6" t="str">
        <f>CADASTROS!$C$784</f>
        <v>Cleusa Rodrigues da Silva</v>
      </c>
      <c r="C1232" s="159"/>
      <c r="D1232" s="159"/>
      <c r="E1232" s="159"/>
      <c r="F1232" s="159"/>
      <c r="G1232" s="159"/>
      <c r="H1232" s="159"/>
      <c r="I1232" s="7">
        <f t="shared" si="108"/>
        <v>0</v>
      </c>
    </row>
    <row r="1233" spans="1:9" ht="15.75" x14ac:dyDescent="0.25">
      <c r="A1233" s="23">
        <v>1092</v>
      </c>
      <c r="B1233" s="6" t="str">
        <f>CADASTROS!$C$785</f>
        <v>Ivanelia E Souza</v>
      </c>
      <c r="C1233" s="159"/>
      <c r="D1233" s="159"/>
      <c r="E1233" s="159"/>
      <c r="F1233" s="159"/>
      <c r="G1233" s="159"/>
      <c r="H1233" s="159"/>
      <c r="I1233" s="7">
        <f t="shared" si="108"/>
        <v>0</v>
      </c>
    </row>
    <row r="1234" spans="1:9" ht="15.75" x14ac:dyDescent="0.25">
      <c r="A1234" s="23">
        <v>1093</v>
      </c>
      <c r="B1234" s="6" t="str">
        <f>CADASTROS!$C$786</f>
        <v>Joseilton B Oliveira</v>
      </c>
      <c r="C1234" s="159"/>
      <c r="D1234" s="159"/>
      <c r="E1234" s="159"/>
      <c r="F1234" s="159"/>
      <c r="G1234" s="159"/>
      <c r="H1234" s="159"/>
      <c r="I1234" s="7">
        <f t="shared" si="108"/>
        <v>0</v>
      </c>
    </row>
    <row r="1235" spans="1:9" ht="15.75" x14ac:dyDescent="0.25">
      <c r="A1235" s="23">
        <v>1094</v>
      </c>
      <c r="B1235" s="6" t="str">
        <f>CADASTROS!$C$787</f>
        <v>José Wilton Marques da Silva</v>
      </c>
      <c r="C1235" s="159"/>
      <c r="D1235" s="159"/>
      <c r="E1235" s="159"/>
      <c r="F1235" s="159"/>
      <c r="G1235" s="159"/>
      <c r="H1235" s="159"/>
      <c r="I1235" s="7">
        <f t="shared" si="108"/>
        <v>0</v>
      </c>
    </row>
    <row r="1236" spans="1:9" ht="15.75" x14ac:dyDescent="0.25">
      <c r="A1236" s="23">
        <v>1095</v>
      </c>
      <c r="B1236" s="6" t="str">
        <f>CADASTROS!$C$788</f>
        <v>Reverson Haine C Costa</v>
      </c>
      <c r="C1236" s="159"/>
      <c r="D1236" s="159"/>
      <c r="E1236" s="159"/>
      <c r="F1236" s="159"/>
      <c r="G1236" s="159"/>
      <c r="H1236" s="159"/>
      <c r="I1236" s="7">
        <f t="shared" si="108"/>
        <v>0</v>
      </c>
    </row>
    <row r="1237" spans="1:9" ht="15.75" x14ac:dyDescent="0.25">
      <c r="A1237" s="23"/>
      <c r="B1237" s="6"/>
      <c r="C1237" s="159"/>
      <c r="D1237" s="159"/>
      <c r="E1237" s="159"/>
      <c r="F1237" s="159"/>
      <c r="G1237" s="159"/>
      <c r="H1237" s="159"/>
      <c r="I1237" s="7">
        <f t="shared" si="108"/>
        <v>0</v>
      </c>
    </row>
    <row r="1238" spans="1:9" ht="15.75" x14ac:dyDescent="0.25">
      <c r="B1238" s="6"/>
      <c r="C1238" s="159">
        <f>SUM(C1211:C1237)</f>
        <v>0</v>
      </c>
      <c r="D1238" s="159">
        <f t="shared" ref="D1238:H1238" si="109">SUM(D1211:D1237)</f>
        <v>0</v>
      </c>
      <c r="E1238" s="159">
        <f t="shared" si="109"/>
        <v>0</v>
      </c>
      <c r="F1238" s="159">
        <f t="shared" si="109"/>
        <v>0</v>
      </c>
      <c r="G1238" s="159">
        <f t="shared" si="109"/>
        <v>0</v>
      </c>
      <c r="H1238" s="159">
        <f t="shared" si="109"/>
        <v>0</v>
      </c>
      <c r="I1238" s="159">
        <f>SUM(I1211:I1237)</f>
        <v>0</v>
      </c>
    </row>
    <row r="1240" spans="1:9" ht="15.75" x14ac:dyDescent="0.25">
      <c r="B1240" s="8" t="s">
        <v>4830</v>
      </c>
      <c r="C1240" s="159"/>
      <c r="D1240" s="159"/>
      <c r="E1240" s="159"/>
      <c r="F1240" s="159"/>
      <c r="G1240" s="159"/>
      <c r="H1240" s="159"/>
      <c r="I1240" s="159">
        <f>SUM(C1240:H1240)</f>
        <v>0</v>
      </c>
    </row>
    <row r="1241" spans="1:9" x14ac:dyDescent="0.25">
      <c r="B1241" s="167"/>
    </row>
    <row r="1242" spans="1:9" ht="15.75" x14ac:dyDescent="0.25">
      <c r="B1242" s="8" t="s">
        <v>4831</v>
      </c>
      <c r="C1242" s="9" t="e">
        <f>C1238/C1240</f>
        <v>#DIV/0!</v>
      </c>
      <c r="D1242" s="9" t="e">
        <f t="shared" ref="D1242:H1242" si="110">D1238/D1240</f>
        <v>#DIV/0!</v>
      </c>
      <c r="E1242" s="9" t="e">
        <f t="shared" si="110"/>
        <v>#DIV/0!</v>
      </c>
      <c r="F1242" s="9" t="e">
        <f t="shared" si="110"/>
        <v>#DIV/0!</v>
      </c>
      <c r="G1242" s="9" t="e">
        <f t="shared" si="110"/>
        <v>#DIV/0!</v>
      </c>
      <c r="H1242" s="9" t="e">
        <f t="shared" si="110"/>
        <v>#DIV/0!</v>
      </c>
      <c r="I1242" s="9"/>
    </row>
    <row r="1243" spans="1:9" ht="15.75" x14ac:dyDescent="0.25">
      <c r="B1243" s="163"/>
      <c r="C1243" s="10"/>
      <c r="D1243" s="10"/>
      <c r="E1243" s="10"/>
      <c r="F1243" s="10"/>
      <c r="G1243" s="10"/>
      <c r="H1243" s="163"/>
      <c r="I1243" s="163"/>
    </row>
    <row r="1244" spans="1:9" ht="15.75" x14ac:dyDescent="0.25">
      <c r="B1244" s="8" t="s">
        <v>4832</v>
      </c>
      <c r="C1244" s="159"/>
      <c r="D1244" s="159"/>
      <c r="E1244" s="6"/>
      <c r="F1244" s="6"/>
      <c r="G1244" s="6"/>
      <c r="H1244" s="6"/>
      <c r="I1244" s="11"/>
    </row>
    <row r="1246" spans="1:9" ht="21" x14ac:dyDescent="0.35">
      <c r="B1246" s="184" t="s">
        <v>4816</v>
      </c>
      <c r="C1246" s="185"/>
      <c r="D1246" s="185"/>
      <c r="E1246" s="185"/>
      <c r="F1246" s="185"/>
      <c r="G1246" s="185"/>
      <c r="H1246" s="185"/>
      <c r="I1246" s="186"/>
    </row>
    <row r="1247" spans="1:9" x14ac:dyDescent="0.25">
      <c r="I1247" s="3"/>
    </row>
    <row r="1248" spans="1:9" ht="21" x14ac:dyDescent="0.35">
      <c r="B1248" s="192" t="s">
        <v>4817</v>
      </c>
      <c r="C1248" s="193"/>
      <c r="D1248" s="193"/>
      <c r="E1248" s="193"/>
      <c r="F1248" s="193"/>
      <c r="G1248" s="193"/>
      <c r="H1248" s="193"/>
      <c r="I1248" s="194"/>
    </row>
    <row r="1250" spans="1:9" ht="33.6" customHeight="1" x14ac:dyDescent="0.25">
      <c r="B1250" s="187" t="s">
        <v>4842</v>
      </c>
      <c r="C1250" s="188"/>
      <c r="D1250" s="188"/>
      <c r="E1250" s="188"/>
      <c r="F1250" s="188"/>
      <c r="G1250" s="188"/>
      <c r="H1250" s="188"/>
      <c r="I1250" s="189"/>
    </row>
    <row r="1251" spans="1:9" ht="47.25" x14ac:dyDescent="0.25">
      <c r="A1251" s="155" t="s">
        <v>4819</v>
      </c>
      <c r="B1251" s="155" t="s">
        <v>4820</v>
      </c>
      <c r="C1251" s="4" t="s">
        <v>4821</v>
      </c>
      <c r="D1251" s="4" t="s">
        <v>4822</v>
      </c>
      <c r="E1251" s="88" t="s">
        <v>4823</v>
      </c>
      <c r="F1251" s="88" t="s">
        <v>4824</v>
      </c>
      <c r="G1251" s="88" t="s">
        <v>4825</v>
      </c>
      <c r="H1251" s="4" t="s">
        <v>4826</v>
      </c>
      <c r="I1251" s="29" t="s">
        <v>4827</v>
      </c>
    </row>
    <row r="1252" spans="1:9" ht="25.5" x14ac:dyDescent="0.25">
      <c r="A1252" s="156"/>
      <c r="B1252" s="156"/>
      <c r="C1252" s="13" t="s">
        <v>4828</v>
      </c>
      <c r="D1252" s="13" t="s">
        <v>4828</v>
      </c>
      <c r="E1252" s="13" t="s">
        <v>4828</v>
      </c>
      <c r="F1252" s="13" t="s">
        <v>4828</v>
      </c>
      <c r="G1252" s="13" t="s">
        <v>4828</v>
      </c>
      <c r="H1252" s="13" t="s">
        <v>4828</v>
      </c>
      <c r="I1252" s="30"/>
    </row>
    <row r="1253" spans="1:9" ht="15.75" x14ac:dyDescent="0.25">
      <c r="A1253" s="23">
        <v>1061</v>
      </c>
      <c r="B1253" s="6" t="str">
        <f>CADASTROS!$C$758</f>
        <v>Cleuson Barauna de Souza</v>
      </c>
      <c r="C1253" s="159"/>
      <c r="D1253" s="159"/>
      <c r="E1253" s="159"/>
      <c r="F1253" s="159"/>
      <c r="G1253" s="159"/>
      <c r="H1253" s="159"/>
      <c r="I1253" s="7">
        <f>SUM(C1253+D1253+E1253+F1253+G1253+H1253)</f>
        <v>0</v>
      </c>
    </row>
    <row r="1254" spans="1:9" ht="15.75" x14ac:dyDescent="0.25">
      <c r="A1254" s="23">
        <v>1062</v>
      </c>
      <c r="B1254" s="6" t="str">
        <f>CADASTROS!$C$759</f>
        <v>José Baraúna Bispo</v>
      </c>
      <c r="C1254" s="159"/>
      <c r="D1254" s="159"/>
      <c r="E1254" s="159"/>
      <c r="F1254" s="159"/>
      <c r="G1254" s="159"/>
      <c r="H1254" s="159"/>
      <c r="I1254" s="7">
        <f t="shared" ref="I1254:I1279" si="111">SUM(C1254+D1254+E1254+F1254+G1254+H1254)</f>
        <v>0</v>
      </c>
    </row>
    <row r="1255" spans="1:9" ht="15.75" x14ac:dyDescent="0.25">
      <c r="A1255" s="23">
        <v>1063</v>
      </c>
      <c r="B1255" s="6" t="str">
        <f>CADASTROS!$C$760</f>
        <v>Ivaneuza de S Baraúna</v>
      </c>
      <c r="C1255" s="159"/>
      <c r="D1255" s="159"/>
      <c r="E1255" s="159"/>
      <c r="F1255" s="159"/>
      <c r="G1255" s="159"/>
      <c r="H1255" s="159"/>
      <c r="I1255" s="7">
        <f t="shared" si="111"/>
        <v>0</v>
      </c>
    </row>
    <row r="1256" spans="1:9" ht="15.75" x14ac:dyDescent="0.25">
      <c r="A1256" s="23">
        <v>1064</v>
      </c>
      <c r="B1256" s="6" t="str">
        <f>CADASTROS!$C$761</f>
        <v>Mª Selma de Jesus Araújo</v>
      </c>
      <c r="C1256" s="159"/>
      <c r="D1256" s="159"/>
      <c r="E1256" s="159"/>
      <c r="F1256" s="159"/>
      <c r="G1256" s="159"/>
      <c r="H1256" s="159"/>
      <c r="I1256" s="7">
        <f t="shared" si="111"/>
        <v>0</v>
      </c>
    </row>
    <row r="1257" spans="1:9" ht="15.75" x14ac:dyDescent="0.25">
      <c r="A1257" s="23">
        <v>1065</v>
      </c>
      <c r="B1257" s="6" t="str">
        <f>CADASTROS!$C$762</f>
        <v>Patrícia da Silva Souza</v>
      </c>
      <c r="C1257" s="159"/>
      <c r="D1257" s="159"/>
      <c r="E1257" s="159"/>
      <c r="F1257" s="159"/>
      <c r="G1257" s="159"/>
      <c r="H1257" s="159"/>
      <c r="I1257" s="7">
        <f t="shared" si="111"/>
        <v>0</v>
      </c>
    </row>
    <row r="1258" spans="1:9" ht="15.75" x14ac:dyDescent="0.25">
      <c r="A1258" s="23">
        <v>1066</v>
      </c>
      <c r="B1258" s="6" t="str">
        <f>CADASTROS!$C$763</f>
        <v>Silvana Brito de Souza</v>
      </c>
      <c r="C1258" s="159"/>
      <c r="D1258" s="159"/>
      <c r="E1258" s="159"/>
      <c r="F1258" s="159"/>
      <c r="G1258" s="159"/>
      <c r="H1258" s="159"/>
      <c r="I1258" s="7">
        <f t="shared" si="111"/>
        <v>0</v>
      </c>
    </row>
    <row r="1259" spans="1:9" ht="15.75" x14ac:dyDescent="0.25">
      <c r="A1259" s="23">
        <v>1067</v>
      </c>
      <c r="B1259" s="6" t="str">
        <f>CADASTROS!$C$764</f>
        <v>Eufrásio Bispo de Souza</v>
      </c>
      <c r="C1259" s="159"/>
      <c r="D1259" s="159"/>
      <c r="E1259" s="159"/>
      <c r="F1259" s="159"/>
      <c r="G1259" s="159"/>
      <c r="H1259" s="159"/>
      <c r="I1259" s="7">
        <f t="shared" si="111"/>
        <v>0</v>
      </c>
    </row>
    <row r="1260" spans="1:9" ht="15.75" x14ac:dyDescent="0.25">
      <c r="A1260" s="23">
        <v>1072</v>
      </c>
      <c r="B1260" s="6" t="str">
        <f>CADASTROS!$C$765</f>
        <v>Edifátima A da Cruz</v>
      </c>
      <c r="C1260" s="159"/>
      <c r="D1260" s="159"/>
      <c r="E1260" s="159"/>
      <c r="F1260" s="159"/>
      <c r="G1260" s="159"/>
      <c r="H1260" s="159"/>
      <c r="I1260" s="7">
        <f t="shared" si="111"/>
        <v>0</v>
      </c>
    </row>
    <row r="1261" spans="1:9" ht="15.75" x14ac:dyDescent="0.25">
      <c r="A1261" s="23">
        <v>1073</v>
      </c>
      <c r="B1261" s="6" t="str">
        <f>CADASTROS!$C$766</f>
        <v>Wellington N Souza</v>
      </c>
      <c r="C1261" s="159"/>
      <c r="D1261" s="159"/>
      <c r="E1261" s="159"/>
      <c r="F1261" s="159"/>
      <c r="G1261" s="159"/>
      <c r="H1261" s="159"/>
      <c r="I1261" s="7">
        <f t="shared" si="111"/>
        <v>0</v>
      </c>
    </row>
    <row r="1262" spans="1:9" ht="15.75" x14ac:dyDescent="0.25">
      <c r="A1262" s="23">
        <v>1096</v>
      </c>
      <c r="B1262" s="6" t="str">
        <f>CADASTROS!$C$812</f>
        <v>Carlion de Jesus Santos</v>
      </c>
      <c r="C1262" s="159"/>
      <c r="D1262" s="159">
        <v>13</v>
      </c>
      <c r="E1262" s="159">
        <v>11</v>
      </c>
      <c r="F1262" s="159"/>
      <c r="G1262" s="159"/>
      <c r="H1262" s="159"/>
      <c r="I1262" s="7">
        <f t="shared" si="111"/>
        <v>24</v>
      </c>
    </row>
    <row r="1263" spans="1:9" ht="15.75" x14ac:dyDescent="0.25">
      <c r="A1263" s="23">
        <v>1097</v>
      </c>
      <c r="B1263" s="6" t="str">
        <f>CADASTROS!$C$813</f>
        <v>Josevaldo da Silva Souza</v>
      </c>
      <c r="C1263" s="159"/>
      <c r="D1263" s="159"/>
      <c r="E1263" s="159"/>
      <c r="F1263" s="159"/>
      <c r="G1263" s="159"/>
      <c r="H1263" s="159"/>
      <c r="I1263" s="7">
        <f t="shared" si="111"/>
        <v>0</v>
      </c>
    </row>
    <row r="1264" spans="1:9" ht="15.75" x14ac:dyDescent="0.25">
      <c r="A1264" s="23">
        <v>1098</v>
      </c>
      <c r="B1264" s="6" t="str">
        <f>CADASTROS!$C$814</f>
        <v>Dinaize de Jesus Silva</v>
      </c>
      <c r="C1264" s="159"/>
      <c r="D1264" s="159"/>
      <c r="E1264" s="159"/>
      <c r="F1264" s="159"/>
      <c r="G1264" s="159"/>
      <c r="H1264" s="159"/>
      <c r="I1264" s="7">
        <f t="shared" si="111"/>
        <v>0</v>
      </c>
    </row>
    <row r="1265" spans="1:9" ht="15.75" x14ac:dyDescent="0.25">
      <c r="A1265" s="23">
        <v>1099</v>
      </c>
      <c r="B1265" s="6" t="str">
        <f>CADASTROS!$C$815</f>
        <v>Marina Amaral dos Santos</v>
      </c>
      <c r="C1265" s="159"/>
      <c r="D1265" s="159"/>
      <c r="E1265" s="159"/>
      <c r="F1265" s="159"/>
      <c r="G1265" s="159"/>
      <c r="H1265" s="159"/>
      <c r="I1265" s="7">
        <f t="shared" si="111"/>
        <v>0</v>
      </c>
    </row>
    <row r="1266" spans="1:9" ht="15.75" x14ac:dyDescent="0.25">
      <c r="A1266" s="23">
        <v>1100</v>
      </c>
      <c r="B1266" s="6" t="str">
        <f>CADASTROS!$C$816</f>
        <v>Fabiane de Jesus Sampaio</v>
      </c>
      <c r="C1266" s="159"/>
      <c r="D1266" s="159"/>
      <c r="E1266" s="159"/>
      <c r="F1266" s="159"/>
      <c r="G1266" s="159"/>
      <c r="H1266" s="159"/>
      <c r="I1266" s="7">
        <f t="shared" si="111"/>
        <v>0</v>
      </c>
    </row>
    <row r="1267" spans="1:9" ht="15.75" x14ac:dyDescent="0.25">
      <c r="A1267" s="23">
        <v>1101</v>
      </c>
      <c r="B1267" s="6" t="str">
        <f>CADASTROS!$C$817</f>
        <v>Ivanise Reis Pinto</v>
      </c>
      <c r="C1267" s="159"/>
      <c r="D1267" s="159"/>
      <c r="E1267" s="159"/>
      <c r="F1267" s="159"/>
      <c r="G1267" s="159"/>
      <c r="H1267" s="159"/>
      <c r="I1267" s="7">
        <f t="shared" si="111"/>
        <v>0</v>
      </c>
    </row>
    <row r="1268" spans="1:9" ht="15.75" x14ac:dyDescent="0.25">
      <c r="A1268" s="23">
        <v>1102</v>
      </c>
      <c r="B1268" s="6" t="str">
        <f>CADASTROS!$C$818</f>
        <v>Odailton de Jesus Bispo</v>
      </c>
      <c r="C1268" s="159"/>
      <c r="D1268" s="159"/>
      <c r="E1268" s="159"/>
      <c r="F1268" s="159"/>
      <c r="G1268" s="159"/>
      <c r="H1268" s="159"/>
      <c r="I1268" s="7">
        <f t="shared" si="111"/>
        <v>0</v>
      </c>
    </row>
    <row r="1269" spans="1:9" ht="15.75" x14ac:dyDescent="0.25">
      <c r="A1269" s="23">
        <v>1103</v>
      </c>
      <c r="B1269" s="6" t="str">
        <f>CADASTROS!$C$819</f>
        <v>Maria da Silva Dourado</v>
      </c>
      <c r="C1269" s="159"/>
      <c r="D1269" s="159"/>
      <c r="E1269" s="159"/>
      <c r="F1269" s="159"/>
      <c r="G1269" s="159"/>
      <c r="H1269" s="159"/>
      <c r="I1269" s="7">
        <f t="shared" si="111"/>
        <v>0</v>
      </c>
    </row>
    <row r="1270" spans="1:9" ht="15.75" x14ac:dyDescent="0.25">
      <c r="A1270" s="23">
        <v>1104</v>
      </c>
      <c r="B1270" s="6" t="str">
        <f>CADASTROS!$C$820</f>
        <v>Maria Borges dos Santos</v>
      </c>
      <c r="C1270" s="159"/>
      <c r="D1270" s="159"/>
      <c r="E1270" s="159"/>
      <c r="F1270" s="159"/>
      <c r="G1270" s="159"/>
      <c r="H1270" s="159"/>
      <c r="I1270" s="7">
        <f t="shared" si="111"/>
        <v>0</v>
      </c>
    </row>
    <row r="1271" spans="1:9" ht="15.75" x14ac:dyDescent="0.25">
      <c r="A1271" s="23">
        <v>1105</v>
      </c>
      <c r="B1271" s="6" t="str">
        <f>CADASTROS!$C$821</f>
        <v>Rozemália Souza da Silva</v>
      </c>
      <c r="C1271" s="159"/>
      <c r="D1271" s="159"/>
      <c r="E1271" s="159"/>
      <c r="F1271" s="159"/>
      <c r="G1271" s="159"/>
      <c r="H1271" s="159"/>
      <c r="I1271" s="7">
        <f t="shared" si="111"/>
        <v>0</v>
      </c>
    </row>
    <row r="1272" spans="1:9" ht="15.75" x14ac:dyDescent="0.25">
      <c r="A1272" s="23">
        <v>1106</v>
      </c>
      <c r="B1272" s="6" t="str">
        <f>CADASTROS!$C$822</f>
        <v>Antônio Marques da Costa</v>
      </c>
      <c r="C1272" s="159"/>
      <c r="D1272" s="159"/>
      <c r="E1272" s="159"/>
      <c r="F1272" s="159"/>
      <c r="G1272" s="159"/>
      <c r="H1272" s="159"/>
      <c r="I1272" s="7">
        <f t="shared" si="111"/>
        <v>0</v>
      </c>
    </row>
    <row r="1273" spans="1:9" ht="15.75" x14ac:dyDescent="0.25">
      <c r="A1273" s="23">
        <v>1107</v>
      </c>
      <c r="B1273" s="6" t="str">
        <f>CADASTROS!$C$823</f>
        <v>Eliene Josefa Oliveira</v>
      </c>
      <c r="C1273" s="159"/>
      <c r="D1273" s="159"/>
      <c r="E1273" s="159"/>
      <c r="F1273" s="159"/>
      <c r="G1273" s="159"/>
      <c r="H1273" s="159"/>
      <c r="I1273" s="7">
        <f t="shared" si="111"/>
        <v>0</v>
      </c>
    </row>
    <row r="1274" spans="1:9" ht="15.75" x14ac:dyDescent="0.25">
      <c r="A1274" s="23">
        <v>1108</v>
      </c>
      <c r="B1274" s="6" t="str">
        <f>CADASTROS!$C$824</f>
        <v>Marcio Oliveira de Jesus</v>
      </c>
      <c r="C1274" s="159"/>
      <c r="D1274" s="159"/>
      <c r="E1274" s="159"/>
      <c r="F1274" s="159"/>
      <c r="G1274" s="159"/>
      <c r="H1274" s="159"/>
      <c r="I1274" s="7">
        <f t="shared" si="111"/>
        <v>0</v>
      </c>
    </row>
    <row r="1275" spans="1:9" ht="15.75" x14ac:dyDescent="0.25">
      <c r="A1275" s="23">
        <v>1109</v>
      </c>
      <c r="B1275" s="6" t="str">
        <f>CADASTROS!$C$825</f>
        <v>Eliete Cesar dos Santos</v>
      </c>
      <c r="C1275" s="159"/>
      <c r="D1275" s="159"/>
      <c r="E1275" s="159"/>
      <c r="F1275" s="159"/>
      <c r="G1275" s="159"/>
      <c r="H1275" s="159"/>
      <c r="I1275" s="7">
        <f t="shared" si="111"/>
        <v>0</v>
      </c>
    </row>
    <row r="1276" spans="1:9" ht="15.75" x14ac:dyDescent="0.25">
      <c r="A1276" s="23">
        <v>1110</v>
      </c>
      <c r="B1276" s="6" t="str">
        <f>CADASTROS!$C$826</f>
        <v>Elizabeth Nogueira Silva</v>
      </c>
      <c r="C1276" s="159"/>
      <c r="D1276" s="159"/>
      <c r="E1276" s="159"/>
      <c r="F1276" s="159"/>
      <c r="G1276" s="159"/>
      <c r="H1276" s="159"/>
      <c r="I1276" s="7">
        <f t="shared" si="111"/>
        <v>0</v>
      </c>
    </row>
    <row r="1277" spans="1:9" ht="15.75" x14ac:dyDescent="0.25">
      <c r="A1277" s="23">
        <v>1111</v>
      </c>
      <c r="B1277" s="6" t="str">
        <f>CADASTROS!$C$827</f>
        <v>Vitória Santana dos Reis</v>
      </c>
      <c r="C1277" s="159"/>
      <c r="D1277" s="159"/>
      <c r="E1277" s="159"/>
      <c r="F1277" s="159"/>
      <c r="G1277" s="159"/>
      <c r="H1277" s="159"/>
      <c r="I1277" s="7">
        <f t="shared" si="111"/>
        <v>0</v>
      </c>
    </row>
    <row r="1278" spans="1:9" ht="15.75" x14ac:dyDescent="0.25">
      <c r="A1278" s="23">
        <v>1112</v>
      </c>
      <c r="B1278" s="6" t="str">
        <f>CADASTROS!$C$828</f>
        <v>Jeane Ferreira Bispo</v>
      </c>
      <c r="C1278" s="159"/>
      <c r="D1278" s="159"/>
      <c r="E1278" s="159"/>
      <c r="F1278" s="159"/>
      <c r="G1278" s="159"/>
      <c r="H1278" s="159"/>
      <c r="I1278" s="7">
        <f t="shared" si="111"/>
        <v>0</v>
      </c>
    </row>
    <row r="1279" spans="1:9" ht="15.75" x14ac:dyDescent="0.25">
      <c r="A1279" s="23">
        <v>1113</v>
      </c>
      <c r="B1279" s="6" t="str">
        <f>CADASTROS!$C$829</f>
        <v>Saraí Barbosa da Silva</v>
      </c>
      <c r="C1279" s="159"/>
      <c r="D1279" s="159"/>
      <c r="E1279" s="159"/>
      <c r="F1279" s="159"/>
      <c r="G1279" s="159"/>
      <c r="H1279" s="159"/>
      <c r="I1279" s="7">
        <f t="shared" si="111"/>
        <v>0</v>
      </c>
    </row>
    <row r="1280" spans="1:9" ht="15.75" x14ac:dyDescent="0.25">
      <c r="B1280" s="159" t="s">
        <v>4829</v>
      </c>
      <c r="C1280" s="159">
        <f>SUM(C1253:C1279)</f>
        <v>0</v>
      </c>
      <c r="D1280" s="159">
        <f t="shared" ref="D1280:H1280" si="112">SUM(D1253:D1279)</f>
        <v>13</v>
      </c>
      <c r="E1280" s="159">
        <f t="shared" si="112"/>
        <v>11</v>
      </c>
      <c r="F1280" s="159">
        <f t="shared" si="112"/>
        <v>0</v>
      </c>
      <c r="G1280" s="159">
        <f t="shared" si="112"/>
        <v>0</v>
      </c>
      <c r="H1280" s="159">
        <f t="shared" si="112"/>
        <v>0</v>
      </c>
      <c r="I1280" s="159">
        <f>SUM(I1253:I1279)</f>
        <v>24</v>
      </c>
    </row>
    <row r="1282" spans="1:9" ht="15.75" x14ac:dyDescent="0.25">
      <c r="B1282" s="8" t="s">
        <v>4830</v>
      </c>
      <c r="C1282" s="159"/>
      <c r="D1282" s="159"/>
      <c r="E1282" s="159"/>
      <c r="F1282" s="159"/>
      <c r="G1282" s="159"/>
      <c r="H1282" s="159"/>
      <c r="I1282" s="159">
        <f>SUM(C1282:H1282)</f>
        <v>0</v>
      </c>
    </row>
    <row r="1283" spans="1:9" x14ac:dyDescent="0.25">
      <c r="B1283" s="167"/>
    </row>
    <row r="1284" spans="1:9" ht="15.75" x14ac:dyDescent="0.25">
      <c r="B1284" s="8" t="s">
        <v>4831</v>
      </c>
      <c r="C1284" s="9" t="e">
        <f>C1280/C1282</f>
        <v>#DIV/0!</v>
      </c>
      <c r="D1284" s="9" t="e">
        <f t="shared" ref="D1284:H1284" si="113">D1280/D1282</f>
        <v>#DIV/0!</v>
      </c>
      <c r="E1284" s="9" t="e">
        <f t="shared" si="113"/>
        <v>#DIV/0!</v>
      </c>
      <c r="F1284" s="9" t="e">
        <f t="shared" si="113"/>
        <v>#DIV/0!</v>
      </c>
      <c r="G1284" s="9" t="e">
        <f t="shared" si="113"/>
        <v>#DIV/0!</v>
      </c>
      <c r="H1284" s="9" t="e">
        <f t="shared" si="113"/>
        <v>#DIV/0!</v>
      </c>
      <c r="I1284" s="9"/>
    </row>
    <row r="1285" spans="1:9" ht="15.75" x14ac:dyDescent="0.25">
      <c r="B1285" s="163"/>
      <c r="C1285" s="10"/>
      <c r="D1285" s="10"/>
      <c r="E1285" s="10"/>
      <c r="F1285" s="10"/>
      <c r="G1285" s="10"/>
      <c r="H1285" s="163"/>
      <c r="I1285" s="163"/>
    </row>
    <row r="1286" spans="1:9" ht="15.75" x14ac:dyDescent="0.25">
      <c r="B1286" s="8" t="s">
        <v>4832</v>
      </c>
      <c r="C1286" s="159"/>
      <c r="D1286" s="159"/>
      <c r="E1286" s="6"/>
      <c r="F1286" s="6"/>
      <c r="G1286" s="6"/>
      <c r="H1286" s="6"/>
      <c r="I1286" s="11"/>
    </row>
    <row r="1289" spans="1:9" ht="21" x14ac:dyDescent="0.35">
      <c r="B1289" s="184" t="s">
        <v>4816</v>
      </c>
      <c r="C1289" s="185"/>
      <c r="D1289" s="185"/>
      <c r="E1289" s="185"/>
      <c r="F1289" s="185"/>
      <c r="G1289" s="185"/>
      <c r="H1289" s="185"/>
      <c r="I1289" s="186"/>
    </row>
    <row r="1290" spans="1:9" x14ac:dyDescent="0.25">
      <c r="I1290" s="3"/>
    </row>
    <row r="1291" spans="1:9" ht="21" x14ac:dyDescent="0.35">
      <c r="B1291" s="192" t="s">
        <v>4817</v>
      </c>
      <c r="C1291" s="193"/>
      <c r="D1291" s="193"/>
      <c r="E1291" s="193"/>
      <c r="F1291" s="193"/>
      <c r="G1291" s="193"/>
      <c r="H1291" s="193"/>
      <c r="I1291" s="194"/>
    </row>
    <row r="1293" spans="1:9" ht="33.75" x14ac:dyDescent="0.25">
      <c r="B1293" s="187" t="s">
        <v>4839</v>
      </c>
      <c r="C1293" s="188"/>
      <c r="D1293" s="188"/>
      <c r="E1293" s="188"/>
      <c r="F1293" s="188"/>
      <c r="G1293" s="188"/>
      <c r="H1293" s="188"/>
      <c r="I1293" s="189"/>
    </row>
    <row r="1294" spans="1:9" ht="47.25" x14ac:dyDescent="0.25">
      <c r="A1294" s="155" t="s">
        <v>4819</v>
      </c>
      <c r="B1294" s="155" t="s">
        <v>4820</v>
      </c>
      <c r="C1294" s="4" t="s">
        <v>4821</v>
      </c>
      <c r="D1294" s="4" t="s">
        <v>4822</v>
      </c>
      <c r="E1294" s="88" t="s">
        <v>4823</v>
      </c>
      <c r="F1294" s="88" t="s">
        <v>4824</v>
      </c>
      <c r="G1294" s="88" t="s">
        <v>4825</v>
      </c>
      <c r="H1294" s="4" t="s">
        <v>4826</v>
      </c>
      <c r="I1294" s="29" t="s">
        <v>4827</v>
      </c>
    </row>
    <row r="1295" spans="1:9" ht="25.5" x14ac:dyDescent="0.25">
      <c r="A1295" s="156"/>
      <c r="B1295" s="156"/>
      <c r="C1295" s="13" t="s">
        <v>4828</v>
      </c>
      <c r="D1295" s="13" t="s">
        <v>4828</v>
      </c>
      <c r="E1295" s="13" t="s">
        <v>4828</v>
      </c>
      <c r="F1295" s="13" t="s">
        <v>4828</v>
      </c>
      <c r="G1295" s="13" t="s">
        <v>4828</v>
      </c>
      <c r="H1295" s="13" t="s">
        <v>4828</v>
      </c>
      <c r="I1295" s="30"/>
    </row>
    <row r="1296" spans="1:9" ht="15.75" x14ac:dyDescent="0.25">
      <c r="A1296" s="23">
        <v>1141</v>
      </c>
      <c r="B1296" s="6" t="str">
        <f>CADASTROS!$C$789</f>
        <v>Joselito Ferreira da Silva</v>
      </c>
      <c r="C1296" s="159"/>
      <c r="D1296" s="159"/>
      <c r="E1296" s="159"/>
      <c r="F1296" s="159"/>
      <c r="G1296" s="159"/>
      <c r="H1296" s="159"/>
      <c r="I1296" s="7">
        <f>SUM(C1296+D1296+E1296+F1296+G1296+H1296)</f>
        <v>0</v>
      </c>
    </row>
    <row r="1297" spans="1:9" ht="15.75" x14ac:dyDescent="0.25">
      <c r="A1297" s="23">
        <v>1142</v>
      </c>
      <c r="B1297" s="6" t="str">
        <f>CADASTROS!$C$790</f>
        <v>Silvana Pires dos Santos</v>
      </c>
      <c r="C1297" s="159"/>
      <c r="D1297" s="159"/>
      <c r="E1297" s="159"/>
      <c r="F1297" s="159"/>
      <c r="G1297" s="159"/>
      <c r="H1297" s="159"/>
      <c r="I1297" s="7">
        <f t="shared" ref="I1297:I1322" si="114">SUM(C1297+D1297+E1297+F1297+G1297+H1297)</f>
        <v>0</v>
      </c>
    </row>
    <row r="1298" spans="1:9" ht="15.75" x14ac:dyDescent="0.25">
      <c r="A1298" s="23">
        <v>1143</v>
      </c>
      <c r="B1298" s="6" t="str">
        <f>CADASTROS!$C$791</f>
        <v>Catiene de Souza</v>
      </c>
      <c r="C1298" s="159"/>
      <c r="D1298" s="159"/>
      <c r="E1298" s="159"/>
      <c r="F1298" s="159"/>
      <c r="G1298" s="159"/>
      <c r="H1298" s="159"/>
      <c r="I1298" s="7">
        <f t="shared" si="114"/>
        <v>0</v>
      </c>
    </row>
    <row r="1299" spans="1:9" ht="15.75" x14ac:dyDescent="0.25">
      <c r="A1299" s="23">
        <v>1144</v>
      </c>
      <c r="B1299" s="6" t="str">
        <f>CADASTROS!$C$792</f>
        <v>Maurício Alves de Araújo</v>
      </c>
      <c r="C1299" s="159"/>
      <c r="D1299" s="159"/>
      <c r="E1299" s="159"/>
      <c r="F1299" s="159"/>
      <c r="G1299" s="159"/>
      <c r="H1299" s="159"/>
      <c r="I1299" s="7">
        <f t="shared" si="114"/>
        <v>0</v>
      </c>
    </row>
    <row r="1300" spans="1:9" ht="15.75" x14ac:dyDescent="0.25">
      <c r="A1300" s="23">
        <v>1145</v>
      </c>
      <c r="B1300" s="6" t="str">
        <f>CADASTROS!$C$793</f>
        <v>Lucas José Alves</v>
      </c>
      <c r="C1300" s="159"/>
      <c r="D1300" s="159"/>
      <c r="E1300" s="159"/>
      <c r="F1300" s="159"/>
      <c r="G1300" s="159"/>
      <c r="H1300" s="159"/>
      <c r="I1300" s="7">
        <f t="shared" si="114"/>
        <v>0</v>
      </c>
    </row>
    <row r="1301" spans="1:9" ht="15.75" x14ac:dyDescent="0.25">
      <c r="A1301" s="23">
        <v>1146</v>
      </c>
      <c r="B1301" s="6" t="str">
        <f>CADASTROS!$C$794</f>
        <v>Vilmário Alves Queiróz</v>
      </c>
      <c r="C1301" s="159"/>
      <c r="D1301" s="159"/>
      <c r="E1301" s="159"/>
      <c r="F1301" s="159"/>
      <c r="G1301" s="159"/>
      <c r="H1301" s="159"/>
      <c r="I1301" s="7">
        <f t="shared" si="114"/>
        <v>0</v>
      </c>
    </row>
    <row r="1302" spans="1:9" ht="15.75" x14ac:dyDescent="0.25">
      <c r="A1302" s="23">
        <v>1147</v>
      </c>
      <c r="B1302" s="6" t="str">
        <f>CADASTROS!$C$795</f>
        <v>Marcelo Alves Queiróz</v>
      </c>
      <c r="C1302" s="159"/>
      <c r="D1302" s="159"/>
      <c r="E1302" s="159"/>
      <c r="F1302" s="159"/>
      <c r="G1302" s="159"/>
      <c r="H1302" s="159"/>
      <c r="I1302" s="7">
        <f t="shared" si="114"/>
        <v>0</v>
      </c>
    </row>
    <row r="1303" spans="1:9" ht="15.75" x14ac:dyDescent="0.25">
      <c r="A1303" s="23">
        <v>1148</v>
      </c>
      <c r="B1303" s="6" t="str">
        <f>CADASTROS!$C$796</f>
        <v>Neilton Dourado de Oliveira</v>
      </c>
      <c r="C1303" s="159"/>
      <c r="D1303" s="159"/>
      <c r="E1303" s="159"/>
      <c r="F1303" s="159"/>
      <c r="G1303" s="159"/>
      <c r="H1303" s="159"/>
      <c r="I1303" s="7">
        <f t="shared" si="114"/>
        <v>0</v>
      </c>
    </row>
    <row r="1304" spans="1:9" ht="15.75" x14ac:dyDescent="0.25">
      <c r="A1304" s="23">
        <v>1149</v>
      </c>
      <c r="B1304" s="6" t="str">
        <f>CADASTROS!$C$797</f>
        <v>Tailan Bispo Baraúna</v>
      </c>
      <c r="C1304" s="159"/>
      <c r="D1304" s="159"/>
      <c r="E1304" s="159"/>
      <c r="F1304" s="159"/>
      <c r="G1304" s="159"/>
      <c r="H1304" s="159"/>
      <c r="I1304" s="7">
        <f t="shared" si="114"/>
        <v>0</v>
      </c>
    </row>
    <row r="1305" spans="1:9" ht="15.75" x14ac:dyDescent="0.25">
      <c r="A1305" s="23">
        <v>1150</v>
      </c>
      <c r="B1305" s="6" t="str">
        <f>CADASTROS!$C$798</f>
        <v>Reinacir Dourado da Cruz</v>
      </c>
      <c r="C1305" s="159"/>
      <c r="D1305" s="159"/>
      <c r="E1305" s="159"/>
      <c r="F1305" s="159"/>
      <c r="G1305" s="159"/>
      <c r="H1305" s="159"/>
      <c r="I1305" s="7">
        <f t="shared" si="114"/>
        <v>0</v>
      </c>
    </row>
    <row r="1306" spans="1:9" ht="15.75" x14ac:dyDescent="0.25">
      <c r="A1306" s="23">
        <v>1151</v>
      </c>
      <c r="B1306" s="6" t="str">
        <f>CADASTROS!$C$799</f>
        <v>José dos Santos</v>
      </c>
      <c r="C1306" s="159"/>
      <c r="D1306" s="159"/>
      <c r="E1306" s="159"/>
      <c r="F1306" s="159"/>
      <c r="G1306" s="159"/>
      <c r="H1306" s="159"/>
      <c r="I1306" s="7">
        <f t="shared" si="114"/>
        <v>0</v>
      </c>
    </row>
    <row r="1307" spans="1:9" ht="15.75" x14ac:dyDescent="0.25">
      <c r="A1307" s="23">
        <v>1152</v>
      </c>
      <c r="B1307" s="6" t="str">
        <f>CADASTROS!$C$800</f>
        <v>Inácio Pereira de A Neto</v>
      </c>
      <c r="C1307" s="159"/>
      <c r="D1307" s="159"/>
      <c r="E1307" s="159"/>
      <c r="F1307" s="159"/>
      <c r="G1307" s="159"/>
      <c r="H1307" s="159"/>
      <c r="I1307" s="7">
        <f t="shared" si="114"/>
        <v>0</v>
      </c>
    </row>
    <row r="1308" spans="1:9" ht="15.75" x14ac:dyDescent="0.25">
      <c r="A1308" s="23">
        <v>1153</v>
      </c>
      <c r="B1308" s="6" t="str">
        <f>CADASTROS!$C$801</f>
        <v>Ronivan Maria de Queiróz</v>
      </c>
      <c r="C1308" s="159"/>
      <c r="D1308" s="159"/>
      <c r="E1308" s="159"/>
      <c r="F1308" s="159"/>
      <c r="G1308" s="159"/>
      <c r="H1308" s="159"/>
      <c r="I1308" s="7">
        <f t="shared" si="114"/>
        <v>0</v>
      </c>
    </row>
    <row r="1309" spans="1:9" ht="15.75" x14ac:dyDescent="0.25">
      <c r="A1309" s="23">
        <v>1154</v>
      </c>
      <c r="B1309" s="6" t="str">
        <f>CADASTROS!$C$802</f>
        <v>Mirian dos Reis Souza</v>
      </c>
      <c r="C1309" s="159"/>
      <c r="D1309" s="159"/>
      <c r="E1309" s="159"/>
      <c r="F1309" s="159"/>
      <c r="G1309" s="159"/>
      <c r="H1309" s="159"/>
      <c r="I1309" s="7">
        <f t="shared" si="114"/>
        <v>0</v>
      </c>
    </row>
    <row r="1310" spans="1:9" ht="15.75" x14ac:dyDescent="0.25">
      <c r="A1310" s="23">
        <v>1155</v>
      </c>
      <c r="B1310" s="6" t="str">
        <f>CADASTROS!$C$803</f>
        <v>Lucieide Rosa Barauna</v>
      </c>
      <c r="C1310" s="159"/>
      <c r="D1310" s="159"/>
      <c r="E1310" s="159"/>
      <c r="F1310" s="159"/>
      <c r="G1310" s="159"/>
      <c r="H1310" s="159"/>
      <c r="I1310" s="7">
        <f t="shared" si="114"/>
        <v>0</v>
      </c>
    </row>
    <row r="1311" spans="1:9" ht="15.75" x14ac:dyDescent="0.25">
      <c r="A1311" s="23">
        <v>1156</v>
      </c>
      <c r="B1311" s="6" t="str">
        <f>CADASTROS!$C$804</f>
        <v>Deilton Pereira de Jesus</v>
      </c>
      <c r="C1311" s="159"/>
      <c r="D1311" s="159"/>
      <c r="E1311" s="159"/>
      <c r="F1311" s="159"/>
      <c r="G1311" s="159"/>
      <c r="H1311" s="159"/>
      <c r="I1311" s="7">
        <f t="shared" si="114"/>
        <v>0</v>
      </c>
    </row>
    <row r="1312" spans="1:9" ht="15.75" x14ac:dyDescent="0.25">
      <c r="A1312" s="23">
        <v>1157</v>
      </c>
      <c r="B1312" s="6" t="str">
        <f>CADASTROS!$C$805</f>
        <v>Ednei Jesus dos Santos</v>
      </c>
      <c r="C1312" s="159"/>
      <c r="D1312" s="159"/>
      <c r="E1312" s="159"/>
      <c r="F1312" s="159"/>
      <c r="G1312" s="159"/>
      <c r="H1312" s="159"/>
      <c r="I1312" s="7">
        <f t="shared" si="114"/>
        <v>0</v>
      </c>
    </row>
    <row r="1313" spans="1:9" ht="15.75" x14ac:dyDescent="0.25">
      <c r="A1313" s="23">
        <v>1158</v>
      </c>
      <c r="B1313" s="6" t="str">
        <f>CADASTROS!$C$806</f>
        <v>Josivan Teles de Oliveira</v>
      </c>
      <c r="C1313" s="159"/>
      <c r="D1313" s="159"/>
      <c r="E1313" s="159"/>
      <c r="F1313" s="159"/>
      <c r="G1313" s="159"/>
      <c r="H1313" s="159"/>
      <c r="I1313" s="7">
        <f t="shared" si="114"/>
        <v>0</v>
      </c>
    </row>
    <row r="1314" spans="1:9" ht="15.75" x14ac:dyDescent="0.25">
      <c r="A1314" s="23">
        <v>1159</v>
      </c>
      <c r="B1314" s="6" t="str">
        <f>CADASTROS!$C$807</f>
        <v>Claudinei Fidelis da Anunciação</v>
      </c>
      <c r="C1314" s="159"/>
      <c r="D1314" s="159"/>
      <c r="E1314" s="159"/>
      <c r="F1314" s="159"/>
      <c r="G1314" s="159"/>
      <c r="H1314" s="159"/>
      <c r="I1314" s="7">
        <f t="shared" si="114"/>
        <v>0</v>
      </c>
    </row>
    <row r="1315" spans="1:9" ht="15.75" x14ac:dyDescent="0.25">
      <c r="A1315" s="23">
        <v>1160</v>
      </c>
      <c r="B1315" s="6" t="str">
        <f>CADASTROS!$C$808</f>
        <v>Laise Ferreira Bispo</v>
      </c>
      <c r="C1315" s="159"/>
      <c r="D1315" s="159"/>
      <c r="E1315" s="159"/>
      <c r="F1315" s="159"/>
      <c r="G1315" s="159"/>
      <c r="H1315" s="159"/>
      <c r="I1315" s="7">
        <f t="shared" si="114"/>
        <v>0</v>
      </c>
    </row>
    <row r="1316" spans="1:9" ht="15.75" x14ac:dyDescent="0.25">
      <c r="A1316" s="23">
        <v>1161</v>
      </c>
      <c r="B1316" s="6" t="str">
        <f>CADASTROS!$C$809</f>
        <v>Doralina Barbosa de Souza</v>
      </c>
      <c r="C1316" s="159"/>
      <c r="D1316" s="159"/>
      <c r="E1316" s="159"/>
      <c r="F1316" s="159"/>
      <c r="G1316" s="159"/>
      <c r="H1316" s="159"/>
      <c r="I1316" s="7">
        <f t="shared" si="114"/>
        <v>0</v>
      </c>
    </row>
    <row r="1317" spans="1:9" ht="15.75" x14ac:dyDescent="0.25">
      <c r="A1317" s="23">
        <v>1162</v>
      </c>
      <c r="B1317" s="6" t="str">
        <f>CADASTROS!$C$810</f>
        <v>Jocirlei Barros de Brito</v>
      </c>
      <c r="C1317" s="159"/>
      <c r="D1317" s="159"/>
      <c r="E1317" s="159"/>
      <c r="F1317" s="159"/>
      <c r="G1317" s="159"/>
      <c r="H1317" s="159"/>
      <c r="I1317" s="7">
        <f t="shared" si="114"/>
        <v>0</v>
      </c>
    </row>
    <row r="1318" spans="1:9" ht="15.75" x14ac:dyDescent="0.25">
      <c r="A1318" s="23">
        <v>1163</v>
      </c>
      <c r="B1318" s="6" t="str">
        <f>CADASTROS!$C$811</f>
        <v>Vagna Batista de Oliveira</v>
      </c>
      <c r="C1318" s="159"/>
      <c r="D1318" s="159"/>
      <c r="E1318" s="159"/>
      <c r="F1318" s="159"/>
      <c r="G1318" s="159"/>
      <c r="H1318" s="159"/>
      <c r="I1318" s="7">
        <f t="shared" si="114"/>
        <v>0</v>
      </c>
    </row>
    <row r="1319" spans="1:9" ht="15.75" x14ac:dyDescent="0.25">
      <c r="A1319" s="23">
        <v>1164</v>
      </c>
      <c r="B1319" s="6" t="str">
        <f>CADASTROS!$C$857</f>
        <v>Francisco de Sousa Lima</v>
      </c>
      <c r="C1319" s="159"/>
      <c r="D1319" s="159"/>
      <c r="E1319" s="159"/>
      <c r="F1319" s="159"/>
      <c r="G1319" s="159"/>
      <c r="H1319" s="159"/>
      <c r="I1319" s="7">
        <f t="shared" si="114"/>
        <v>0</v>
      </c>
    </row>
    <row r="1320" spans="1:9" ht="15.75" x14ac:dyDescent="0.25">
      <c r="A1320" s="23">
        <v>1165</v>
      </c>
      <c r="B1320" s="6" t="str">
        <f>CADASTROS!$C$858</f>
        <v>Marinalva Silva de Brito</v>
      </c>
      <c r="C1320" s="159"/>
      <c r="D1320" s="159"/>
      <c r="E1320" s="159"/>
      <c r="F1320" s="159"/>
      <c r="G1320" s="159"/>
      <c r="H1320" s="159"/>
      <c r="I1320" s="7">
        <f t="shared" si="114"/>
        <v>0</v>
      </c>
    </row>
    <row r="1321" spans="1:9" ht="15.75" x14ac:dyDescent="0.25">
      <c r="A1321" s="23">
        <v>1166</v>
      </c>
      <c r="B1321" s="6" t="str">
        <f>CADASTROS!$C$859</f>
        <v>Miguel de Jesus Oliveira</v>
      </c>
      <c r="C1321" s="159"/>
      <c r="D1321" s="159">
        <v>19.5</v>
      </c>
      <c r="E1321" s="159">
        <v>18.5</v>
      </c>
      <c r="F1321" s="159"/>
      <c r="G1321" s="159"/>
      <c r="H1321" s="159"/>
      <c r="I1321" s="7">
        <f t="shared" si="114"/>
        <v>38</v>
      </c>
    </row>
    <row r="1322" spans="1:9" ht="15.75" x14ac:dyDescent="0.25">
      <c r="A1322" s="23">
        <v>1167</v>
      </c>
      <c r="B1322" s="6" t="str">
        <f>CADASTROS!$C$860</f>
        <v>Ricardo Alves de Souza</v>
      </c>
      <c r="C1322" s="159"/>
      <c r="D1322" s="159"/>
      <c r="E1322" s="159"/>
      <c r="F1322" s="159"/>
      <c r="G1322" s="159"/>
      <c r="H1322" s="159"/>
      <c r="I1322" s="7">
        <f t="shared" si="114"/>
        <v>0</v>
      </c>
    </row>
    <row r="1323" spans="1:9" ht="15.75" x14ac:dyDescent="0.25">
      <c r="B1323" s="6"/>
      <c r="C1323" s="159">
        <f>SUM(C1296:C1322)</f>
        <v>0</v>
      </c>
      <c r="D1323" s="159">
        <f t="shared" ref="D1323:H1323" si="115">SUM(D1296:D1322)</f>
        <v>19.5</v>
      </c>
      <c r="E1323" s="159">
        <f t="shared" si="115"/>
        <v>18.5</v>
      </c>
      <c r="F1323" s="159">
        <f t="shared" si="115"/>
        <v>0</v>
      </c>
      <c r="G1323" s="159">
        <f t="shared" si="115"/>
        <v>0</v>
      </c>
      <c r="H1323" s="159">
        <f t="shared" si="115"/>
        <v>0</v>
      </c>
      <c r="I1323" s="159">
        <f>SUM(I1296:I1322)</f>
        <v>38</v>
      </c>
    </row>
    <row r="1325" spans="1:9" ht="15.75" x14ac:dyDescent="0.25">
      <c r="B1325" s="8" t="s">
        <v>4830</v>
      </c>
      <c r="C1325" s="159"/>
      <c r="D1325" s="159"/>
      <c r="E1325" s="159"/>
      <c r="F1325" s="159"/>
      <c r="G1325" s="159"/>
      <c r="H1325" s="159"/>
      <c r="I1325" s="159">
        <f>SUM(C1325:H1325)</f>
        <v>0</v>
      </c>
    </row>
    <row r="1326" spans="1:9" x14ac:dyDescent="0.25">
      <c r="B1326" s="167"/>
    </row>
    <row r="1327" spans="1:9" ht="15.75" x14ac:dyDescent="0.25">
      <c r="B1327" s="8" t="s">
        <v>4831</v>
      </c>
      <c r="C1327" s="9" t="e">
        <f>C1323/C1325</f>
        <v>#DIV/0!</v>
      </c>
      <c r="D1327" s="9" t="e">
        <f t="shared" ref="D1327:H1327" si="116">D1323/D1325</f>
        <v>#DIV/0!</v>
      </c>
      <c r="E1327" s="9" t="e">
        <f t="shared" si="116"/>
        <v>#DIV/0!</v>
      </c>
      <c r="F1327" s="9" t="e">
        <f t="shared" si="116"/>
        <v>#DIV/0!</v>
      </c>
      <c r="G1327" s="9" t="e">
        <f t="shared" si="116"/>
        <v>#DIV/0!</v>
      </c>
      <c r="H1327" s="9" t="e">
        <f t="shared" si="116"/>
        <v>#DIV/0!</v>
      </c>
      <c r="I1327" s="9"/>
    </row>
    <row r="1328" spans="1:9" ht="15.75" x14ac:dyDescent="0.25">
      <c r="B1328" s="163"/>
      <c r="C1328" s="10"/>
      <c r="D1328" s="10"/>
      <c r="E1328" s="10"/>
      <c r="F1328" s="10"/>
      <c r="G1328" s="10"/>
      <c r="H1328" s="163"/>
      <c r="I1328" s="163"/>
    </row>
    <row r="1329" spans="1:9" ht="15.75" x14ac:dyDescent="0.25">
      <c r="B1329" s="8" t="s">
        <v>4832</v>
      </c>
      <c r="C1329" s="159"/>
      <c r="D1329" s="159"/>
      <c r="E1329" s="6"/>
      <c r="F1329" s="6"/>
      <c r="G1329" s="6"/>
      <c r="H1329" s="6"/>
      <c r="I1329" s="11"/>
    </row>
    <row r="1332" spans="1:9" ht="33.75" x14ac:dyDescent="0.25">
      <c r="B1332" s="187" t="s">
        <v>4842</v>
      </c>
      <c r="C1332" s="188"/>
      <c r="D1332" s="188"/>
      <c r="E1332" s="188"/>
      <c r="F1332" s="188"/>
      <c r="G1332" s="188"/>
      <c r="H1332" s="188"/>
      <c r="I1332" s="189"/>
    </row>
    <row r="1333" spans="1:9" ht="47.25" x14ac:dyDescent="0.25">
      <c r="A1333" s="155" t="s">
        <v>4819</v>
      </c>
      <c r="B1333" s="155" t="s">
        <v>4820</v>
      </c>
      <c r="C1333" s="4" t="s">
        <v>4821</v>
      </c>
      <c r="D1333" s="4" t="s">
        <v>4822</v>
      </c>
      <c r="E1333" s="88" t="s">
        <v>4823</v>
      </c>
      <c r="F1333" s="88" t="s">
        <v>4824</v>
      </c>
      <c r="G1333" s="88" t="s">
        <v>4825</v>
      </c>
      <c r="H1333" s="4" t="s">
        <v>4826</v>
      </c>
      <c r="I1333" s="29" t="s">
        <v>4827</v>
      </c>
    </row>
    <row r="1334" spans="1:9" ht="25.5" x14ac:dyDescent="0.25">
      <c r="A1334" s="156"/>
      <c r="B1334" s="156"/>
      <c r="C1334" s="13" t="s">
        <v>4828</v>
      </c>
      <c r="D1334" s="13" t="s">
        <v>4828</v>
      </c>
      <c r="E1334" s="13" t="s">
        <v>4828</v>
      </c>
      <c r="F1334" s="13" t="s">
        <v>4828</v>
      </c>
      <c r="G1334" s="13" t="s">
        <v>4828</v>
      </c>
      <c r="H1334" s="13" t="s">
        <v>4828</v>
      </c>
      <c r="I1334" s="30"/>
    </row>
    <row r="1335" spans="1:9" ht="15.75" x14ac:dyDescent="0.25">
      <c r="A1335" s="23">
        <v>1114</v>
      </c>
      <c r="B1335" s="6" t="str">
        <f>CADASTROS!$C$830</f>
        <v>Edinália Nascimento de Araújo</v>
      </c>
      <c r="C1335" s="159"/>
      <c r="D1335" s="159"/>
      <c r="E1335" s="159"/>
      <c r="F1335" s="159"/>
      <c r="G1335" s="159"/>
      <c r="H1335" s="159"/>
      <c r="I1335" s="7">
        <f>SUM(C1335+D1335+E1335+F1335+G1335+H1335)</f>
        <v>0</v>
      </c>
    </row>
    <row r="1336" spans="1:9" ht="15.75" x14ac:dyDescent="0.25">
      <c r="A1336" s="23">
        <v>1115</v>
      </c>
      <c r="B1336" s="6" t="str">
        <f>CADASTROS!$C$831</f>
        <v>Edileuza Sena Pindobeiro</v>
      </c>
      <c r="C1336" s="159"/>
      <c r="D1336" s="159"/>
      <c r="E1336" s="159"/>
      <c r="F1336" s="159"/>
      <c r="G1336" s="159"/>
      <c r="H1336" s="159"/>
      <c r="I1336" s="7">
        <f t="shared" ref="I1336:I1361" si="117">SUM(C1336+D1336+E1336+F1336+G1336+H1336)</f>
        <v>0</v>
      </c>
    </row>
    <row r="1337" spans="1:9" ht="15.75" x14ac:dyDescent="0.25">
      <c r="A1337" s="23">
        <v>1116</v>
      </c>
      <c r="B1337" s="6" t="str">
        <f>CADASTROS!$C$832</f>
        <v>Marinalva de Jesus</v>
      </c>
      <c r="C1337" s="159"/>
      <c r="D1337" s="159"/>
      <c r="E1337" s="159"/>
      <c r="F1337" s="159"/>
      <c r="G1337" s="159"/>
      <c r="H1337" s="159"/>
      <c r="I1337" s="7">
        <f t="shared" si="117"/>
        <v>0</v>
      </c>
    </row>
    <row r="1338" spans="1:9" ht="15.75" x14ac:dyDescent="0.25">
      <c r="A1338" s="23">
        <v>1117</v>
      </c>
      <c r="B1338" s="6" t="str">
        <f>CADASTROS!$C$833</f>
        <v>Renato Haine Campos</v>
      </c>
      <c r="C1338" s="159"/>
      <c r="D1338" s="159"/>
      <c r="E1338" s="159"/>
      <c r="F1338" s="159"/>
      <c r="G1338" s="159"/>
      <c r="H1338" s="159"/>
      <c r="I1338" s="7">
        <f t="shared" si="117"/>
        <v>0</v>
      </c>
    </row>
    <row r="1339" spans="1:9" ht="15.75" x14ac:dyDescent="0.25">
      <c r="A1339" s="23">
        <v>1118</v>
      </c>
      <c r="B1339" s="6" t="str">
        <f>CADASTROS!$C$834</f>
        <v>Jardinilza Gonçalves da Silva</v>
      </c>
      <c r="C1339" s="159"/>
      <c r="D1339" s="159"/>
      <c r="E1339" s="159"/>
      <c r="F1339" s="159"/>
      <c r="G1339" s="159"/>
      <c r="H1339" s="159"/>
      <c r="I1339" s="7">
        <f t="shared" si="117"/>
        <v>0</v>
      </c>
    </row>
    <row r="1340" spans="1:9" ht="15.75" x14ac:dyDescent="0.25">
      <c r="A1340" s="23">
        <v>1119</v>
      </c>
      <c r="B1340" s="6" t="str">
        <f>CADASTROS!$C$835</f>
        <v>Cristiane da Silva Santiago</v>
      </c>
      <c r="C1340" s="159"/>
      <c r="D1340" s="159"/>
      <c r="E1340" s="159"/>
      <c r="F1340" s="159"/>
      <c r="G1340" s="159"/>
      <c r="H1340" s="159"/>
      <c r="I1340" s="7">
        <f t="shared" si="117"/>
        <v>0</v>
      </c>
    </row>
    <row r="1341" spans="1:9" ht="15.75" x14ac:dyDescent="0.25">
      <c r="A1341" s="23">
        <v>1120</v>
      </c>
      <c r="B1341" s="6" t="str">
        <f>CADASTROS!$C$836</f>
        <v>Adailto Almeida de Souza</v>
      </c>
      <c r="C1341" s="159"/>
      <c r="D1341" s="159">
        <v>20</v>
      </c>
      <c r="E1341" s="159">
        <v>19</v>
      </c>
      <c r="F1341" s="159"/>
      <c r="G1341" s="159"/>
      <c r="H1341" s="159"/>
      <c r="I1341" s="7">
        <f t="shared" si="117"/>
        <v>39</v>
      </c>
    </row>
    <row r="1342" spans="1:9" ht="15.75" x14ac:dyDescent="0.25">
      <c r="A1342" s="23">
        <v>1121</v>
      </c>
      <c r="B1342" s="6" t="str">
        <f>CADASTROS!$C$837</f>
        <v>Manoel Fausto de Sousa</v>
      </c>
      <c r="C1342" s="159"/>
      <c r="D1342" s="159"/>
      <c r="E1342" s="159"/>
      <c r="F1342" s="159"/>
      <c r="G1342" s="159"/>
      <c r="H1342" s="159"/>
      <c r="I1342" s="7">
        <f t="shared" si="117"/>
        <v>0</v>
      </c>
    </row>
    <row r="1343" spans="1:9" ht="15.75" x14ac:dyDescent="0.25">
      <c r="A1343" s="23">
        <v>1122</v>
      </c>
      <c r="B1343" s="6" t="str">
        <f>CADASTROS!$C$838</f>
        <v>José Rosa de Sousa</v>
      </c>
      <c r="C1343" s="159"/>
      <c r="D1343" s="159"/>
      <c r="E1343" s="159"/>
      <c r="F1343" s="159"/>
      <c r="G1343" s="159"/>
      <c r="H1343" s="159"/>
      <c r="I1343" s="7">
        <f t="shared" si="117"/>
        <v>0</v>
      </c>
    </row>
    <row r="1344" spans="1:9" ht="15.75" x14ac:dyDescent="0.25">
      <c r="A1344" s="23">
        <v>1123</v>
      </c>
      <c r="B1344" s="6" t="str">
        <f>CADASTROS!$C$839</f>
        <v>Jaqueline de S. Carvalho</v>
      </c>
      <c r="C1344" s="159"/>
      <c r="D1344" s="159"/>
      <c r="E1344" s="159"/>
      <c r="F1344" s="159"/>
      <c r="G1344" s="159"/>
      <c r="H1344" s="159"/>
      <c r="I1344" s="7">
        <f t="shared" si="117"/>
        <v>0</v>
      </c>
    </row>
    <row r="1345" spans="1:9" ht="15.75" x14ac:dyDescent="0.25">
      <c r="A1345" s="23">
        <v>1124</v>
      </c>
      <c r="B1345" s="6" t="str">
        <f>CADASTROS!$C$840</f>
        <v>João dos Santos Lopes</v>
      </c>
      <c r="C1345" s="159"/>
      <c r="D1345" s="159"/>
      <c r="E1345" s="159"/>
      <c r="F1345" s="159"/>
      <c r="G1345" s="159"/>
      <c r="H1345" s="159"/>
      <c r="I1345" s="7">
        <f t="shared" si="117"/>
        <v>0</v>
      </c>
    </row>
    <row r="1346" spans="1:9" ht="15.75" x14ac:dyDescent="0.25">
      <c r="A1346" s="23">
        <v>1125</v>
      </c>
      <c r="B1346" s="6" t="str">
        <f>CADASTROS!$C$841</f>
        <v>Adeni L. do Nascimento</v>
      </c>
      <c r="C1346" s="159"/>
      <c r="D1346" s="159"/>
      <c r="E1346" s="159"/>
      <c r="F1346" s="159"/>
      <c r="G1346" s="159"/>
      <c r="H1346" s="159"/>
      <c r="I1346" s="7">
        <f t="shared" si="117"/>
        <v>0</v>
      </c>
    </row>
    <row r="1347" spans="1:9" ht="15.75" x14ac:dyDescent="0.25">
      <c r="A1347" s="23">
        <v>1126</v>
      </c>
      <c r="B1347" s="6" t="str">
        <f>CADASTROS!$C$842</f>
        <v>Odair Jesus Silva Santos</v>
      </c>
      <c r="C1347" s="159"/>
      <c r="D1347" s="159"/>
      <c r="E1347" s="159"/>
      <c r="F1347" s="159"/>
      <c r="G1347" s="159"/>
      <c r="H1347" s="159"/>
      <c r="I1347" s="7">
        <f t="shared" si="117"/>
        <v>0</v>
      </c>
    </row>
    <row r="1348" spans="1:9" ht="15.75" x14ac:dyDescent="0.25">
      <c r="A1348" s="23">
        <v>1127</v>
      </c>
      <c r="B1348" s="6" t="str">
        <f>CADASTROS!$C$843</f>
        <v>Reginalda Carlos da Silva</v>
      </c>
      <c r="C1348" s="159"/>
      <c r="D1348" s="159"/>
      <c r="E1348" s="159"/>
      <c r="F1348" s="159"/>
      <c r="G1348" s="159"/>
      <c r="H1348" s="159"/>
      <c r="I1348" s="7">
        <f t="shared" si="117"/>
        <v>0</v>
      </c>
    </row>
    <row r="1349" spans="1:9" ht="15.75" x14ac:dyDescent="0.25">
      <c r="A1349" s="23">
        <v>1128</v>
      </c>
      <c r="B1349" s="6" t="str">
        <f>CADASTROS!$C$844</f>
        <v>Renivaldo Carlos da Silva</v>
      </c>
      <c r="C1349" s="159"/>
      <c r="D1349" s="159"/>
      <c r="E1349" s="159"/>
      <c r="F1349" s="159"/>
      <c r="G1349" s="159"/>
      <c r="H1349" s="159"/>
      <c r="I1349" s="7">
        <f t="shared" si="117"/>
        <v>0</v>
      </c>
    </row>
    <row r="1350" spans="1:9" ht="15.75" x14ac:dyDescent="0.25">
      <c r="A1350" s="23">
        <v>1129</v>
      </c>
      <c r="B1350" s="6" t="str">
        <f>CADASTROS!$C$845</f>
        <v>Estácio Cedro de Souza</v>
      </c>
      <c r="C1350" s="159"/>
      <c r="D1350" s="159"/>
      <c r="E1350" s="159"/>
      <c r="F1350" s="159"/>
      <c r="G1350" s="159"/>
      <c r="H1350" s="159"/>
      <c r="I1350" s="7">
        <f t="shared" si="117"/>
        <v>0</v>
      </c>
    </row>
    <row r="1351" spans="1:9" ht="15.75" x14ac:dyDescent="0.25">
      <c r="A1351" s="23">
        <v>1130</v>
      </c>
      <c r="B1351" s="6" t="str">
        <f>CADASTROS!$C$846</f>
        <v>Domingos Alves Santana</v>
      </c>
      <c r="C1351" s="159"/>
      <c r="D1351" s="159"/>
      <c r="E1351" s="159"/>
      <c r="F1351" s="159"/>
      <c r="G1351" s="159"/>
      <c r="H1351" s="159"/>
      <c r="I1351" s="7">
        <f t="shared" si="117"/>
        <v>0</v>
      </c>
    </row>
    <row r="1352" spans="1:9" ht="15.75" x14ac:dyDescent="0.25">
      <c r="A1352" s="23">
        <v>1131</v>
      </c>
      <c r="B1352" s="6" t="str">
        <f>CADASTROS!$C$847</f>
        <v>Arestides Francisco de Sena</v>
      </c>
      <c r="C1352" s="159"/>
      <c r="D1352" s="159"/>
      <c r="E1352" s="159"/>
      <c r="F1352" s="159"/>
      <c r="G1352" s="159"/>
      <c r="H1352" s="159"/>
      <c r="I1352" s="7">
        <f t="shared" si="117"/>
        <v>0</v>
      </c>
    </row>
    <row r="1353" spans="1:9" ht="15.75" x14ac:dyDescent="0.25">
      <c r="A1353" s="23">
        <v>1132</v>
      </c>
      <c r="B1353" s="6" t="str">
        <f>CADASTROS!$C$848</f>
        <v>Marenilde Nascimento dos</v>
      </c>
      <c r="C1353" s="159"/>
      <c r="D1353" s="159"/>
      <c r="E1353" s="159"/>
      <c r="F1353" s="159"/>
      <c r="G1353" s="159"/>
      <c r="H1353" s="159"/>
      <c r="I1353" s="7">
        <f t="shared" si="117"/>
        <v>0</v>
      </c>
    </row>
    <row r="1354" spans="1:9" ht="15.75" x14ac:dyDescent="0.25">
      <c r="A1354" s="23">
        <v>1133</v>
      </c>
      <c r="B1354" s="6" t="str">
        <f>CADASTROS!$C$849</f>
        <v>Maria Rosa Dourado</v>
      </c>
      <c r="C1354" s="159"/>
      <c r="D1354" s="159"/>
      <c r="E1354" s="159"/>
      <c r="F1354" s="159"/>
      <c r="G1354" s="159">
        <v>13</v>
      </c>
      <c r="H1354" s="159"/>
      <c r="I1354" s="7">
        <f t="shared" si="117"/>
        <v>13</v>
      </c>
    </row>
    <row r="1355" spans="1:9" ht="15.75" x14ac:dyDescent="0.25">
      <c r="A1355" s="23">
        <v>1134</v>
      </c>
      <c r="B1355" s="6" t="str">
        <f>CADASTROS!$C$850</f>
        <v>Edleia Medeiros de Souza</v>
      </c>
      <c r="C1355" s="159"/>
      <c r="D1355" s="159"/>
      <c r="E1355" s="159"/>
      <c r="F1355" s="159"/>
      <c r="G1355" s="159"/>
      <c r="H1355" s="159"/>
      <c r="I1355" s="7">
        <f t="shared" si="117"/>
        <v>0</v>
      </c>
    </row>
    <row r="1356" spans="1:9" ht="15.75" x14ac:dyDescent="0.25">
      <c r="A1356" s="23">
        <v>1135</v>
      </c>
      <c r="B1356" s="6" t="str">
        <f>CADASTROS!$C$851</f>
        <v>Liliane Silva Brito</v>
      </c>
      <c r="C1356" s="159"/>
      <c r="D1356" s="159"/>
      <c r="E1356" s="159"/>
      <c r="F1356" s="159"/>
      <c r="G1356" s="159"/>
      <c r="H1356" s="159"/>
      <c r="I1356" s="7">
        <f t="shared" si="117"/>
        <v>0</v>
      </c>
    </row>
    <row r="1357" spans="1:9" ht="15.75" x14ac:dyDescent="0.25">
      <c r="A1357" s="23">
        <v>1136</v>
      </c>
      <c r="B1357" s="6" t="str">
        <f>CADASTROS!$C$852</f>
        <v>José Wilton Magalhães</v>
      </c>
      <c r="C1357" s="159"/>
      <c r="D1357" s="159"/>
      <c r="E1357" s="159"/>
      <c r="F1357" s="159"/>
      <c r="G1357" s="159"/>
      <c r="H1357" s="159"/>
      <c r="I1357" s="7">
        <f t="shared" si="117"/>
        <v>0</v>
      </c>
    </row>
    <row r="1358" spans="1:9" ht="15.75" x14ac:dyDescent="0.25">
      <c r="A1358" s="23">
        <v>1137</v>
      </c>
      <c r="B1358" s="6" t="str">
        <f>CADASTROS!$C$853</f>
        <v>Rosenilde Silva Oliveira</v>
      </c>
      <c r="C1358" s="159"/>
      <c r="D1358" s="159"/>
      <c r="E1358" s="159"/>
      <c r="F1358" s="159"/>
      <c r="G1358" s="159"/>
      <c r="H1358" s="159"/>
      <c r="I1358" s="7">
        <f t="shared" si="117"/>
        <v>0</v>
      </c>
    </row>
    <row r="1359" spans="1:9" ht="15.75" x14ac:dyDescent="0.25">
      <c r="A1359" s="23">
        <v>1138</v>
      </c>
      <c r="B1359" s="6" t="str">
        <f>CADASTROS!$C$854</f>
        <v>Móises Marques de Sousa</v>
      </c>
      <c r="C1359" s="159"/>
      <c r="D1359" s="159"/>
      <c r="E1359" s="159"/>
      <c r="F1359" s="159"/>
      <c r="G1359" s="159"/>
      <c r="H1359" s="159"/>
      <c r="I1359" s="7">
        <f t="shared" si="117"/>
        <v>0</v>
      </c>
    </row>
    <row r="1360" spans="1:9" ht="15.75" x14ac:dyDescent="0.25">
      <c r="A1360" s="23">
        <v>1139</v>
      </c>
      <c r="B1360" s="6" t="str">
        <f>CADASTROS!$C$855</f>
        <v>Alane Silva de Oliveira</v>
      </c>
      <c r="C1360" s="159"/>
      <c r="D1360" s="159"/>
      <c r="E1360" s="159"/>
      <c r="F1360" s="159"/>
      <c r="G1360" s="159"/>
      <c r="H1360" s="159"/>
      <c r="I1360" s="7">
        <f t="shared" si="117"/>
        <v>0</v>
      </c>
    </row>
    <row r="1361" spans="1:9" ht="15.75" x14ac:dyDescent="0.25">
      <c r="A1361" s="23">
        <v>1140</v>
      </c>
      <c r="B1361" s="6" t="str">
        <f>CADASTROS!$C$856</f>
        <v>Tamares Oliveira Silva</v>
      </c>
      <c r="C1361" s="159"/>
      <c r="D1361" s="159"/>
      <c r="E1361" s="159"/>
      <c r="F1361" s="159"/>
      <c r="G1361" s="159"/>
      <c r="H1361" s="159"/>
      <c r="I1361" s="7">
        <f t="shared" si="117"/>
        <v>0</v>
      </c>
    </row>
    <row r="1362" spans="1:9" ht="15.75" x14ac:dyDescent="0.25">
      <c r="B1362" s="159" t="s">
        <v>4829</v>
      </c>
      <c r="C1362" s="159">
        <f>SUM(C1335:C1361)</f>
        <v>0</v>
      </c>
      <c r="D1362" s="159">
        <f t="shared" ref="D1362:H1362" si="118">SUM(D1335:D1361)</f>
        <v>20</v>
      </c>
      <c r="E1362" s="159">
        <f t="shared" si="118"/>
        <v>19</v>
      </c>
      <c r="F1362" s="159">
        <f t="shared" si="118"/>
        <v>0</v>
      </c>
      <c r="G1362" s="159">
        <f t="shared" si="118"/>
        <v>13</v>
      </c>
      <c r="H1362" s="159">
        <f t="shared" si="118"/>
        <v>0</v>
      </c>
      <c r="I1362" s="159">
        <f>SUM(I1335:I1361)</f>
        <v>52</v>
      </c>
    </row>
    <row r="1364" spans="1:9" ht="15.75" x14ac:dyDescent="0.25">
      <c r="B1364" s="8" t="s">
        <v>4830</v>
      </c>
      <c r="C1364" s="159"/>
      <c r="D1364" s="159"/>
      <c r="E1364" s="159"/>
      <c r="F1364" s="159"/>
      <c r="G1364" s="159"/>
      <c r="H1364" s="159"/>
      <c r="I1364" s="159">
        <f>SUM(C1364:H1364)</f>
        <v>0</v>
      </c>
    </row>
    <row r="1365" spans="1:9" x14ac:dyDescent="0.25">
      <c r="B1365" s="167"/>
    </row>
    <row r="1366" spans="1:9" ht="15.75" x14ac:dyDescent="0.25">
      <c r="B1366" s="8" t="s">
        <v>4831</v>
      </c>
      <c r="C1366" s="9" t="e">
        <f>C1362/C1364</f>
        <v>#DIV/0!</v>
      </c>
      <c r="D1366" s="9" t="e">
        <f t="shared" ref="D1366:H1366" si="119">D1362/D1364</f>
        <v>#DIV/0!</v>
      </c>
      <c r="E1366" s="9" t="e">
        <f t="shared" si="119"/>
        <v>#DIV/0!</v>
      </c>
      <c r="F1366" s="9" t="e">
        <f t="shared" si="119"/>
        <v>#DIV/0!</v>
      </c>
      <c r="G1366" s="9" t="e">
        <f t="shared" si="119"/>
        <v>#DIV/0!</v>
      </c>
      <c r="H1366" s="9" t="e">
        <f t="shared" si="119"/>
        <v>#DIV/0!</v>
      </c>
      <c r="I1366" s="9"/>
    </row>
    <row r="1367" spans="1:9" ht="15.75" x14ac:dyDescent="0.25">
      <c r="B1367" s="163"/>
      <c r="C1367" s="10"/>
      <c r="D1367" s="10"/>
      <c r="E1367" s="10"/>
      <c r="F1367" s="10"/>
      <c r="G1367" s="10"/>
      <c r="H1367" s="163"/>
      <c r="I1367" s="163"/>
    </row>
    <row r="1368" spans="1:9" ht="15.75" x14ac:dyDescent="0.25">
      <c r="B1368" s="8" t="s">
        <v>4832</v>
      </c>
      <c r="C1368" s="159"/>
      <c r="D1368" s="159"/>
      <c r="E1368" s="6"/>
      <c r="F1368" s="6"/>
      <c r="G1368" s="6"/>
      <c r="H1368" s="6"/>
      <c r="I1368" s="11"/>
    </row>
    <row r="1371" spans="1:9" ht="33.75" x14ac:dyDescent="0.25">
      <c r="B1371" s="187" t="s">
        <v>4842</v>
      </c>
      <c r="C1371" s="188"/>
      <c r="D1371" s="188"/>
      <c r="E1371" s="188"/>
      <c r="F1371" s="188"/>
      <c r="G1371" s="188"/>
      <c r="H1371" s="188"/>
      <c r="I1371" s="189"/>
    </row>
    <row r="1372" spans="1:9" ht="47.25" x14ac:dyDescent="0.25">
      <c r="A1372" s="155" t="s">
        <v>4819</v>
      </c>
      <c r="B1372" s="155" t="s">
        <v>4820</v>
      </c>
      <c r="C1372" s="4" t="s">
        <v>4821</v>
      </c>
      <c r="D1372" s="4" t="s">
        <v>4822</v>
      </c>
      <c r="E1372" s="88" t="s">
        <v>4823</v>
      </c>
      <c r="F1372" s="88" t="s">
        <v>4824</v>
      </c>
      <c r="G1372" s="88" t="s">
        <v>4825</v>
      </c>
      <c r="H1372" s="4" t="s">
        <v>4826</v>
      </c>
      <c r="I1372" s="29" t="s">
        <v>4827</v>
      </c>
    </row>
    <row r="1373" spans="1:9" ht="25.5" x14ac:dyDescent="0.25">
      <c r="A1373" s="156"/>
      <c r="B1373" s="156"/>
      <c r="C1373" s="13" t="s">
        <v>4828</v>
      </c>
      <c r="D1373" s="13" t="s">
        <v>4828</v>
      </c>
      <c r="E1373" s="13" t="s">
        <v>4828</v>
      </c>
      <c r="F1373" s="13" t="s">
        <v>4828</v>
      </c>
      <c r="G1373" s="13" t="s">
        <v>4828</v>
      </c>
      <c r="H1373" s="13" t="s">
        <v>4828</v>
      </c>
      <c r="I1373" s="30"/>
    </row>
    <row r="1374" spans="1:9" ht="15.75" x14ac:dyDescent="0.25">
      <c r="A1374" s="23">
        <v>1168</v>
      </c>
      <c r="B1374" s="6" t="str">
        <f>CADASTROS!$C$861</f>
        <v>Maria da C. de J. Nascimento</v>
      </c>
      <c r="C1374" s="159"/>
      <c r="D1374" s="159"/>
      <c r="E1374" s="159"/>
      <c r="F1374" s="159"/>
      <c r="G1374" s="159"/>
      <c r="H1374" s="159"/>
      <c r="I1374" s="7">
        <f>SUM(C1374+D1374+E1374+F1374+G1374+H1374)</f>
        <v>0</v>
      </c>
    </row>
    <row r="1375" spans="1:9" ht="15.75" x14ac:dyDescent="0.25">
      <c r="A1375" s="23">
        <v>1169</v>
      </c>
      <c r="B1375" s="6" t="str">
        <f>CADASTROS!$C$862</f>
        <v>Marinalva de Oliveira</v>
      </c>
      <c r="C1375" s="159"/>
      <c r="D1375" s="159"/>
      <c r="E1375" s="159"/>
      <c r="F1375" s="159"/>
      <c r="G1375" s="159"/>
      <c r="H1375" s="159"/>
      <c r="I1375" s="7">
        <f t="shared" ref="I1375:I1400" si="120">SUM(C1375+D1375+E1375+F1375+G1375+H1375)</f>
        <v>0</v>
      </c>
    </row>
    <row r="1376" spans="1:9" ht="15.75" x14ac:dyDescent="0.25">
      <c r="A1376" s="23">
        <v>1170</v>
      </c>
      <c r="B1376" s="6" t="str">
        <f>CADASTROS!$C$863</f>
        <v>Adarildo Caio</v>
      </c>
      <c r="C1376" s="159"/>
      <c r="D1376" s="159"/>
      <c r="E1376" s="159"/>
      <c r="F1376" s="159"/>
      <c r="G1376" s="159"/>
      <c r="H1376" s="159"/>
      <c r="I1376" s="7">
        <f t="shared" si="120"/>
        <v>0</v>
      </c>
    </row>
    <row r="1377" spans="1:9" ht="15.75" x14ac:dyDescent="0.25">
      <c r="A1377" s="23">
        <v>1171</v>
      </c>
      <c r="B1377" s="6" t="str">
        <f>CADASTROS!$C$864</f>
        <v>Guiomar Souza Santos</v>
      </c>
      <c r="C1377" s="159"/>
      <c r="D1377" s="159"/>
      <c r="E1377" s="159"/>
      <c r="F1377" s="159"/>
      <c r="G1377" s="159"/>
      <c r="H1377" s="159"/>
      <c r="I1377" s="7">
        <f t="shared" si="120"/>
        <v>0</v>
      </c>
    </row>
    <row r="1378" spans="1:9" ht="15.75" x14ac:dyDescent="0.25">
      <c r="A1378" s="23">
        <v>1172</v>
      </c>
      <c r="B1378" s="6" t="str">
        <f>CADASTROS!$C$865</f>
        <v>Jaime Gonçalves Santos</v>
      </c>
      <c r="C1378" s="159"/>
      <c r="D1378" s="159"/>
      <c r="E1378" s="159"/>
      <c r="F1378" s="159"/>
      <c r="G1378" s="159"/>
      <c r="H1378" s="159"/>
      <c r="I1378" s="7">
        <f t="shared" si="120"/>
        <v>0</v>
      </c>
    </row>
    <row r="1379" spans="1:9" ht="15.75" x14ac:dyDescent="0.25">
      <c r="A1379" s="23">
        <v>1173</v>
      </c>
      <c r="B1379" s="6" t="str">
        <f>CADASTROS!$C$866</f>
        <v>Max Souza Oliveira</v>
      </c>
      <c r="C1379" s="159"/>
      <c r="D1379" s="159"/>
      <c r="E1379" s="159"/>
      <c r="F1379" s="159"/>
      <c r="G1379" s="159"/>
      <c r="H1379" s="159"/>
      <c r="I1379" s="7">
        <f t="shared" si="120"/>
        <v>0</v>
      </c>
    </row>
    <row r="1380" spans="1:9" ht="15.75" x14ac:dyDescent="0.25">
      <c r="A1380" s="23">
        <v>1174</v>
      </c>
      <c r="B1380" s="6" t="str">
        <f>CADASTROS!$C$867</f>
        <v>Joaldo Pires Alves</v>
      </c>
      <c r="C1380" s="159"/>
      <c r="D1380" s="159"/>
      <c r="E1380" s="159"/>
      <c r="F1380" s="159"/>
      <c r="G1380" s="159"/>
      <c r="H1380" s="159"/>
      <c r="I1380" s="7">
        <f t="shared" si="120"/>
        <v>0</v>
      </c>
    </row>
    <row r="1381" spans="1:9" ht="15.75" x14ac:dyDescent="0.25">
      <c r="A1381" s="23">
        <v>1175</v>
      </c>
      <c r="B1381" s="6" t="str">
        <f>CADASTROS!$C$868</f>
        <v>Mário Santos Gonçalves</v>
      </c>
      <c r="C1381" s="159">
        <v>22.5</v>
      </c>
      <c r="D1381" s="159">
        <v>21</v>
      </c>
      <c r="E1381" s="159">
        <v>20.5</v>
      </c>
      <c r="F1381" s="159"/>
      <c r="G1381" s="159">
        <v>12</v>
      </c>
      <c r="H1381" s="159"/>
      <c r="I1381" s="7">
        <f t="shared" si="120"/>
        <v>76</v>
      </c>
    </row>
    <row r="1382" spans="1:9" ht="15.75" x14ac:dyDescent="0.25">
      <c r="A1382" s="23">
        <v>1176</v>
      </c>
      <c r="B1382" s="6" t="str">
        <f>CADASTROS!$C$869</f>
        <v>Tânia Regina N. Lemos</v>
      </c>
      <c r="C1382" s="159"/>
      <c r="D1382" s="159"/>
      <c r="E1382" s="159"/>
      <c r="F1382" s="159"/>
      <c r="G1382" s="159"/>
      <c r="H1382" s="159"/>
      <c r="I1382" s="7">
        <f t="shared" si="120"/>
        <v>0</v>
      </c>
    </row>
    <row r="1383" spans="1:9" ht="15.75" x14ac:dyDescent="0.25">
      <c r="A1383" s="23">
        <v>1177</v>
      </c>
      <c r="B1383" s="6" t="str">
        <f>CADASTROS!$C$870</f>
        <v>Judite M. Santos</v>
      </c>
      <c r="C1383" s="159"/>
      <c r="D1383" s="159">
        <v>41.5</v>
      </c>
      <c r="E1383" s="159">
        <v>44</v>
      </c>
      <c r="F1383" s="159"/>
      <c r="G1383" s="159">
        <v>9</v>
      </c>
      <c r="H1383" s="159"/>
      <c r="I1383" s="7">
        <f t="shared" si="120"/>
        <v>94.5</v>
      </c>
    </row>
    <row r="1384" spans="1:9" ht="15.75" x14ac:dyDescent="0.25">
      <c r="A1384" s="23">
        <v>1178</v>
      </c>
      <c r="B1384" s="6" t="str">
        <f>CADASTROS!$C$871</f>
        <v>Maria de Lourdes R. Oliveira</v>
      </c>
      <c r="C1384" s="159"/>
      <c r="D1384" s="159"/>
      <c r="E1384" s="159"/>
      <c r="F1384" s="159"/>
      <c r="G1384" s="159"/>
      <c r="H1384" s="159"/>
      <c r="I1384" s="7">
        <f t="shared" si="120"/>
        <v>0</v>
      </c>
    </row>
    <row r="1385" spans="1:9" ht="15.75" x14ac:dyDescent="0.25">
      <c r="A1385" s="23">
        <v>1179</v>
      </c>
      <c r="B1385" s="6" t="str">
        <f>CADASTROS!$C$872</f>
        <v>José N. P. da Silva</v>
      </c>
      <c r="C1385" s="159"/>
      <c r="D1385" s="159"/>
      <c r="E1385" s="159"/>
      <c r="F1385" s="159"/>
      <c r="G1385" s="159"/>
      <c r="H1385" s="159"/>
      <c r="I1385" s="7">
        <f t="shared" si="120"/>
        <v>0</v>
      </c>
    </row>
    <row r="1386" spans="1:9" ht="15.75" x14ac:dyDescent="0.25">
      <c r="A1386" s="23">
        <v>1180</v>
      </c>
      <c r="B1386" s="6" t="str">
        <f>CADASTROS!$C$873</f>
        <v>Emile Almeida Coelho</v>
      </c>
      <c r="C1386" s="159"/>
      <c r="D1386" s="159"/>
      <c r="E1386" s="159"/>
      <c r="F1386" s="159"/>
      <c r="G1386" s="159"/>
      <c r="H1386" s="159"/>
      <c r="I1386" s="7">
        <f t="shared" si="120"/>
        <v>0</v>
      </c>
    </row>
    <row r="1387" spans="1:9" ht="15.75" x14ac:dyDescent="0.25">
      <c r="A1387" s="23">
        <v>1181</v>
      </c>
      <c r="B1387" s="6" t="str">
        <f>CADASTROS!$C$874</f>
        <v>Noelio Santos Silva</v>
      </c>
      <c r="C1387" s="159"/>
      <c r="D1387" s="159"/>
      <c r="E1387" s="159"/>
      <c r="F1387" s="159"/>
      <c r="G1387" s="159"/>
      <c r="H1387" s="159"/>
      <c r="I1387" s="7">
        <f t="shared" si="120"/>
        <v>0</v>
      </c>
    </row>
    <row r="1388" spans="1:9" ht="15.75" x14ac:dyDescent="0.25">
      <c r="A1388" s="23">
        <v>1182</v>
      </c>
      <c r="B1388" s="6" t="str">
        <f>CADASTROS!$C$875</f>
        <v>Maria Betânia S. de Oliveira</v>
      </c>
      <c r="C1388" s="159"/>
      <c r="D1388" s="159">
        <v>26.5</v>
      </c>
      <c r="E1388" s="159">
        <v>38</v>
      </c>
      <c r="F1388" s="159"/>
      <c r="G1388" s="159">
        <v>19.5</v>
      </c>
      <c r="H1388" s="159"/>
      <c r="I1388" s="7">
        <f t="shared" si="120"/>
        <v>84</v>
      </c>
    </row>
    <row r="1389" spans="1:9" ht="15.75" x14ac:dyDescent="0.25">
      <c r="A1389" s="23">
        <v>1183</v>
      </c>
      <c r="B1389" s="6" t="str">
        <f>CADASTROS!$C$876</f>
        <v>Luciane da Silva Nunes</v>
      </c>
      <c r="C1389" s="159"/>
      <c r="D1389" s="159">
        <v>9.5</v>
      </c>
      <c r="E1389" s="159">
        <v>10</v>
      </c>
      <c r="F1389" s="159"/>
      <c r="G1389" s="159">
        <v>12</v>
      </c>
      <c r="H1389" s="159"/>
      <c r="I1389" s="7">
        <f t="shared" si="120"/>
        <v>31.5</v>
      </c>
    </row>
    <row r="1390" spans="1:9" ht="15.75" x14ac:dyDescent="0.25">
      <c r="A1390" s="23">
        <v>1184</v>
      </c>
      <c r="B1390" s="6" t="str">
        <f>CADASTROS!$C$877</f>
        <v>Manoel Messias de Jesus</v>
      </c>
      <c r="C1390" s="159"/>
      <c r="D1390" s="159"/>
      <c r="E1390" s="159"/>
      <c r="F1390" s="159"/>
      <c r="G1390" s="159"/>
      <c r="H1390" s="159"/>
      <c r="I1390" s="7">
        <f t="shared" si="120"/>
        <v>0</v>
      </c>
    </row>
    <row r="1391" spans="1:9" ht="15.75" x14ac:dyDescent="0.25">
      <c r="A1391" s="23">
        <v>1185</v>
      </c>
      <c r="B1391" s="6" t="str">
        <f>CADASTROS!$C$878</f>
        <v>Laiane Santos de Souza</v>
      </c>
      <c r="C1391" s="159"/>
      <c r="D1391" s="159"/>
      <c r="E1391" s="159"/>
      <c r="F1391" s="159"/>
      <c r="G1391" s="159"/>
      <c r="H1391" s="159"/>
      <c r="I1391" s="7">
        <f t="shared" si="120"/>
        <v>0</v>
      </c>
    </row>
    <row r="1392" spans="1:9" ht="15.75" x14ac:dyDescent="0.25">
      <c r="A1392" s="23">
        <v>1186</v>
      </c>
      <c r="B1392" s="6" t="str">
        <f>CADASTROS!$C$879</f>
        <v>Luzineide Pires de Souza</v>
      </c>
      <c r="C1392" s="159"/>
      <c r="D1392" s="159"/>
      <c r="E1392" s="159"/>
      <c r="F1392" s="159"/>
      <c r="G1392" s="159"/>
      <c r="H1392" s="159"/>
      <c r="I1392" s="7">
        <f t="shared" si="120"/>
        <v>0</v>
      </c>
    </row>
    <row r="1393" spans="1:9" ht="15.75" x14ac:dyDescent="0.25">
      <c r="A1393" s="23">
        <v>1187</v>
      </c>
      <c r="B1393" s="6" t="str">
        <f>CADASTROS!$C$880</f>
        <v>Hercules P dos Santos</v>
      </c>
      <c r="C1393" s="159"/>
      <c r="D1393" s="159"/>
      <c r="E1393" s="159"/>
      <c r="F1393" s="159"/>
      <c r="G1393" s="159"/>
      <c r="H1393" s="159"/>
      <c r="I1393" s="7">
        <f t="shared" si="120"/>
        <v>0</v>
      </c>
    </row>
    <row r="1394" spans="1:9" ht="15.75" x14ac:dyDescent="0.25">
      <c r="A1394" s="23">
        <v>1188</v>
      </c>
      <c r="B1394" s="6" t="str">
        <f>CADASTROS!$C$881</f>
        <v>Morivaldo S do Nascimento</v>
      </c>
      <c r="C1394" s="159"/>
      <c r="D1394" s="159"/>
      <c r="E1394" s="159"/>
      <c r="F1394" s="159"/>
      <c r="G1394" s="159"/>
      <c r="H1394" s="159"/>
      <c r="I1394" s="7">
        <f t="shared" si="120"/>
        <v>0</v>
      </c>
    </row>
    <row r="1395" spans="1:9" ht="15.75" x14ac:dyDescent="0.25">
      <c r="A1395" s="23">
        <v>1189</v>
      </c>
      <c r="B1395" s="6" t="str">
        <f>CADASTROS!$C$882</f>
        <v>Mariene da Silva</v>
      </c>
      <c r="C1395" s="159"/>
      <c r="D1395" s="159"/>
      <c r="E1395" s="159"/>
      <c r="F1395" s="159"/>
      <c r="G1395" s="159"/>
      <c r="H1395" s="159"/>
      <c r="I1395" s="7">
        <f t="shared" si="120"/>
        <v>0</v>
      </c>
    </row>
    <row r="1396" spans="1:9" ht="15.75" x14ac:dyDescent="0.25">
      <c r="A1396" s="23">
        <v>1190</v>
      </c>
      <c r="B1396" s="6" t="str">
        <f>CADASTROS!$C$883</f>
        <v>Abinailton Oliveira Costa</v>
      </c>
      <c r="C1396" s="159"/>
      <c r="D1396" s="159"/>
      <c r="E1396" s="159"/>
      <c r="F1396" s="159"/>
      <c r="G1396" s="159"/>
      <c r="H1396" s="159"/>
      <c r="I1396" s="7">
        <f t="shared" si="120"/>
        <v>0</v>
      </c>
    </row>
    <row r="1397" spans="1:9" ht="15.75" x14ac:dyDescent="0.25">
      <c r="A1397" s="23">
        <v>1191</v>
      </c>
      <c r="B1397" s="6" t="str">
        <f>CADASTROS!$C$884</f>
        <v>Leo Allive O. Martins</v>
      </c>
      <c r="C1397" s="159"/>
      <c r="D1397" s="159"/>
      <c r="E1397" s="159"/>
      <c r="F1397" s="159"/>
      <c r="G1397" s="159"/>
      <c r="H1397" s="159"/>
      <c r="I1397" s="7">
        <f t="shared" si="120"/>
        <v>0</v>
      </c>
    </row>
    <row r="1398" spans="1:9" ht="15.75" x14ac:dyDescent="0.25">
      <c r="A1398" s="23">
        <v>1192</v>
      </c>
      <c r="B1398" s="6" t="str">
        <f>CADASTROS!$C$885</f>
        <v>Gersonilson de Jesus Brito</v>
      </c>
      <c r="C1398" s="159"/>
      <c r="D1398" s="159"/>
      <c r="E1398" s="159"/>
      <c r="F1398" s="159"/>
      <c r="G1398" s="159"/>
      <c r="H1398" s="159"/>
      <c r="I1398" s="7">
        <f t="shared" si="120"/>
        <v>0</v>
      </c>
    </row>
    <row r="1399" spans="1:9" ht="15.75" x14ac:dyDescent="0.25">
      <c r="A1399" s="23">
        <v>1193</v>
      </c>
      <c r="B1399" s="6" t="str">
        <f>CADASTROS!$C$886</f>
        <v>Maria José Silva de Oliveira</v>
      </c>
      <c r="C1399" s="159"/>
      <c r="D1399" s="159"/>
      <c r="E1399" s="159"/>
      <c r="F1399" s="159"/>
      <c r="G1399" s="159"/>
      <c r="H1399" s="159"/>
      <c r="I1399" s="7">
        <f t="shared" si="120"/>
        <v>0</v>
      </c>
    </row>
    <row r="1400" spans="1:9" ht="15.75" x14ac:dyDescent="0.25">
      <c r="A1400" s="23">
        <v>1194</v>
      </c>
      <c r="B1400" s="6" t="str">
        <f>CADASTROS!$C$887</f>
        <v>Luiz Carlos S. Soares</v>
      </c>
      <c r="C1400" s="159">
        <v>30</v>
      </c>
      <c r="D1400" s="159">
        <v>19</v>
      </c>
      <c r="E1400" s="159"/>
      <c r="F1400" s="159"/>
      <c r="G1400" s="159">
        <v>10.5</v>
      </c>
      <c r="H1400" s="159"/>
      <c r="I1400" s="7">
        <f t="shared" si="120"/>
        <v>59.5</v>
      </c>
    </row>
    <row r="1401" spans="1:9" ht="15.75" x14ac:dyDescent="0.25">
      <c r="B1401" s="159" t="s">
        <v>4829</v>
      </c>
      <c r="C1401" s="159">
        <f>SUM(C1374:C1400)</f>
        <v>52.5</v>
      </c>
      <c r="D1401" s="159">
        <f t="shared" ref="D1401:H1401" si="121">SUM(D1374:D1400)</f>
        <v>117.5</v>
      </c>
      <c r="E1401" s="159">
        <f t="shared" si="121"/>
        <v>112.5</v>
      </c>
      <c r="F1401" s="159">
        <f t="shared" si="121"/>
        <v>0</v>
      </c>
      <c r="G1401" s="159">
        <f t="shared" si="121"/>
        <v>63</v>
      </c>
      <c r="H1401" s="159">
        <f t="shared" si="121"/>
        <v>0</v>
      </c>
      <c r="I1401" s="159">
        <f>SUM(I1374:I1400)</f>
        <v>345.5</v>
      </c>
    </row>
    <row r="1403" spans="1:9" ht="15.75" x14ac:dyDescent="0.25">
      <c r="B1403" s="8" t="s">
        <v>4830</v>
      </c>
      <c r="C1403" s="159"/>
      <c r="D1403" s="159"/>
      <c r="E1403" s="159"/>
      <c r="F1403" s="159"/>
      <c r="G1403" s="159"/>
      <c r="H1403" s="159"/>
      <c r="I1403" s="159">
        <f>SUM(C1403:H1403)</f>
        <v>0</v>
      </c>
    </row>
    <row r="1404" spans="1:9" x14ac:dyDescent="0.25">
      <c r="B1404" s="167"/>
    </row>
    <row r="1405" spans="1:9" ht="15.75" x14ac:dyDescent="0.25">
      <c r="B1405" s="8" t="s">
        <v>4831</v>
      </c>
      <c r="C1405" s="9" t="e">
        <f>C1401/C1403</f>
        <v>#DIV/0!</v>
      </c>
      <c r="D1405" s="9" t="e">
        <f t="shared" ref="D1405:H1405" si="122">D1401/D1403</f>
        <v>#DIV/0!</v>
      </c>
      <c r="E1405" s="9" t="e">
        <f t="shared" si="122"/>
        <v>#DIV/0!</v>
      </c>
      <c r="F1405" s="9" t="e">
        <f t="shared" si="122"/>
        <v>#DIV/0!</v>
      </c>
      <c r="G1405" s="9" t="e">
        <f t="shared" si="122"/>
        <v>#DIV/0!</v>
      </c>
      <c r="H1405" s="9" t="e">
        <f t="shared" si="122"/>
        <v>#DIV/0!</v>
      </c>
      <c r="I1405" s="9"/>
    </row>
    <row r="1406" spans="1:9" ht="15.75" x14ac:dyDescent="0.25">
      <c r="B1406" s="163"/>
      <c r="C1406" s="10"/>
      <c r="D1406" s="10"/>
      <c r="E1406" s="10"/>
      <c r="F1406" s="10"/>
      <c r="G1406" s="10"/>
      <c r="H1406" s="163"/>
      <c r="I1406" s="163"/>
    </row>
    <row r="1407" spans="1:9" ht="15.75" x14ac:dyDescent="0.25">
      <c r="B1407" s="8" t="s">
        <v>4832</v>
      </c>
      <c r="C1407" s="159"/>
      <c r="D1407" s="159"/>
      <c r="E1407" s="6"/>
      <c r="F1407" s="6"/>
      <c r="G1407" s="6"/>
      <c r="H1407" s="6"/>
      <c r="I1407" s="11"/>
    </row>
    <row r="1410" spans="1:9" ht="33.75" x14ac:dyDescent="0.25">
      <c r="B1410" s="187" t="s">
        <v>4842</v>
      </c>
      <c r="C1410" s="188"/>
      <c r="D1410" s="188"/>
      <c r="E1410" s="188"/>
      <c r="F1410" s="188"/>
      <c r="G1410" s="188"/>
      <c r="H1410" s="188"/>
      <c r="I1410" s="189"/>
    </row>
    <row r="1411" spans="1:9" ht="47.25" x14ac:dyDescent="0.25">
      <c r="A1411" s="155" t="s">
        <v>4819</v>
      </c>
      <c r="B1411" s="155" t="s">
        <v>4820</v>
      </c>
      <c r="C1411" s="4" t="s">
        <v>4821</v>
      </c>
      <c r="D1411" s="4" t="s">
        <v>4822</v>
      </c>
      <c r="E1411" s="88" t="s">
        <v>4823</v>
      </c>
      <c r="F1411" s="88" t="s">
        <v>4824</v>
      </c>
      <c r="G1411" s="88" t="s">
        <v>4825</v>
      </c>
      <c r="H1411" s="4" t="s">
        <v>4826</v>
      </c>
      <c r="I1411" s="29" t="s">
        <v>4827</v>
      </c>
    </row>
    <row r="1412" spans="1:9" ht="25.5" x14ac:dyDescent="0.25">
      <c r="A1412" s="156"/>
      <c r="B1412" s="156"/>
      <c r="C1412" s="13" t="s">
        <v>4828</v>
      </c>
      <c r="D1412" s="13" t="s">
        <v>4828</v>
      </c>
      <c r="E1412" s="13" t="s">
        <v>4828</v>
      </c>
      <c r="F1412" s="13" t="s">
        <v>4828</v>
      </c>
      <c r="G1412" s="13" t="s">
        <v>4828</v>
      </c>
      <c r="H1412" s="13" t="s">
        <v>4828</v>
      </c>
      <c r="I1412" s="30"/>
    </row>
    <row r="1413" spans="1:9" ht="15.75" x14ac:dyDescent="0.25">
      <c r="A1413" s="23">
        <v>1195</v>
      </c>
      <c r="B1413" s="6" t="str">
        <f>CADASTROS!$C$888</f>
        <v>Franciele dos Santos Soares</v>
      </c>
      <c r="C1413" s="159"/>
      <c r="D1413" s="159">
        <v>30</v>
      </c>
      <c r="E1413" s="159">
        <v>28.5</v>
      </c>
      <c r="F1413" s="159"/>
      <c r="G1413" s="159">
        <v>25</v>
      </c>
      <c r="H1413" s="159"/>
      <c r="I1413" s="7">
        <f>SUM(C1413+D1413+E1413+F1413+G1413+H1413)</f>
        <v>83.5</v>
      </c>
    </row>
    <row r="1414" spans="1:9" ht="15.75" x14ac:dyDescent="0.25">
      <c r="A1414" s="23">
        <v>1196</v>
      </c>
      <c r="B1414" s="6" t="str">
        <f>CADASTROS!$C$889</f>
        <v>Vera Santos da Paixão</v>
      </c>
      <c r="C1414" s="159"/>
      <c r="D1414" s="159"/>
      <c r="E1414" s="159"/>
      <c r="F1414" s="159"/>
      <c r="G1414" s="159"/>
      <c r="H1414" s="159"/>
      <c r="I1414" s="7">
        <f t="shared" ref="I1414:I1439" si="123">SUM(C1414+D1414+E1414+F1414+G1414+H1414)</f>
        <v>0</v>
      </c>
    </row>
    <row r="1415" spans="1:9" ht="15.75" x14ac:dyDescent="0.25">
      <c r="A1415" s="23">
        <v>1197</v>
      </c>
      <c r="B1415" s="6" t="str">
        <f>CADASTROS!$C$890</f>
        <v>Ediandro Fideles de Souza</v>
      </c>
      <c r="C1415" s="159"/>
      <c r="D1415" s="159"/>
      <c r="E1415" s="159"/>
      <c r="F1415" s="159"/>
      <c r="G1415" s="159"/>
      <c r="H1415" s="159"/>
      <c r="I1415" s="7">
        <f t="shared" si="123"/>
        <v>0</v>
      </c>
    </row>
    <row r="1416" spans="1:9" ht="15.75" x14ac:dyDescent="0.25">
      <c r="A1416" s="23">
        <v>1198</v>
      </c>
      <c r="B1416" s="6" t="str">
        <f>CADASTROS!$C$891</f>
        <v>Ednalva de Jesus Santos</v>
      </c>
      <c r="C1416" s="159">
        <v>29</v>
      </c>
      <c r="D1416" s="159">
        <v>31.5</v>
      </c>
      <c r="E1416" s="159">
        <v>30</v>
      </c>
      <c r="F1416" s="159"/>
      <c r="G1416" s="159"/>
      <c r="H1416" s="159"/>
      <c r="I1416" s="7">
        <f t="shared" si="123"/>
        <v>90.5</v>
      </c>
    </row>
    <row r="1417" spans="1:9" ht="15.75" x14ac:dyDescent="0.25">
      <c r="A1417" s="23">
        <v>1199</v>
      </c>
      <c r="B1417" s="6" t="str">
        <f>CADASTROS!$C$892</f>
        <v>Rozalia Pereira da Silva</v>
      </c>
      <c r="C1417" s="159"/>
      <c r="D1417" s="159"/>
      <c r="E1417" s="159"/>
      <c r="F1417" s="159"/>
      <c r="G1417" s="159"/>
      <c r="H1417" s="159"/>
      <c r="I1417" s="7">
        <f t="shared" si="123"/>
        <v>0</v>
      </c>
    </row>
    <row r="1418" spans="1:9" ht="15.75" x14ac:dyDescent="0.25">
      <c r="A1418" s="23">
        <v>1200</v>
      </c>
      <c r="B1418" s="6" t="str">
        <f>CADASTROS!$C$893</f>
        <v>Sérgio Santos Silva</v>
      </c>
      <c r="C1418" s="159">
        <v>34</v>
      </c>
      <c r="D1418" s="159">
        <v>39</v>
      </c>
      <c r="E1418" s="159"/>
      <c r="F1418" s="159"/>
      <c r="G1418" s="159"/>
      <c r="H1418" s="159"/>
      <c r="I1418" s="7">
        <f t="shared" si="123"/>
        <v>73</v>
      </c>
    </row>
    <row r="1419" spans="1:9" ht="15.75" x14ac:dyDescent="0.25">
      <c r="A1419" s="23">
        <v>1201</v>
      </c>
      <c r="B1419" s="6" t="str">
        <f>CADASTROS!$C$894</f>
        <v>Silvana dos Santos Araújo</v>
      </c>
      <c r="C1419" s="159"/>
      <c r="D1419" s="159"/>
      <c r="E1419" s="159"/>
      <c r="F1419" s="159"/>
      <c r="G1419" s="159"/>
      <c r="H1419" s="159"/>
      <c r="I1419" s="7">
        <f t="shared" si="123"/>
        <v>0</v>
      </c>
    </row>
    <row r="1420" spans="1:9" ht="15.75" x14ac:dyDescent="0.25">
      <c r="A1420" s="23">
        <v>1202</v>
      </c>
      <c r="B1420" s="6" t="str">
        <f>CADASTROS!$C$895</f>
        <v>Lucivânia da Silva Moura</v>
      </c>
      <c r="C1420" s="159">
        <v>44</v>
      </c>
      <c r="D1420" s="159">
        <v>63.5</v>
      </c>
      <c r="E1420" s="159"/>
      <c r="F1420" s="159"/>
      <c r="G1420" s="159">
        <v>52</v>
      </c>
      <c r="H1420" s="159">
        <v>65.5</v>
      </c>
      <c r="I1420" s="7">
        <f t="shared" si="123"/>
        <v>225</v>
      </c>
    </row>
    <row r="1421" spans="1:9" ht="15.75" x14ac:dyDescent="0.25">
      <c r="A1421" s="23">
        <v>1203</v>
      </c>
      <c r="B1421" s="6" t="str">
        <f>CADASTROS!$C$896</f>
        <v>Valdirene Andrade de Brito</v>
      </c>
      <c r="C1421" s="159">
        <v>9.5</v>
      </c>
      <c r="D1421" s="159"/>
      <c r="E1421" s="159"/>
      <c r="F1421" s="159"/>
      <c r="G1421" s="159">
        <v>25</v>
      </c>
      <c r="H1421" s="159">
        <v>16</v>
      </c>
      <c r="I1421" s="7">
        <f t="shared" si="123"/>
        <v>50.5</v>
      </c>
    </row>
    <row r="1422" spans="1:9" ht="15.75" x14ac:dyDescent="0.25">
      <c r="A1422" s="23">
        <v>1204</v>
      </c>
      <c r="B1422" s="6" t="str">
        <f>CADASTROS!$C$897</f>
        <v>Rita de Cássia de Souza</v>
      </c>
      <c r="C1422" s="159"/>
      <c r="D1422" s="159"/>
      <c r="E1422" s="159"/>
      <c r="F1422" s="159"/>
      <c r="G1422" s="159"/>
      <c r="H1422" s="159"/>
      <c r="I1422" s="7">
        <f t="shared" si="123"/>
        <v>0</v>
      </c>
    </row>
    <row r="1423" spans="1:9" ht="15.75" x14ac:dyDescent="0.25">
      <c r="A1423" s="23">
        <v>1205</v>
      </c>
      <c r="B1423" s="6" t="str">
        <f>CADASTROS!$C$898</f>
        <v>Joselito Ferreira Silva</v>
      </c>
      <c r="C1423" s="159"/>
      <c r="D1423" s="159"/>
      <c r="E1423" s="159"/>
      <c r="F1423" s="159"/>
      <c r="G1423" s="159"/>
      <c r="H1423" s="159"/>
      <c r="I1423" s="7">
        <f t="shared" si="123"/>
        <v>0</v>
      </c>
    </row>
    <row r="1424" spans="1:9" ht="15.75" x14ac:dyDescent="0.25">
      <c r="A1424" s="23">
        <v>1206</v>
      </c>
      <c r="B1424" s="6" t="str">
        <f>CADASTROS!$C$899</f>
        <v>Gilvan de Jesus</v>
      </c>
      <c r="C1424" s="159"/>
      <c r="D1424" s="159"/>
      <c r="E1424" s="159"/>
      <c r="F1424" s="159"/>
      <c r="G1424" s="159"/>
      <c r="H1424" s="159"/>
      <c r="I1424" s="7">
        <f t="shared" si="123"/>
        <v>0</v>
      </c>
    </row>
    <row r="1425" spans="1:9" ht="15.75" x14ac:dyDescent="0.25">
      <c r="A1425" s="23">
        <v>1207</v>
      </c>
      <c r="B1425" s="6" t="str">
        <f>CADASTROS!$C$900</f>
        <v>Carlos Cruz Almeida</v>
      </c>
      <c r="C1425" s="159"/>
      <c r="D1425" s="159"/>
      <c r="E1425" s="159"/>
      <c r="F1425" s="159"/>
      <c r="G1425" s="159"/>
      <c r="H1425" s="159"/>
      <c r="I1425" s="7">
        <f t="shared" si="123"/>
        <v>0</v>
      </c>
    </row>
    <row r="1426" spans="1:9" ht="15.75" x14ac:dyDescent="0.25">
      <c r="A1426" s="23">
        <v>1208</v>
      </c>
      <c r="B1426" s="6" t="str">
        <f>CADASTROS!$C$901</f>
        <v>Sandro Silva de Jesus</v>
      </c>
      <c r="C1426" s="159"/>
      <c r="D1426" s="159"/>
      <c r="E1426" s="159"/>
      <c r="F1426" s="159"/>
      <c r="G1426" s="159"/>
      <c r="H1426" s="159"/>
      <c r="I1426" s="7">
        <f t="shared" si="123"/>
        <v>0</v>
      </c>
    </row>
    <row r="1427" spans="1:9" ht="15.75" x14ac:dyDescent="0.25">
      <c r="A1427" s="23">
        <v>1209</v>
      </c>
      <c r="B1427" s="6" t="str">
        <f>CADASTROS!$C$902</f>
        <v>Sandra Silva de Jesus</v>
      </c>
      <c r="C1427" s="159"/>
      <c r="D1427" s="159"/>
      <c r="E1427" s="159"/>
      <c r="F1427" s="159"/>
      <c r="G1427" s="159"/>
      <c r="H1427" s="159"/>
      <c r="I1427" s="7">
        <f t="shared" si="123"/>
        <v>0</v>
      </c>
    </row>
    <row r="1428" spans="1:9" ht="15.75" x14ac:dyDescent="0.25">
      <c r="A1428" s="23">
        <v>1210</v>
      </c>
      <c r="B1428" s="6" t="str">
        <f>CADASTROS!$C$903</f>
        <v>Vanilton da Silva Oliveira</v>
      </c>
      <c r="C1428" s="159"/>
      <c r="D1428" s="159"/>
      <c r="E1428" s="159"/>
      <c r="F1428" s="159"/>
      <c r="G1428" s="159"/>
      <c r="H1428" s="159"/>
      <c r="I1428" s="7">
        <f t="shared" si="123"/>
        <v>0</v>
      </c>
    </row>
    <row r="1429" spans="1:9" ht="15.75" x14ac:dyDescent="0.25">
      <c r="A1429" s="23">
        <v>1211</v>
      </c>
      <c r="B1429" s="6" t="str">
        <f>CADASTROS!$C$904</f>
        <v>Renaldo Santos Oliveira</v>
      </c>
      <c r="C1429" s="159"/>
      <c r="D1429" s="159"/>
      <c r="E1429" s="159"/>
      <c r="F1429" s="159"/>
      <c r="G1429" s="159"/>
      <c r="H1429" s="159"/>
      <c r="I1429" s="7">
        <f t="shared" si="123"/>
        <v>0</v>
      </c>
    </row>
    <row r="1430" spans="1:9" ht="15.75" x14ac:dyDescent="0.25">
      <c r="A1430" s="23">
        <v>1212</v>
      </c>
      <c r="B1430" s="6" t="str">
        <f>CADASTROS!$C$905</f>
        <v>Eraine dos Santos Costa</v>
      </c>
      <c r="C1430" s="159"/>
      <c r="D1430" s="159"/>
      <c r="E1430" s="159"/>
      <c r="F1430" s="159"/>
      <c r="G1430" s="159"/>
      <c r="H1430" s="159"/>
      <c r="I1430" s="7">
        <f t="shared" si="123"/>
        <v>0</v>
      </c>
    </row>
    <row r="1431" spans="1:9" ht="15.75" x14ac:dyDescent="0.25">
      <c r="A1431" s="23">
        <v>1213</v>
      </c>
      <c r="B1431" s="6" t="str">
        <f>CADASTROS!$C$906</f>
        <v>Gilvania Silva dos Santos</v>
      </c>
      <c r="C1431" s="159"/>
      <c r="D1431" s="159"/>
      <c r="E1431" s="159"/>
      <c r="F1431" s="159"/>
      <c r="G1431" s="159"/>
      <c r="H1431" s="159"/>
      <c r="I1431" s="7">
        <f t="shared" si="123"/>
        <v>0</v>
      </c>
    </row>
    <row r="1432" spans="1:9" ht="15.75" x14ac:dyDescent="0.25">
      <c r="A1432" s="23">
        <v>1214</v>
      </c>
      <c r="B1432" s="6" t="str">
        <f>CADASTROS!$C$907</f>
        <v>Rosilene Souza de Jesus</v>
      </c>
      <c r="C1432" s="159"/>
      <c r="D1432" s="159"/>
      <c r="E1432" s="159"/>
      <c r="F1432" s="159"/>
      <c r="G1432" s="159"/>
      <c r="H1432" s="159"/>
      <c r="I1432" s="7">
        <f t="shared" si="123"/>
        <v>0</v>
      </c>
    </row>
    <row r="1433" spans="1:9" ht="15.75" x14ac:dyDescent="0.25">
      <c r="A1433" s="23">
        <v>1215</v>
      </c>
      <c r="B1433" s="6" t="str">
        <f>CADASTROS!$C$908</f>
        <v>Glécia Ribeiro de Souza</v>
      </c>
      <c r="C1433" s="159"/>
      <c r="D1433" s="159"/>
      <c r="E1433" s="159"/>
      <c r="F1433" s="159"/>
      <c r="G1433" s="159"/>
      <c r="H1433" s="159"/>
      <c r="I1433" s="7">
        <f t="shared" si="123"/>
        <v>0</v>
      </c>
    </row>
    <row r="1434" spans="1:9" ht="15.75" x14ac:dyDescent="0.25">
      <c r="A1434" s="23">
        <v>1216</v>
      </c>
      <c r="B1434" s="6" t="str">
        <f>CADASTROS!$C$909</f>
        <v>Juliana Soares Santos</v>
      </c>
      <c r="C1434" s="159"/>
      <c r="D1434" s="159"/>
      <c r="E1434" s="159"/>
      <c r="F1434" s="159"/>
      <c r="G1434" s="159"/>
      <c r="H1434" s="159"/>
      <c r="I1434" s="7">
        <f t="shared" si="123"/>
        <v>0</v>
      </c>
    </row>
    <row r="1435" spans="1:9" ht="15.75" x14ac:dyDescent="0.25">
      <c r="A1435" s="23">
        <v>1217</v>
      </c>
      <c r="B1435" s="6" t="str">
        <f>CADASTROS!$C$910</f>
        <v>Edvaldo Brito da Silva</v>
      </c>
      <c r="C1435" s="159"/>
      <c r="D1435" s="159"/>
      <c r="E1435" s="159"/>
      <c r="F1435" s="159"/>
      <c r="G1435" s="159"/>
      <c r="H1435" s="159"/>
      <c r="I1435" s="7">
        <f t="shared" si="123"/>
        <v>0</v>
      </c>
    </row>
    <row r="1436" spans="1:9" ht="15.75" x14ac:dyDescent="0.25">
      <c r="A1436" s="23">
        <v>1218</v>
      </c>
      <c r="B1436" s="6" t="str">
        <f>CADASTROS!$C$911</f>
        <v>Luiz Carlos dos Santos Soares</v>
      </c>
      <c r="C1436" s="159"/>
      <c r="D1436" s="159"/>
      <c r="E1436" s="159"/>
      <c r="F1436" s="159"/>
      <c r="G1436" s="159"/>
      <c r="H1436" s="159"/>
      <c r="I1436" s="7">
        <f t="shared" si="123"/>
        <v>0</v>
      </c>
    </row>
    <row r="1437" spans="1:9" ht="15.75" x14ac:dyDescent="0.25">
      <c r="A1437" s="23">
        <v>1219</v>
      </c>
      <c r="B1437" s="6" t="str">
        <f>CADASTROS!$C$912</f>
        <v>Eliene Cesar dos Santos</v>
      </c>
      <c r="C1437" s="159"/>
      <c r="D1437" s="159"/>
      <c r="E1437" s="159"/>
      <c r="F1437" s="159"/>
      <c r="G1437" s="159"/>
      <c r="H1437" s="159"/>
      <c r="I1437" s="7">
        <f t="shared" si="123"/>
        <v>0</v>
      </c>
    </row>
    <row r="1438" spans="1:9" ht="15.75" x14ac:dyDescent="0.25">
      <c r="A1438" s="23">
        <v>1220</v>
      </c>
      <c r="B1438" s="6" t="str">
        <f>CADASTROS!$C$913</f>
        <v>Sirleide Conceição Sousa</v>
      </c>
      <c r="C1438" s="159"/>
      <c r="D1438" s="159"/>
      <c r="E1438" s="159"/>
      <c r="F1438" s="159"/>
      <c r="G1438" s="159"/>
      <c r="H1438" s="159"/>
      <c r="I1438" s="7">
        <f t="shared" si="123"/>
        <v>0</v>
      </c>
    </row>
    <row r="1439" spans="1:9" ht="15.75" x14ac:dyDescent="0.25">
      <c r="A1439" s="23">
        <v>1221</v>
      </c>
      <c r="B1439" s="6" t="str">
        <f>CADASTROS!$C$914</f>
        <v>Julivado J. Nascimento</v>
      </c>
      <c r="C1439" s="159"/>
      <c r="D1439" s="159"/>
      <c r="E1439" s="159"/>
      <c r="F1439" s="159"/>
      <c r="G1439" s="159"/>
      <c r="H1439" s="159"/>
      <c r="I1439" s="7">
        <f t="shared" si="123"/>
        <v>0</v>
      </c>
    </row>
    <row r="1440" spans="1:9" ht="15.75" x14ac:dyDescent="0.25">
      <c r="B1440" s="159" t="s">
        <v>4829</v>
      </c>
      <c r="C1440" s="159">
        <f>SUM(C1413:C1439)</f>
        <v>116.5</v>
      </c>
      <c r="D1440" s="159">
        <f t="shared" ref="D1440:H1440" si="124">SUM(D1413:D1439)</f>
        <v>164</v>
      </c>
      <c r="E1440" s="159">
        <f t="shared" si="124"/>
        <v>58.5</v>
      </c>
      <c r="F1440" s="159">
        <f t="shared" si="124"/>
        <v>0</v>
      </c>
      <c r="G1440" s="159">
        <f t="shared" si="124"/>
        <v>102</v>
      </c>
      <c r="H1440" s="159">
        <f t="shared" si="124"/>
        <v>81.5</v>
      </c>
      <c r="I1440" s="159">
        <f>SUM(I1413:I1439)</f>
        <v>522.5</v>
      </c>
    </row>
    <row r="1442" spans="1:9" ht="15.75" x14ac:dyDescent="0.25">
      <c r="B1442" s="8" t="s">
        <v>4830</v>
      </c>
      <c r="C1442" s="159"/>
      <c r="D1442" s="159"/>
      <c r="E1442" s="159"/>
      <c r="F1442" s="159"/>
      <c r="G1442" s="159"/>
      <c r="H1442" s="159"/>
      <c r="I1442" s="159">
        <f>SUM(C1442:H1442)</f>
        <v>0</v>
      </c>
    </row>
    <row r="1443" spans="1:9" x14ac:dyDescent="0.25">
      <c r="B1443" s="167"/>
    </row>
    <row r="1444" spans="1:9" ht="15.75" x14ac:dyDescent="0.25">
      <c r="B1444" s="8" t="s">
        <v>4831</v>
      </c>
      <c r="C1444" s="9" t="e">
        <f>C1440/C1442</f>
        <v>#DIV/0!</v>
      </c>
      <c r="D1444" s="9" t="e">
        <f t="shared" ref="D1444:H1444" si="125">D1440/D1442</f>
        <v>#DIV/0!</v>
      </c>
      <c r="E1444" s="9" t="e">
        <f t="shared" si="125"/>
        <v>#DIV/0!</v>
      </c>
      <c r="F1444" s="9" t="e">
        <f t="shared" si="125"/>
        <v>#DIV/0!</v>
      </c>
      <c r="G1444" s="9" t="e">
        <f t="shared" si="125"/>
        <v>#DIV/0!</v>
      </c>
      <c r="H1444" s="9" t="e">
        <f t="shared" si="125"/>
        <v>#DIV/0!</v>
      </c>
      <c r="I1444" s="9"/>
    </row>
    <row r="1445" spans="1:9" ht="15.75" x14ac:dyDescent="0.25">
      <c r="B1445" s="163"/>
      <c r="C1445" s="10"/>
      <c r="D1445" s="10"/>
      <c r="E1445" s="10"/>
      <c r="F1445" s="10"/>
      <c r="G1445" s="10"/>
      <c r="H1445" s="163"/>
      <c r="I1445" s="163"/>
    </row>
    <row r="1446" spans="1:9" ht="15.75" x14ac:dyDescent="0.25">
      <c r="B1446" s="8" t="s">
        <v>4832</v>
      </c>
      <c r="C1446" s="159"/>
      <c r="D1446" s="159"/>
      <c r="E1446" s="6"/>
      <c r="F1446" s="6"/>
      <c r="G1446" s="6"/>
      <c r="H1446" s="6"/>
      <c r="I1446" s="11"/>
    </row>
    <row r="1449" spans="1:9" ht="33.75" x14ac:dyDescent="0.25">
      <c r="B1449" s="187" t="s">
        <v>4842</v>
      </c>
      <c r="C1449" s="188"/>
      <c r="D1449" s="188"/>
      <c r="E1449" s="188"/>
      <c r="F1449" s="188"/>
      <c r="G1449" s="188"/>
      <c r="H1449" s="188"/>
      <c r="I1449" s="189"/>
    </row>
    <row r="1450" spans="1:9" ht="47.25" x14ac:dyDescent="0.25">
      <c r="A1450" s="155" t="s">
        <v>4819</v>
      </c>
      <c r="B1450" s="155" t="s">
        <v>4820</v>
      </c>
      <c r="C1450" s="4" t="s">
        <v>4821</v>
      </c>
      <c r="D1450" s="4" t="s">
        <v>4822</v>
      </c>
      <c r="E1450" s="88" t="s">
        <v>4823</v>
      </c>
      <c r="F1450" s="88" t="s">
        <v>4824</v>
      </c>
      <c r="G1450" s="88" t="s">
        <v>4825</v>
      </c>
      <c r="H1450" s="4" t="s">
        <v>4826</v>
      </c>
      <c r="I1450" s="29" t="s">
        <v>4827</v>
      </c>
    </row>
    <row r="1451" spans="1:9" ht="25.5" x14ac:dyDescent="0.25">
      <c r="A1451" s="156"/>
      <c r="B1451" s="156"/>
      <c r="C1451" s="13" t="s">
        <v>4828</v>
      </c>
      <c r="D1451" s="13" t="s">
        <v>4828</v>
      </c>
      <c r="E1451" s="13" t="s">
        <v>4828</v>
      </c>
      <c r="F1451" s="13" t="s">
        <v>4828</v>
      </c>
      <c r="G1451" s="13" t="s">
        <v>4828</v>
      </c>
      <c r="H1451" s="13" t="s">
        <v>4828</v>
      </c>
      <c r="I1451" s="30"/>
    </row>
    <row r="1452" spans="1:9" ht="15.75" x14ac:dyDescent="0.25">
      <c r="A1452" s="23">
        <v>1222</v>
      </c>
      <c r="B1452" s="6" t="str">
        <f>CADASTROS!$C$915</f>
        <v>Ediléia Silva dos Santos</v>
      </c>
      <c r="C1452" s="159"/>
      <c r="D1452" s="159"/>
      <c r="E1452" s="159"/>
      <c r="F1452" s="159"/>
      <c r="G1452" s="159"/>
      <c r="H1452" s="159"/>
      <c r="I1452" s="7">
        <f>SUM(C1452+D1452+E1452+F1452+G1452+H1452)</f>
        <v>0</v>
      </c>
    </row>
    <row r="1453" spans="1:9" ht="15.75" x14ac:dyDescent="0.25">
      <c r="A1453" s="23">
        <v>1223</v>
      </c>
      <c r="B1453" s="6" t="str">
        <f>CADASTROS!$C$916</f>
        <v>Claudineia Paulina Araújo</v>
      </c>
      <c r="C1453" s="159"/>
      <c r="D1453" s="159"/>
      <c r="E1453" s="159"/>
      <c r="F1453" s="159"/>
      <c r="G1453" s="159"/>
      <c r="H1453" s="159"/>
      <c r="I1453" s="7">
        <f t="shared" ref="I1453:I1478" si="126">SUM(C1453+D1453+E1453+F1453+G1453+H1453)</f>
        <v>0</v>
      </c>
    </row>
    <row r="1454" spans="1:9" ht="15.75" x14ac:dyDescent="0.25">
      <c r="A1454" s="23">
        <v>1224</v>
      </c>
      <c r="B1454" s="6" t="str">
        <f>CADASTROS!$C$917</f>
        <v>Maria Aparecida L. Pires</v>
      </c>
      <c r="C1454" s="159">
        <v>15</v>
      </c>
      <c r="D1454" s="159">
        <v>10.5</v>
      </c>
      <c r="E1454" s="159">
        <v>17</v>
      </c>
      <c r="F1454" s="159"/>
      <c r="G1454" s="159"/>
      <c r="H1454" s="159"/>
      <c r="I1454" s="7">
        <f t="shared" si="126"/>
        <v>42.5</v>
      </c>
    </row>
    <row r="1455" spans="1:9" ht="15.75" x14ac:dyDescent="0.25">
      <c r="A1455" s="23">
        <v>1225</v>
      </c>
      <c r="B1455" s="6" t="str">
        <f>CADASTROS!$C$918</f>
        <v>Dirlene Sampaio Alves</v>
      </c>
      <c r="C1455" s="159"/>
      <c r="D1455" s="159"/>
      <c r="E1455" s="159"/>
      <c r="F1455" s="159"/>
      <c r="G1455" s="159"/>
      <c r="H1455" s="159"/>
      <c r="I1455" s="7">
        <f t="shared" si="126"/>
        <v>0</v>
      </c>
    </row>
    <row r="1456" spans="1:9" ht="15.75" x14ac:dyDescent="0.25">
      <c r="A1456" s="23">
        <v>1226</v>
      </c>
      <c r="B1456" s="6" t="str">
        <f>CADASTROS!$C$919</f>
        <v>Hortencia Brito Barbosa</v>
      </c>
      <c r="C1456" s="159"/>
      <c r="D1456" s="159"/>
      <c r="E1456" s="159"/>
      <c r="F1456" s="159"/>
      <c r="G1456" s="159"/>
      <c r="H1456" s="159"/>
      <c r="I1456" s="7">
        <f t="shared" si="126"/>
        <v>0</v>
      </c>
    </row>
    <row r="1457" spans="1:9" ht="15.75" x14ac:dyDescent="0.25">
      <c r="A1457" s="23">
        <v>1227</v>
      </c>
      <c r="B1457" s="6" t="str">
        <f>CADASTROS!$C$920</f>
        <v>Raimundo P. de Souza</v>
      </c>
      <c r="C1457" s="159"/>
      <c r="D1457" s="159"/>
      <c r="E1457" s="159"/>
      <c r="F1457" s="159"/>
      <c r="G1457" s="159"/>
      <c r="H1457" s="159"/>
      <c r="I1457" s="7">
        <f t="shared" si="126"/>
        <v>0</v>
      </c>
    </row>
    <row r="1458" spans="1:9" ht="15.75" x14ac:dyDescent="0.25">
      <c r="A1458" s="23">
        <v>1228</v>
      </c>
      <c r="B1458" s="6" t="str">
        <f>CADASTROS!$C$921</f>
        <v>Antônio Ramos de Carvalho</v>
      </c>
      <c r="C1458" s="159"/>
      <c r="D1458" s="159"/>
      <c r="E1458" s="159"/>
      <c r="F1458" s="159"/>
      <c r="G1458" s="159"/>
      <c r="H1458" s="159"/>
      <c r="I1458" s="7">
        <f t="shared" si="126"/>
        <v>0</v>
      </c>
    </row>
    <row r="1459" spans="1:9" ht="15.75" x14ac:dyDescent="0.25">
      <c r="A1459" s="23">
        <v>1229</v>
      </c>
      <c r="B1459" s="6" t="str">
        <f>CADASTROS!$C$922</f>
        <v>Carmozita Francisca dos Santos</v>
      </c>
      <c r="C1459" s="159"/>
      <c r="D1459" s="159"/>
      <c r="E1459" s="159"/>
      <c r="F1459" s="159"/>
      <c r="G1459" s="159"/>
      <c r="H1459" s="159"/>
      <c r="I1459" s="7">
        <f t="shared" si="126"/>
        <v>0</v>
      </c>
    </row>
    <row r="1460" spans="1:9" ht="15.75" x14ac:dyDescent="0.25">
      <c r="A1460" s="23">
        <v>1230</v>
      </c>
      <c r="B1460" s="6" t="str">
        <f>CADASTROS!$C$923</f>
        <v>Juliana Alves de Souza</v>
      </c>
      <c r="C1460" s="159">
        <v>15.5</v>
      </c>
      <c r="D1460" s="159">
        <v>6.5</v>
      </c>
      <c r="E1460" s="159"/>
      <c r="F1460" s="159"/>
      <c r="G1460" s="159">
        <v>13</v>
      </c>
      <c r="H1460" s="159">
        <v>8.5</v>
      </c>
      <c r="I1460" s="7">
        <f t="shared" si="126"/>
        <v>43.5</v>
      </c>
    </row>
    <row r="1461" spans="1:9" ht="15.75" x14ac:dyDescent="0.25">
      <c r="A1461" s="23">
        <v>1231</v>
      </c>
      <c r="B1461" s="6" t="str">
        <f>CADASTROS!$C$924</f>
        <v>Girlene de Souza Oliveira</v>
      </c>
      <c r="C1461" s="159">
        <v>13</v>
      </c>
      <c r="D1461" s="159">
        <v>11</v>
      </c>
      <c r="E1461" s="159">
        <v>10</v>
      </c>
      <c r="F1461" s="159"/>
      <c r="G1461" s="159">
        <v>10</v>
      </c>
      <c r="H1461" s="159">
        <v>7.5</v>
      </c>
      <c r="I1461" s="7">
        <f t="shared" si="126"/>
        <v>51.5</v>
      </c>
    </row>
    <row r="1462" spans="1:9" ht="15.75" x14ac:dyDescent="0.25">
      <c r="A1462" s="23">
        <v>1232</v>
      </c>
      <c r="B1462" s="6" t="str">
        <f>CADASTROS!$C$925</f>
        <v>Maria Sônia Ferreira Silva</v>
      </c>
      <c r="C1462" s="159"/>
      <c r="D1462" s="159"/>
      <c r="E1462" s="159"/>
      <c r="F1462" s="159"/>
      <c r="G1462" s="159"/>
      <c r="H1462" s="159"/>
      <c r="I1462" s="7">
        <f t="shared" si="126"/>
        <v>0</v>
      </c>
    </row>
    <row r="1463" spans="1:9" ht="15.75" x14ac:dyDescent="0.25">
      <c r="A1463" s="23">
        <v>1233</v>
      </c>
      <c r="B1463" s="6" t="str">
        <f>CADASTROS!$C$926</f>
        <v>Luciene O. da Silva</v>
      </c>
      <c r="C1463" s="159"/>
      <c r="D1463" s="159"/>
      <c r="E1463" s="159"/>
      <c r="F1463" s="159"/>
      <c r="G1463" s="159"/>
      <c r="H1463" s="159"/>
      <c r="I1463" s="7">
        <f t="shared" si="126"/>
        <v>0</v>
      </c>
    </row>
    <row r="1464" spans="1:9" ht="15.75" x14ac:dyDescent="0.25">
      <c r="A1464" s="23">
        <v>1234</v>
      </c>
      <c r="B1464" s="6" t="str">
        <f>CADASTROS!$C$927</f>
        <v>Heleno Monteiro da Silva</v>
      </c>
      <c r="C1464" s="159"/>
      <c r="D1464" s="159"/>
      <c r="E1464" s="159"/>
      <c r="F1464" s="159"/>
      <c r="G1464" s="159"/>
      <c r="H1464" s="159"/>
      <c r="I1464" s="7">
        <f t="shared" si="126"/>
        <v>0</v>
      </c>
    </row>
    <row r="1465" spans="1:9" ht="15.75" x14ac:dyDescent="0.25">
      <c r="A1465" s="23">
        <v>1235</v>
      </c>
      <c r="B1465" s="6" t="str">
        <f>CADASTROS!$C$928</f>
        <v>Agnaldo José Ribeiro</v>
      </c>
      <c r="C1465" s="159">
        <v>8</v>
      </c>
      <c r="D1465" s="159">
        <v>9</v>
      </c>
      <c r="E1465" s="159">
        <v>9</v>
      </c>
      <c r="F1465" s="159"/>
      <c r="G1465" s="159">
        <v>17</v>
      </c>
      <c r="H1465" s="159">
        <v>11.5</v>
      </c>
      <c r="I1465" s="7">
        <f t="shared" si="126"/>
        <v>54.5</v>
      </c>
    </row>
    <row r="1466" spans="1:9" ht="15.75" x14ac:dyDescent="0.25">
      <c r="A1466" s="23">
        <v>1236</v>
      </c>
      <c r="B1466" s="6" t="str">
        <f>CADASTROS!$C$929</f>
        <v>Roque Souza Silva</v>
      </c>
      <c r="C1466" s="159"/>
      <c r="D1466" s="159"/>
      <c r="E1466" s="159"/>
      <c r="F1466" s="159"/>
      <c r="G1466" s="159"/>
      <c r="H1466" s="159"/>
      <c r="I1466" s="7">
        <f t="shared" si="126"/>
        <v>0</v>
      </c>
    </row>
    <row r="1467" spans="1:9" ht="15.75" x14ac:dyDescent="0.25">
      <c r="A1467" s="23">
        <v>1237</v>
      </c>
      <c r="B1467" s="6" t="str">
        <f>CADASTROS!$C$930</f>
        <v>Dilma Mendes Santos Oliveira</v>
      </c>
      <c r="C1467" s="159"/>
      <c r="D1467" s="159"/>
      <c r="E1467" s="159"/>
      <c r="F1467" s="159"/>
      <c r="G1467" s="159"/>
      <c r="H1467" s="159"/>
      <c r="I1467" s="7">
        <f t="shared" si="126"/>
        <v>0</v>
      </c>
    </row>
    <row r="1468" spans="1:9" ht="15.75" x14ac:dyDescent="0.25">
      <c r="A1468" s="23">
        <v>1238</v>
      </c>
      <c r="B1468" s="6" t="str">
        <f>CADASTROS!$C$931</f>
        <v>Guiomar Silva Santos</v>
      </c>
      <c r="C1468" s="159"/>
      <c r="D1468" s="159"/>
      <c r="E1468" s="159"/>
      <c r="F1468" s="159"/>
      <c r="G1468" s="159"/>
      <c r="H1468" s="159"/>
      <c r="I1468" s="7">
        <f t="shared" si="126"/>
        <v>0</v>
      </c>
    </row>
    <row r="1469" spans="1:9" ht="15.75" x14ac:dyDescent="0.25">
      <c r="A1469" s="23">
        <v>1239</v>
      </c>
      <c r="B1469" s="6" t="str">
        <f>CADASTROS!$C$932</f>
        <v>Aurenide Damasceno Soares</v>
      </c>
      <c r="C1469" s="159"/>
      <c r="D1469" s="159"/>
      <c r="E1469" s="159"/>
      <c r="F1469" s="159"/>
      <c r="G1469" s="159"/>
      <c r="H1469" s="159"/>
      <c r="I1469" s="7">
        <f t="shared" si="126"/>
        <v>0</v>
      </c>
    </row>
    <row r="1470" spans="1:9" ht="15.75" x14ac:dyDescent="0.25">
      <c r="A1470" s="23">
        <v>1240</v>
      </c>
      <c r="B1470" s="6" t="str">
        <f>CADASTROS!$C$933</f>
        <v>Janildo Machado Farias</v>
      </c>
      <c r="C1470" s="159"/>
      <c r="D1470" s="159"/>
      <c r="E1470" s="159"/>
      <c r="F1470" s="159"/>
      <c r="G1470" s="159"/>
      <c r="H1470" s="159"/>
      <c r="I1470" s="7">
        <f t="shared" si="126"/>
        <v>0</v>
      </c>
    </row>
    <row r="1471" spans="1:9" ht="15.75" x14ac:dyDescent="0.25">
      <c r="A1471" s="23">
        <v>1241</v>
      </c>
      <c r="B1471" s="6" t="str">
        <f>CADASTROS!$C$934</f>
        <v>Luan Ramos de Jesus</v>
      </c>
      <c r="C1471" s="159">
        <v>11.5</v>
      </c>
      <c r="D1471" s="159">
        <v>27</v>
      </c>
      <c r="E1471" s="159">
        <v>26</v>
      </c>
      <c r="F1471" s="159"/>
      <c r="G1471" s="159"/>
      <c r="H1471" s="159"/>
      <c r="I1471" s="7">
        <f t="shared" si="126"/>
        <v>64.5</v>
      </c>
    </row>
    <row r="1472" spans="1:9" ht="15.75" x14ac:dyDescent="0.25">
      <c r="A1472" s="23">
        <v>1242</v>
      </c>
      <c r="B1472" s="6" t="str">
        <f>CADASTROS!$C$935</f>
        <v>Cleiton da Silva Borges</v>
      </c>
      <c r="C1472" s="159"/>
      <c r="D1472" s="159"/>
      <c r="E1472" s="159"/>
      <c r="F1472" s="159"/>
      <c r="G1472" s="159"/>
      <c r="H1472" s="159"/>
      <c r="I1472" s="7">
        <f t="shared" si="126"/>
        <v>0</v>
      </c>
    </row>
    <row r="1473" spans="1:9" ht="15.75" x14ac:dyDescent="0.25">
      <c r="A1473" s="23">
        <v>1243</v>
      </c>
      <c r="B1473" s="6" t="str">
        <f>CADASTROS!$C$936</f>
        <v>Janete Rosa Pires</v>
      </c>
      <c r="C1473" s="159"/>
      <c r="D1473" s="159"/>
      <c r="E1473" s="159"/>
      <c r="F1473" s="159"/>
      <c r="G1473" s="159"/>
      <c r="H1473" s="159"/>
      <c r="I1473" s="7">
        <f t="shared" si="126"/>
        <v>0</v>
      </c>
    </row>
    <row r="1474" spans="1:9" ht="15.75" x14ac:dyDescent="0.25">
      <c r="A1474" s="23">
        <v>1244</v>
      </c>
      <c r="B1474" s="6" t="str">
        <f>CADASTROS!$C$937</f>
        <v>Lucas Souza Ferreira</v>
      </c>
      <c r="C1474" s="159"/>
      <c r="D1474" s="159"/>
      <c r="E1474" s="159"/>
      <c r="F1474" s="159"/>
      <c r="G1474" s="159"/>
      <c r="H1474" s="159"/>
      <c r="I1474" s="7">
        <f t="shared" si="126"/>
        <v>0</v>
      </c>
    </row>
    <row r="1475" spans="1:9" ht="15.75" x14ac:dyDescent="0.25">
      <c r="A1475" s="23">
        <v>1245</v>
      </c>
      <c r="B1475" s="6" t="str">
        <f>CADASTROS!$C$938</f>
        <v>Maria Conceição P. Silva</v>
      </c>
      <c r="C1475" s="159"/>
      <c r="D1475" s="159"/>
      <c r="E1475" s="159"/>
      <c r="F1475" s="159"/>
      <c r="G1475" s="159"/>
      <c r="H1475" s="159"/>
      <c r="I1475" s="7">
        <f t="shared" si="126"/>
        <v>0</v>
      </c>
    </row>
    <row r="1476" spans="1:9" ht="15.75" x14ac:dyDescent="0.25">
      <c r="A1476" s="23">
        <v>1246</v>
      </c>
      <c r="B1476" s="6" t="str">
        <f>CADASTROS!$C$939</f>
        <v>Milzaene Francisca Teixeira</v>
      </c>
      <c r="C1476" s="159"/>
      <c r="D1476" s="159"/>
      <c r="E1476" s="159"/>
      <c r="F1476" s="159"/>
      <c r="G1476" s="159"/>
      <c r="H1476" s="159"/>
      <c r="I1476" s="7">
        <f t="shared" si="126"/>
        <v>0</v>
      </c>
    </row>
    <row r="1477" spans="1:9" ht="15.75" x14ac:dyDescent="0.25">
      <c r="A1477" s="23">
        <v>1247</v>
      </c>
      <c r="B1477" s="6" t="str">
        <f>CADASTROS!$C$940</f>
        <v>Carina Alves Pereira</v>
      </c>
      <c r="C1477" s="159"/>
      <c r="D1477" s="159"/>
      <c r="E1477" s="159"/>
      <c r="F1477" s="159"/>
      <c r="G1477" s="159"/>
      <c r="H1477" s="159"/>
      <c r="I1477" s="7">
        <f t="shared" si="126"/>
        <v>0</v>
      </c>
    </row>
    <row r="1478" spans="1:9" ht="15.75" x14ac:dyDescent="0.25">
      <c r="A1478" s="23">
        <v>1248</v>
      </c>
      <c r="B1478" s="6" t="str">
        <f>CADASTROS!$C$941</f>
        <v>Vera Lucia Cruz Almeida</v>
      </c>
      <c r="C1478" s="159"/>
      <c r="D1478" s="159"/>
      <c r="E1478" s="159"/>
      <c r="F1478" s="159"/>
      <c r="G1478" s="159"/>
      <c r="H1478" s="159"/>
      <c r="I1478" s="7">
        <f t="shared" si="126"/>
        <v>0</v>
      </c>
    </row>
    <row r="1479" spans="1:9" ht="15.75" x14ac:dyDescent="0.25">
      <c r="B1479" s="159" t="s">
        <v>4829</v>
      </c>
      <c r="C1479" s="159">
        <f>SUM(C1452:C1478)</f>
        <v>63</v>
      </c>
      <c r="D1479" s="159">
        <f t="shared" ref="D1479:H1479" si="127">SUM(D1452:D1478)</f>
        <v>64</v>
      </c>
      <c r="E1479" s="159">
        <f t="shared" si="127"/>
        <v>62</v>
      </c>
      <c r="F1479" s="159">
        <f t="shared" si="127"/>
        <v>0</v>
      </c>
      <c r="G1479" s="159">
        <f t="shared" si="127"/>
        <v>40</v>
      </c>
      <c r="H1479" s="159">
        <f t="shared" si="127"/>
        <v>27.5</v>
      </c>
      <c r="I1479" s="159">
        <f>SUM(I1452:I1478)</f>
        <v>256.5</v>
      </c>
    </row>
    <row r="1481" spans="1:9" ht="15.75" x14ac:dyDescent="0.25">
      <c r="B1481" s="8" t="s">
        <v>4830</v>
      </c>
      <c r="C1481" s="159"/>
      <c r="D1481" s="159"/>
      <c r="E1481" s="159"/>
      <c r="F1481" s="159"/>
      <c r="G1481" s="159"/>
      <c r="H1481" s="159"/>
      <c r="I1481" s="159">
        <f>SUM(C1481:H1481)</f>
        <v>0</v>
      </c>
    </row>
    <row r="1482" spans="1:9" x14ac:dyDescent="0.25">
      <c r="B1482" s="167"/>
    </row>
    <row r="1483" spans="1:9" ht="15.75" x14ac:dyDescent="0.25">
      <c r="B1483" s="8" t="s">
        <v>4831</v>
      </c>
      <c r="C1483" s="9" t="e">
        <f>C1479/C1481</f>
        <v>#DIV/0!</v>
      </c>
      <c r="D1483" s="9" t="e">
        <f t="shared" ref="D1483:H1483" si="128">D1479/D1481</f>
        <v>#DIV/0!</v>
      </c>
      <c r="E1483" s="9" t="e">
        <f t="shared" si="128"/>
        <v>#DIV/0!</v>
      </c>
      <c r="F1483" s="9" t="e">
        <f t="shared" si="128"/>
        <v>#DIV/0!</v>
      </c>
      <c r="G1483" s="9" t="e">
        <f t="shared" si="128"/>
        <v>#DIV/0!</v>
      </c>
      <c r="H1483" s="9" t="e">
        <f t="shared" si="128"/>
        <v>#DIV/0!</v>
      </c>
      <c r="I1483" s="9"/>
    </row>
    <row r="1484" spans="1:9" ht="15.75" x14ac:dyDescent="0.25">
      <c r="B1484" s="163"/>
      <c r="C1484" s="10"/>
      <c r="D1484" s="10"/>
      <c r="E1484" s="10"/>
      <c r="F1484" s="10"/>
      <c r="G1484" s="10"/>
      <c r="H1484" s="163"/>
      <c r="I1484" s="163"/>
    </row>
    <row r="1485" spans="1:9" ht="15.75" x14ac:dyDescent="0.25">
      <c r="B1485" s="8" t="s">
        <v>4832</v>
      </c>
      <c r="C1485" s="159"/>
      <c r="D1485" s="159"/>
      <c r="E1485" s="6"/>
      <c r="F1485" s="6"/>
      <c r="G1485" s="6"/>
      <c r="H1485" s="6"/>
      <c r="I1485" s="11"/>
    </row>
    <row r="1488" spans="1:9" ht="33.75" x14ac:dyDescent="0.25">
      <c r="B1488" s="187" t="s">
        <v>4842</v>
      </c>
      <c r="C1488" s="188"/>
      <c r="D1488" s="188"/>
      <c r="E1488" s="188"/>
      <c r="F1488" s="188"/>
      <c r="G1488" s="188"/>
      <c r="H1488" s="188"/>
      <c r="I1488" s="189"/>
    </row>
    <row r="1489" spans="1:9" ht="47.25" x14ac:dyDescent="0.25">
      <c r="A1489" s="155" t="s">
        <v>4819</v>
      </c>
      <c r="B1489" s="155" t="s">
        <v>4820</v>
      </c>
      <c r="C1489" s="4" t="s">
        <v>4821</v>
      </c>
      <c r="D1489" s="4" t="s">
        <v>4822</v>
      </c>
      <c r="E1489" s="88" t="s">
        <v>4823</v>
      </c>
      <c r="F1489" s="88" t="s">
        <v>4824</v>
      </c>
      <c r="G1489" s="88" t="s">
        <v>4825</v>
      </c>
      <c r="H1489" s="4" t="s">
        <v>4826</v>
      </c>
      <c r="I1489" s="29" t="s">
        <v>4827</v>
      </c>
    </row>
    <row r="1490" spans="1:9" ht="25.5" x14ac:dyDescent="0.25">
      <c r="A1490" s="156"/>
      <c r="B1490" s="156"/>
      <c r="C1490" s="13" t="s">
        <v>4828</v>
      </c>
      <c r="D1490" s="13" t="s">
        <v>4828</v>
      </c>
      <c r="E1490" s="13" t="s">
        <v>4828</v>
      </c>
      <c r="F1490" s="13" t="s">
        <v>4828</v>
      </c>
      <c r="G1490" s="13" t="s">
        <v>4828</v>
      </c>
      <c r="H1490" s="13" t="s">
        <v>4828</v>
      </c>
      <c r="I1490" s="30"/>
    </row>
    <row r="1491" spans="1:9" ht="15.75" x14ac:dyDescent="0.25">
      <c r="A1491" s="23">
        <v>1249</v>
      </c>
      <c r="B1491" s="6" t="str">
        <f>CADASTROS!$C$942</f>
        <v>Edicléia Santana Santos</v>
      </c>
      <c r="C1491" s="159"/>
      <c r="D1491" s="159"/>
      <c r="E1491" s="159"/>
      <c r="F1491" s="159"/>
      <c r="G1491" s="159"/>
      <c r="H1491" s="159"/>
      <c r="I1491" s="7">
        <f>SUM(C1491+D1491+E1491+F1491+G1491+H1491)</f>
        <v>0</v>
      </c>
    </row>
    <row r="1492" spans="1:9" ht="15.75" x14ac:dyDescent="0.25">
      <c r="A1492" s="23">
        <v>1250</v>
      </c>
      <c r="B1492" s="6" t="str">
        <f>CADASTROS!$C$943</f>
        <v>Jair Carneiro Farias</v>
      </c>
      <c r="C1492" s="159"/>
      <c r="D1492" s="159"/>
      <c r="E1492" s="159"/>
      <c r="F1492" s="159"/>
      <c r="G1492" s="159"/>
      <c r="H1492" s="159"/>
      <c r="I1492" s="7">
        <f t="shared" ref="I1492:I1517" si="129">SUM(C1492+D1492+E1492+F1492+G1492+H1492)</f>
        <v>0</v>
      </c>
    </row>
    <row r="1493" spans="1:9" ht="15.75" x14ac:dyDescent="0.25">
      <c r="A1493" s="23">
        <v>1251</v>
      </c>
      <c r="B1493" s="6" t="str">
        <f>CADASTROS!$C$944</f>
        <v>Adinela Francisca dos Santos</v>
      </c>
      <c r="C1493" s="159"/>
      <c r="D1493" s="159"/>
      <c r="E1493" s="159"/>
      <c r="F1493" s="159"/>
      <c r="G1493" s="159"/>
      <c r="H1493" s="159"/>
      <c r="I1493" s="7">
        <f t="shared" si="129"/>
        <v>0</v>
      </c>
    </row>
    <row r="1494" spans="1:9" ht="15.75" x14ac:dyDescent="0.25">
      <c r="A1494" s="23">
        <v>1252</v>
      </c>
      <c r="B1494" s="6" t="str">
        <f>CADASTROS!$C$945</f>
        <v>Jaires Francisco Santos</v>
      </c>
      <c r="C1494" s="159"/>
      <c r="D1494" s="159"/>
      <c r="E1494" s="159"/>
      <c r="F1494" s="159"/>
      <c r="G1494" s="159"/>
      <c r="H1494" s="159"/>
      <c r="I1494" s="7">
        <f t="shared" si="129"/>
        <v>0</v>
      </c>
    </row>
    <row r="1495" spans="1:9" ht="15.75" x14ac:dyDescent="0.25">
      <c r="A1495" s="23">
        <v>1253</v>
      </c>
      <c r="B1495" s="6" t="str">
        <f>CADASTROS!$C$946</f>
        <v>Joilson Santos Lima</v>
      </c>
      <c r="C1495" s="159"/>
      <c r="D1495" s="159"/>
      <c r="E1495" s="159"/>
      <c r="F1495" s="159"/>
      <c r="G1495" s="159"/>
      <c r="H1495" s="159"/>
      <c r="I1495" s="7">
        <f t="shared" si="129"/>
        <v>0</v>
      </c>
    </row>
    <row r="1496" spans="1:9" ht="15.75" x14ac:dyDescent="0.25">
      <c r="A1496" s="23">
        <v>1254</v>
      </c>
      <c r="B1496" s="6" t="str">
        <f>CADASTROS!$C$947</f>
        <v>Maria de Almeida</v>
      </c>
      <c r="C1496" s="159"/>
      <c r="D1496" s="159"/>
      <c r="E1496" s="159"/>
      <c r="F1496" s="159"/>
      <c r="G1496" s="159"/>
      <c r="H1496" s="159"/>
      <c r="I1496" s="7">
        <f t="shared" si="129"/>
        <v>0</v>
      </c>
    </row>
    <row r="1497" spans="1:9" ht="15.75" x14ac:dyDescent="0.25">
      <c r="A1497" s="23">
        <v>1255</v>
      </c>
      <c r="B1497" s="6" t="str">
        <f>CADASTROS!$C$948</f>
        <v xml:space="preserve">Nobertino Mauricio da Conceição </v>
      </c>
      <c r="C1497" s="159">
        <v>10</v>
      </c>
      <c r="D1497" s="159"/>
      <c r="E1497" s="159">
        <v>10.5</v>
      </c>
      <c r="F1497" s="159"/>
      <c r="G1497" s="159">
        <v>15.5</v>
      </c>
      <c r="H1497" s="159">
        <v>14.5</v>
      </c>
      <c r="I1497" s="7">
        <f t="shared" si="129"/>
        <v>50.5</v>
      </c>
    </row>
    <row r="1498" spans="1:9" ht="15.75" x14ac:dyDescent="0.25">
      <c r="A1498" s="23">
        <v>1256</v>
      </c>
      <c r="B1498" s="6" t="str">
        <f>CADASTROS!$C$949</f>
        <v>Rosangela Alves Pereira (2B)</v>
      </c>
      <c r="C1498" s="159"/>
      <c r="D1498" s="159"/>
      <c r="E1498" s="159"/>
      <c r="F1498" s="159"/>
      <c r="G1498" s="159"/>
      <c r="H1498" s="159"/>
      <c r="I1498" s="7">
        <f t="shared" si="129"/>
        <v>0</v>
      </c>
    </row>
    <row r="1499" spans="1:9" ht="15.75" x14ac:dyDescent="0.25">
      <c r="A1499" s="23">
        <v>1257</v>
      </c>
      <c r="B1499" s="6" t="str">
        <f>CADASTROS!$C$950</f>
        <v>Iolanda Moureira da Silva (2B)</v>
      </c>
      <c r="C1499" s="159"/>
      <c r="D1499" s="159"/>
      <c r="E1499" s="159"/>
      <c r="F1499" s="159"/>
      <c r="G1499" s="159"/>
      <c r="H1499" s="159"/>
      <c r="I1499" s="7">
        <f t="shared" si="129"/>
        <v>0</v>
      </c>
    </row>
    <row r="1500" spans="1:9" ht="15.75" x14ac:dyDescent="0.25">
      <c r="A1500" s="23">
        <v>1258</v>
      </c>
      <c r="B1500" s="6" t="str">
        <f>CADASTROS!$C$951</f>
        <v>Marivalda Santos da S. Macedo</v>
      </c>
      <c r="C1500" s="159"/>
      <c r="D1500" s="159"/>
      <c r="E1500" s="159"/>
      <c r="F1500" s="159"/>
      <c r="G1500" s="159"/>
      <c r="H1500" s="159"/>
      <c r="I1500" s="7">
        <f t="shared" si="129"/>
        <v>0</v>
      </c>
    </row>
    <row r="1501" spans="1:9" ht="15.75" x14ac:dyDescent="0.25">
      <c r="A1501" s="23">
        <v>1259</v>
      </c>
      <c r="B1501" s="6" t="str">
        <f>CADASTROS!$C$952</f>
        <v>Albino Joaquim da Silva</v>
      </c>
      <c r="C1501" s="159"/>
      <c r="D1501" s="159"/>
      <c r="E1501" s="159"/>
      <c r="F1501" s="159"/>
      <c r="G1501" s="159"/>
      <c r="H1501" s="159"/>
      <c r="I1501" s="7">
        <f t="shared" si="129"/>
        <v>0</v>
      </c>
    </row>
    <row r="1502" spans="1:9" ht="15.75" x14ac:dyDescent="0.25">
      <c r="A1502" s="23">
        <v>1260</v>
      </c>
      <c r="B1502" s="6" t="str">
        <f>CADASTROS!$C$953</f>
        <v>Zenilda Paixão dos Santos</v>
      </c>
      <c r="C1502" s="159"/>
      <c r="D1502" s="159"/>
      <c r="E1502" s="159"/>
      <c r="F1502" s="159"/>
      <c r="G1502" s="159"/>
      <c r="H1502" s="159"/>
      <c r="I1502" s="7">
        <f t="shared" si="129"/>
        <v>0</v>
      </c>
    </row>
    <row r="1503" spans="1:9" ht="15.75" x14ac:dyDescent="0.25">
      <c r="A1503" s="23">
        <v>1261</v>
      </c>
      <c r="B1503" s="6" t="str">
        <f>CADASTROS!$C$954</f>
        <v>Jazon Dias Damasceno</v>
      </c>
      <c r="C1503" s="159"/>
      <c r="D1503" s="159"/>
      <c r="E1503" s="159"/>
      <c r="F1503" s="159"/>
      <c r="G1503" s="159"/>
      <c r="H1503" s="159"/>
      <c r="I1503" s="7">
        <f t="shared" si="129"/>
        <v>0</v>
      </c>
    </row>
    <row r="1504" spans="1:9" ht="15.75" x14ac:dyDescent="0.25">
      <c r="A1504" s="23">
        <v>1262</v>
      </c>
      <c r="B1504" s="6" t="str">
        <f>CADASTROS!$C$955</f>
        <v>Pureza de Jesus Oliveira</v>
      </c>
      <c r="C1504" s="159"/>
      <c r="D1504" s="159"/>
      <c r="E1504" s="159"/>
      <c r="F1504" s="159"/>
      <c r="G1504" s="159"/>
      <c r="H1504" s="159"/>
      <c r="I1504" s="7">
        <f t="shared" si="129"/>
        <v>0</v>
      </c>
    </row>
    <row r="1505" spans="1:9" ht="15.75" x14ac:dyDescent="0.25">
      <c r="A1505" s="23">
        <v>1263</v>
      </c>
      <c r="B1505" s="6" t="str">
        <f>CADASTROS!$C$956</f>
        <v>Marinalva A. Moraes de Souza</v>
      </c>
      <c r="C1505" s="159"/>
      <c r="D1505" s="159"/>
      <c r="E1505" s="159"/>
      <c r="F1505" s="159"/>
      <c r="G1505" s="159"/>
      <c r="H1505" s="159"/>
      <c r="I1505" s="7">
        <f t="shared" si="129"/>
        <v>0</v>
      </c>
    </row>
    <row r="1506" spans="1:9" ht="15.75" x14ac:dyDescent="0.25">
      <c r="A1506" s="23">
        <v>1264</v>
      </c>
      <c r="B1506" s="6" t="str">
        <f>CADASTROS!$C$957</f>
        <v>Luzinaria Laranjeira de Sousa</v>
      </c>
      <c r="C1506" s="159"/>
      <c r="D1506" s="159"/>
      <c r="E1506" s="159"/>
      <c r="F1506" s="159"/>
      <c r="G1506" s="159"/>
      <c r="H1506" s="159"/>
      <c r="I1506" s="7">
        <f t="shared" si="129"/>
        <v>0</v>
      </c>
    </row>
    <row r="1507" spans="1:9" ht="15.75" x14ac:dyDescent="0.25">
      <c r="A1507" s="23">
        <v>1265</v>
      </c>
      <c r="B1507" s="6" t="str">
        <f>CADASTROS!$C$958</f>
        <v>Ailton Cedro de Souza</v>
      </c>
      <c r="C1507" s="159"/>
      <c r="D1507" s="159"/>
      <c r="E1507" s="159"/>
      <c r="F1507" s="159"/>
      <c r="G1507" s="159"/>
      <c r="H1507" s="159"/>
      <c r="I1507" s="7">
        <f t="shared" si="129"/>
        <v>0</v>
      </c>
    </row>
    <row r="1508" spans="1:9" ht="15.75" x14ac:dyDescent="0.25">
      <c r="A1508" s="23">
        <v>1266</v>
      </c>
      <c r="B1508" s="6" t="str">
        <f>CADASTROS!$C$959</f>
        <v>Terezinha C. Ferreira</v>
      </c>
      <c r="C1508" s="159"/>
      <c r="D1508" s="159"/>
      <c r="E1508" s="159"/>
      <c r="F1508" s="159"/>
      <c r="G1508" s="159"/>
      <c r="H1508" s="159"/>
      <c r="I1508" s="7">
        <f t="shared" si="129"/>
        <v>0</v>
      </c>
    </row>
    <row r="1509" spans="1:9" ht="15.75" x14ac:dyDescent="0.25">
      <c r="A1509" s="23">
        <v>1267</v>
      </c>
      <c r="B1509" s="6" t="str">
        <f>CADASTROS!$C$960</f>
        <v>Jocelma Costa dos Santos</v>
      </c>
      <c r="C1509" s="159"/>
      <c r="D1509" s="159"/>
      <c r="E1509" s="159"/>
      <c r="F1509" s="159"/>
      <c r="G1509" s="159"/>
      <c r="H1509" s="159"/>
      <c r="I1509" s="7">
        <f t="shared" si="129"/>
        <v>0</v>
      </c>
    </row>
    <row r="1510" spans="1:9" ht="15.75" x14ac:dyDescent="0.25">
      <c r="A1510" s="23">
        <v>1268</v>
      </c>
      <c r="B1510" s="6" t="str">
        <f>CADASTROS!$C$961</f>
        <v>Daiane Miranda da Cruz (2B)</v>
      </c>
      <c r="C1510" s="159"/>
      <c r="D1510" s="159"/>
      <c r="E1510" s="159"/>
      <c r="F1510" s="159"/>
      <c r="G1510" s="159"/>
      <c r="H1510" s="159"/>
      <c r="I1510" s="7">
        <f t="shared" si="129"/>
        <v>0</v>
      </c>
    </row>
    <row r="1511" spans="1:9" ht="15.75" x14ac:dyDescent="0.25">
      <c r="A1511" s="23">
        <v>1269</v>
      </c>
      <c r="B1511" s="6" t="str">
        <f>CADASTROS!$C$962</f>
        <v>Maria do Carmo Almeida Cruz</v>
      </c>
      <c r="C1511" s="159"/>
      <c r="D1511" s="159"/>
      <c r="E1511" s="159"/>
      <c r="F1511" s="159"/>
      <c r="G1511" s="159"/>
      <c r="H1511" s="159"/>
      <c r="I1511" s="7">
        <f t="shared" si="129"/>
        <v>0</v>
      </c>
    </row>
    <row r="1512" spans="1:9" ht="15.75" x14ac:dyDescent="0.25">
      <c r="A1512" s="23">
        <v>1270</v>
      </c>
      <c r="B1512" s="6" t="str">
        <f>CADASTROS!$C$963</f>
        <v>José Marcos V. Lopes</v>
      </c>
      <c r="C1512" s="159"/>
      <c r="D1512" s="159"/>
      <c r="E1512" s="159"/>
      <c r="F1512" s="159"/>
      <c r="G1512" s="159"/>
      <c r="H1512" s="159"/>
      <c r="I1512" s="7">
        <f t="shared" si="129"/>
        <v>0</v>
      </c>
    </row>
    <row r="1513" spans="1:9" ht="15.75" x14ac:dyDescent="0.25">
      <c r="A1513" s="23">
        <v>1271</v>
      </c>
      <c r="B1513" s="6" t="str">
        <f>CADASTROS!$C$964</f>
        <v>Eleonia Jesus A Oliveira</v>
      </c>
      <c r="C1513" s="159"/>
      <c r="D1513" s="159"/>
      <c r="E1513" s="159"/>
      <c r="F1513" s="159"/>
      <c r="G1513" s="159"/>
      <c r="H1513" s="159"/>
      <c r="I1513" s="7">
        <f t="shared" si="129"/>
        <v>0</v>
      </c>
    </row>
    <row r="1514" spans="1:9" ht="15.75" x14ac:dyDescent="0.25">
      <c r="A1514" s="23">
        <v>1272</v>
      </c>
      <c r="B1514" s="6" t="str">
        <f>CADASTROS!$C$965</f>
        <v>Osvaldo Mendes S. Santos</v>
      </c>
      <c r="C1514" s="159">
        <v>13</v>
      </c>
      <c r="D1514" s="159"/>
      <c r="E1514" s="159"/>
      <c r="F1514" s="159"/>
      <c r="G1514" s="159"/>
      <c r="H1514" s="159">
        <v>11</v>
      </c>
      <c r="I1514" s="7">
        <f t="shared" si="129"/>
        <v>24</v>
      </c>
    </row>
    <row r="1515" spans="1:9" ht="15.75" x14ac:dyDescent="0.25">
      <c r="A1515" s="23">
        <v>1273</v>
      </c>
      <c r="B1515" s="6" t="str">
        <f>CADASTROS!$C$966</f>
        <v>Nilda Bispo Gama</v>
      </c>
      <c r="C1515" s="159"/>
      <c r="D1515" s="159"/>
      <c r="E1515" s="159"/>
      <c r="F1515" s="159"/>
      <c r="G1515" s="159"/>
      <c r="H1515" s="159"/>
      <c r="I1515" s="7">
        <f t="shared" si="129"/>
        <v>0</v>
      </c>
    </row>
    <row r="1516" spans="1:9" ht="15.75" x14ac:dyDescent="0.25">
      <c r="A1516" s="23">
        <v>1274</v>
      </c>
      <c r="B1516" s="6" t="str">
        <f>CADASTROS!$C$967</f>
        <v>Edivaldo Ferreira de Souza</v>
      </c>
      <c r="C1516" s="159"/>
      <c r="D1516" s="159"/>
      <c r="E1516" s="159"/>
      <c r="F1516" s="159"/>
      <c r="G1516" s="159"/>
      <c r="H1516" s="159"/>
      <c r="I1516" s="7">
        <f t="shared" si="129"/>
        <v>0</v>
      </c>
    </row>
    <row r="1517" spans="1:9" ht="15.75" x14ac:dyDescent="0.25">
      <c r="A1517" s="23">
        <v>1275</v>
      </c>
      <c r="B1517" s="6" t="str">
        <f>CADASTROS!$C$968</f>
        <v>Eunaide Gonçalves Ferreira</v>
      </c>
      <c r="C1517" s="159"/>
      <c r="D1517" s="159"/>
      <c r="E1517" s="159"/>
      <c r="F1517" s="159"/>
      <c r="G1517" s="159"/>
      <c r="H1517" s="159"/>
      <c r="I1517" s="7">
        <f t="shared" si="129"/>
        <v>0</v>
      </c>
    </row>
    <row r="1518" spans="1:9" ht="15.75" x14ac:dyDescent="0.25">
      <c r="B1518" s="159" t="s">
        <v>4829</v>
      </c>
      <c r="C1518" s="159">
        <f>SUM(C1491:C1517)</f>
        <v>23</v>
      </c>
      <c r="D1518" s="159">
        <f t="shared" ref="D1518:H1518" si="130">SUM(D1491:D1517)</f>
        <v>0</v>
      </c>
      <c r="E1518" s="159">
        <f t="shared" si="130"/>
        <v>10.5</v>
      </c>
      <c r="F1518" s="159">
        <f t="shared" si="130"/>
        <v>0</v>
      </c>
      <c r="G1518" s="159">
        <f t="shared" si="130"/>
        <v>15.5</v>
      </c>
      <c r="H1518" s="159">
        <f t="shared" si="130"/>
        <v>25.5</v>
      </c>
      <c r="I1518" s="159">
        <f>SUM(I1491:I1517)</f>
        <v>74.5</v>
      </c>
    </row>
    <row r="1520" spans="1:9" ht="15.75" x14ac:dyDescent="0.25">
      <c r="B1520" s="8" t="s">
        <v>4830</v>
      </c>
      <c r="C1520" s="159"/>
      <c r="D1520" s="159"/>
      <c r="E1520" s="159"/>
      <c r="F1520" s="159"/>
      <c r="G1520" s="159"/>
      <c r="H1520" s="159"/>
      <c r="I1520" s="159">
        <f>SUM(C1520:H1520)</f>
        <v>0</v>
      </c>
    </row>
    <row r="1521" spans="1:9" x14ac:dyDescent="0.25">
      <c r="B1521" s="167"/>
    </row>
    <row r="1522" spans="1:9" ht="15.75" x14ac:dyDescent="0.25">
      <c r="B1522" s="8" t="s">
        <v>4831</v>
      </c>
      <c r="C1522" s="9" t="e">
        <f>C1518/C1520</f>
        <v>#DIV/0!</v>
      </c>
      <c r="D1522" s="9" t="e">
        <f t="shared" ref="D1522:H1522" si="131">D1518/D1520</f>
        <v>#DIV/0!</v>
      </c>
      <c r="E1522" s="9" t="e">
        <f t="shared" si="131"/>
        <v>#DIV/0!</v>
      </c>
      <c r="F1522" s="9" t="e">
        <f t="shared" si="131"/>
        <v>#DIV/0!</v>
      </c>
      <c r="G1522" s="9" t="e">
        <f t="shared" si="131"/>
        <v>#DIV/0!</v>
      </c>
      <c r="H1522" s="9" t="e">
        <f t="shared" si="131"/>
        <v>#DIV/0!</v>
      </c>
      <c r="I1522" s="9"/>
    </row>
    <row r="1523" spans="1:9" ht="15.75" x14ac:dyDescent="0.25">
      <c r="B1523" s="163"/>
      <c r="C1523" s="10"/>
      <c r="D1523" s="10"/>
      <c r="E1523" s="10"/>
      <c r="F1523" s="10"/>
      <c r="G1523" s="10"/>
      <c r="H1523" s="163"/>
      <c r="I1523" s="163"/>
    </row>
    <row r="1524" spans="1:9" ht="15.75" x14ac:dyDescent="0.25">
      <c r="B1524" s="8" t="s">
        <v>4832</v>
      </c>
      <c r="C1524" s="159"/>
      <c r="D1524" s="159"/>
      <c r="E1524" s="6"/>
      <c r="F1524" s="6"/>
      <c r="G1524" s="6"/>
      <c r="H1524" s="6"/>
      <c r="I1524" s="11"/>
    </row>
    <row r="1526" spans="1:9" ht="33.75" x14ac:dyDescent="0.25">
      <c r="B1526" s="187" t="s">
        <v>4842</v>
      </c>
      <c r="C1526" s="188"/>
      <c r="D1526" s="188"/>
      <c r="E1526" s="188"/>
      <c r="F1526" s="188"/>
      <c r="G1526" s="188"/>
      <c r="H1526" s="188"/>
      <c r="I1526" s="189"/>
    </row>
    <row r="1527" spans="1:9" ht="47.25" x14ac:dyDescent="0.25">
      <c r="A1527" s="155" t="s">
        <v>4819</v>
      </c>
      <c r="B1527" s="155" t="s">
        <v>4820</v>
      </c>
      <c r="C1527" s="4" t="s">
        <v>4821</v>
      </c>
      <c r="D1527" s="4" t="s">
        <v>4822</v>
      </c>
      <c r="E1527" s="88" t="s">
        <v>4823</v>
      </c>
      <c r="F1527" s="88" t="s">
        <v>4824</v>
      </c>
      <c r="G1527" s="88" t="s">
        <v>4825</v>
      </c>
      <c r="H1527" s="4" t="s">
        <v>4826</v>
      </c>
      <c r="I1527" s="29" t="s">
        <v>4827</v>
      </c>
    </row>
    <row r="1528" spans="1:9" ht="25.5" x14ac:dyDescent="0.25">
      <c r="A1528" s="156"/>
      <c r="B1528" s="156"/>
      <c r="C1528" s="13" t="s">
        <v>4828</v>
      </c>
      <c r="D1528" s="13" t="s">
        <v>4828</v>
      </c>
      <c r="E1528" s="13" t="s">
        <v>4828</v>
      </c>
      <c r="F1528" s="13" t="s">
        <v>4828</v>
      </c>
      <c r="G1528" s="13" t="s">
        <v>4828</v>
      </c>
      <c r="H1528" s="13" t="s">
        <v>4828</v>
      </c>
      <c r="I1528" s="30"/>
    </row>
    <row r="1529" spans="1:9" ht="15.75" x14ac:dyDescent="0.25">
      <c r="A1529" s="23">
        <v>1276</v>
      </c>
      <c r="B1529" s="6" t="str">
        <f>CADASTROS!$C$969</f>
        <v>Carmelita Pereira Souza</v>
      </c>
      <c r="C1529" s="159"/>
      <c r="D1529" s="159"/>
      <c r="E1529" s="159"/>
      <c r="F1529" s="159"/>
      <c r="G1529" s="159"/>
      <c r="H1529" s="159"/>
      <c r="I1529" s="7">
        <f>SUM(C1529+D1529+E1529+F1529+G1529+H1529)</f>
        <v>0</v>
      </c>
    </row>
    <row r="1530" spans="1:9" ht="15.75" x14ac:dyDescent="0.25">
      <c r="A1530" s="23">
        <v>1277</v>
      </c>
      <c r="B1530" s="6" t="str">
        <f>CADASTROS!$C$970</f>
        <v>Adair V. dos Santos</v>
      </c>
      <c r="C1530" s="159"/>
      <c r="D1530" s="159"/>
      <c r="E1530" s="159"/>
      <c r="F1530" s="159"/>
      <c r="G1530" s="159"/>
      <c r="H1530" s="159"/>
      <c r="I1530" s="7">
        <f t="shared" ref="I1530:I1555" si="132">SUM(C1530+D1530+E1530+F1530+G1530+H1530)</f>
        <v>0</v>
      </c>
    </row>
    <row r="1531" spans="1:9" ht="15.75" x14ac:dyDescent="0.25">
      <c r="A1531" s="23">
        <v>1278</v>
      </c>
      <c r="B1531" s="6" t="str">
        <f>CADASTROS!$C$971</f>
        <v>Santilha dos Santos Leite</v>
      </c>
      <c r="C1531" s="159"/>
      <c r="D1531" s="159"/>
      <c r="E1531" s="159"/>
      <c r="F1531" s="159"/>
      <c r="G1531" s="159"/>
      <c r="H1531" s="159"/>
      <c r="I1531" s="7">
        <f t="shared" si="132"/>
        <v>0</v>
      </c>
    </row>
    <row r="1532" spans="1:9" ht="15.75" x14ac:dyDescent="0.25">
      <c r="A1532" s="23">
        <v>1279</v>
      </c>
      <c r="B1532" s="6" t="str">
        <f>CADASTROS!$C$972</f>
        <v>Marivaldo Santos da Silva</v>
      </c>
      <c r="C1532" s="159"/>
      <c r="D1532" s="159"/>
      <c r="E1532" s="159"/>
      <c r="F1532" s="159"/>
      <c r="G1532" s="159"/>
      <c r="H1532" s="159"/>
      <c r="I1532" s="7">
        <f t="shared" si="132"/>
        <v>0</v>
      </c>
    </row>
    <row r="1533" spans="1:9" ht="15.75" x14ac:dyDescent="0.25">
      <c r="A1533" s="23">
        <v>1280</v>
      </c>
      <c r="B1533" s="6" t="str">
        <f>CADASTROS!$C$973</f>
        <v>Edson Santos da Silva (2B)</v>
      </c>
      <c r="C1533" s="159"/>
      <c r="D1533" s="159"/>
      <c r="E1533" s="159"/>
      <c r="F1533" s="159"/>
      <c r="G1533" s="159"/>
      <c r="H1533" s="159"/>
      <c r="I1533" s="7">
        <f t="shared" si="132"/>
        <v>0</v>
      </c>
    </row>
    <row r="1534" spans="1:9" ht="15.75" x14ac:dyDescent="0.25">
      <c r="A1534" s="23">
        <v>1281</v>
      </c>
      <c r="B1534" s="6" t="str">
        <f>CADASTROS!$C$974</f>
        <v>Maria da Paixão de Jesus</v>
      </c>
      <c r="C1534" s="159"/>
      <c r="D1534" s="159"/>
      <c r="E1534" s="159"/>
      <c r="F1534" s="159"/>
      <c r="G1534" s="159"/>
      <c r="H1534" s="159"/>
      <c r="I1534" s="7">
        <f t="shared" si="132"/>
        <v>0</v>
      </c>
    </row>
    <row r="1535" spans="1:9" ht="15.75" x14ac:dyDescent="0.25">
      <c r="A1535" s="23">
        <v>1282</v>
      </c>
      <c r="B1535" s="6" t="str">
        <f>CADASTROS!$C$975</f>
        <v>Barbara Regina de Souza</v>
      </c>
      <c r="C1535" s="159"/>
      <c r="D1535" s="159"/>
      <c r="E1535" s="159"/>
      <c r="F1535" s="159"/>
      <c r="G1535" s="159"/>
      <c r="H1535" s="159"/>
      <c r="I1535" s="7">
        <f t="shared" si="132"/>
        <v>0</v>
      </c>
    </row>
    <row r="1536" spans="1:9" ht="15.75" x14ac:dyDescent="0.25">
      <c r="A1536" s="23">
        <v>1283</v>
      </c>
      <c r="B1536" s="6" t="str">
        <f>CADASTROS!$C$976</f>
        <v>Núbia Margarete Araújo</v>
      </c>
      <c r="C1536" s="159"/>
      <c r="D1536" s="159"/>
      <c r="E1536" s="159"/>
      <c r="F1536" s="159"/>
      <c r="G1536" s="159"/>
      <c r="H1536" s="159"/>
      <c r="I1536" s="7">
        <f t="shared" si="132"/>
        <v>0</v>
      </c>
    </row>
    <row r="1537" spans="1:9" ht="15.75" x14ac:dyDescent="0.25">
      <c r="A1537" s="23">
        <v>1284</v>
      </c>
      <c r="B1537" s="6" t="str">
        <f>CADASTROS!$C$977</f>
        <v>Alex da Silva Santos</v>
      </c>
      <c r="C1537" s="159"/>
      <c r="D1537" s="159"/>
      <c r="E1537" s="159"/>
      <c r="F1537" s="159"/>
      <c r="G1537" s="159"/>
      <c r="H1537" s="159"/>
      <c r="I1537" s="7">
        <f t="shared" si="132"/>
        <v>0</v>
      </c>
    </row>
    <row r="1538" spans="1:9" ht="15.75" x14ac:dyDescent="0.25">
      <c r="A1538" s="23">
        <v>1285</v>
      </c>
      <c r="B1538" s="6" t="str">
        <f>CADASTROS!$C$978</f>
        <v>Viviane Ramalho de Oliveira</v>
      </c>
      <c r="C1538" s="159"/>
      <c r="D1538" s="159"/>
      <c r="E1538" s="159"/>
      <c r="F1538" s="159"/>
      <c r="G1538" s="159"/>
      <c r="H1538" s="159"/>
      <c r="I1538" s="7">
        <f t="shared" si="132"/>
        <v>0</v>
      </c>
    </row>
    <row r="1539" spans="1:9" ht="15.75" x14ac:dyDescent="0.25">
      <c r="A1539" s="23">
        <v>1286</v>
      </c>
      <c r="B1539" s="6" t="str">
        <f>CADASTROS!$C$979</f>
        <v>Fábio de Souza Dias</v>
      </c>
      <c r="C1539" s="159"/>
      <c r="D1539" s="159"/>
      <c r="E1539" s="159"/>
      <c r="F1539" s="159"/>
      <c r="G1539" s="159"/>
      <c r="H1539" s="159"/>
      <c r="I1539" s="7">
        <f t="shared" si="132"/>
        <v>0</v>
      </c>
    </row>
    <row r="1540" spans="1:9" ht="15.75" x14ac:dyDescent="0.25">
      <c r="A1540" s="23">
        <v>1287</v>
      </c>
      <c r="B1540" s="6" t="str">
        <f>CADASTROS!$C$980</f>
        <v>Ourivaldo Bispo Gama</v>
      </c>
      <c r="C1540" s="159"/>
      <c r="D1540" s="159"/>
      <c r="E1540" s="159"/>
      <c r="F1540" s="159"/>
      <c r="G1540" s="159"/>
      <c r="H1540" s="159"/>
      <c r="I1540" s="7">
        <f t="shared" si="132"/>
        <v>0</v>
      </c>
    </row>
    <row r="1541" spans="1:9" ht="15.75" x14ac:dyDescent="0.25">
      <c r="A1541" s="23">
        <v>1288</v>
      </c>
      <c r="B1541" s="6" t="str">
        <f>CADASTROS!$C$981</f>
        <v>Marta Alves Pinheiro (VG)</v>
      </c>
      <c r="C1541" s="159"/>
      <c r="D1541" s="159"/>
      <c r="E1541" s="159"/>
      <c r="F1541" s="159"/>
      <c r="G1541" s="159"/>
      <c r="H1541" s="159"/>
      <c r="I1541" s="7">
        <f t="shared" si="132"/>
        <v>0</v>
      </c>
    </row>
    <row r="1542" spans="1:9" ht="15.75" x14ac:dyDescent="0.25">
      <c r="A1542" s="23">
        <v>1289</v>
      </c>
      <c r="B1542" s="6" t="str">
        <f>CADASTROS!$C$982</f>
        <v>Rosangela Silva Sales (VG)</v>
      </c>
      <c r="C1542" s="159"/>
      <c r="D1542" s="159"/>
      <c r="E1542" s="159"/>
      <c r="F1542" s="159"/>
      <c r="G1542" s="159"/>
      <c r="H1542" s="159"/>
      <c r="I1542" s="7">
        <f t="shared" si="132"/>
        <v>0</v>
      </c>
    </row>
    <row r="1543" spans="1:9" ht="15.75" x14ac:dyDescent="0.25">
      <c r="A1543" s="23">
        <v>1290</v>
      </c>
      <c r="B1543" s="6" t="str">
        <f>CADASTROS!$C$983</f>
        <v>Marcia Miranda Rocha (VG)</v>
      </c>
      <c r="C1543" s="159"/>
      <c r="D1543" s="159"/>
      <c r="E1543" s="159"/>
      <c r="F1543" s="159"/>
      <c r="G1543" s="159"/>
      <c r="H1543" s="159"/>
      <c r="I1543" s="7">
        <f t="shared" si="132"/>
        <v>0</v>
      </c>
    </row>
    <row r="1544" spans="1:9" ht="15.75" x14ac:dyDescent="0.25">
      <c r="A1544" s="23">
        <v>1291</v>
      </c>
      <c r="B1544" s="6" t="str">
        <f>CADASTROS!$C$984</f>
        <v>Soene Nunes Vieira (VG)</v>
      </c>
      <c r="C1544" s="159"/>
      <c r="D1544" s="159"/>
      <c r="E1544" s="159"/>
      <c r="F1544" s="159"/>
      <c r="G1544" s="159"/>
      <c r="H1544" s="159"/>
      <c r="I1544" s="7">
        <f t="shared" si="132"/>
        <v>0</v>
      </c>
    </row>
    <row r="1545" spans="1:9" ht="15.75" x14ac:dyDescent="0.25">
      <c r="A1545" s="23">
        <v>1292</v>
      </c>
      <c r="B1545" s="6" t="str">
        <f>CADASTROS!$C$985</f>
        <v>Edva Reis Santos (VG)</v>
      </c>
      <c r="C1545" s="159"/>
      <c r="D1545" s="159"/>
      <c r="E1545" s="159"/>
      <c r="F1545" s="159"/>
      <c r="G1545" s="159"/>
      <c r="H1545" s="159"/>
      <c r="I1545" s="7">
        <f t="shared" si="132"/>
        <v>0</v>
      </c>
    </row>
    <row r="1546" spans="1:9" ht="15.75" x14ac:dyDescent="0.25">
      <c r="A1546" s="23">
        <v>1293</v>
      </c>
      <c r="B1546" s="6" t="str">
        <f>CADASTROS!$C$986</f>
        <v>Paulo Sérgio S. Oliveira (VG)</v>
      </c>
      <c r="C1546" s="159"/>
      <c r="D1546" s="159"/>
      <c r="E1546" s="159"/>
      <c r="F1546" s="159"/>
      <c r="G1546" s="159"/>
      <c r="H1546" s="159"/>
      <c r="I1546" s="7">
        <f t="shared" si="132"/>
        <v>0</v>
      </c>
    </row>
    <row r="1547" spans="1:9" ht="15.75" x14ac:dyDescent="0.25">
      <c r="A1547" s="23">
        <v>1294</v>
      </c>
      <c r="B1547" s="6" t="str">
        <f>CADASTROS!$C$987</f>
        <v>Kayky das Merces Santa</v>
      </c>
      <c r="C1547" s="159"/>
      <c r="D1547" s="159"/>
      <c r="E1547" s="159"/>
      <c r="F1547" s="159"/>
      <c r="G1547" s="159"/>
      <c r="H1547" s="159"/>
      <c r="I1547" s="7">
        <f t="shared" si="132"/>
        <v>0</v>
      </c>
    </row>
    <row r="1548" spans="1:9" ht="15.75" x14ac:dyDescent="0.25">
      <c r="A1548" s="23">
        <v>1295</v>
      </c>
      <c r="B1548" s="6" t="str">
        <f>CADASTROS!$C$988</f>
        <v>Ivanete Sampaio Alves (VG)</v>
      </c>
      <c r="C1548" s="159"/>
      <c r="D1548" s="159"/>
      <c r="E1548" s="159"/>
      <c r="F1548" s="159"/>
      <c r="G1548" s="159"/>
      <c r="H1548" s="159"/>
      <c r="I1548" s="7">
        <f t="shared" si="132"/>
        <v>0</v>
      </c>
    </row>
    <row r="1549" spans="1:9" ht="15.75" x14ac:dyDescent="0.25">
      <c r="A1549" s="23">
        <v>1296</v>
      </c>
      <c r="B1549" s="6" t="str">
        <f>CADASTROS!$C$989</f>
        <v>Juliene Silva Lima (VG)</v>
      </c>
      <c r="C1549" s="159"/>
      <c r="D1549" s="159"/>
      <c r="E1549" s="159"/>
      <c r="F1549" s="159"/>
      <c r="G1549" s="159"/>
      <c r="H1549" s="159"/>
      <c r="I1549" s="7">
        <f t="shared" si="132"/>
        <v>0</v>
      </c>
    </row>
    <row r="1550" spans="1:9" ht="15.75" x14ac:dyDescent="0.25">
      <c r="A1550" s="23">
        <v>1297</v>
      </c>
      <c r="B1550" s="6" t="str">
        <f>CADASTROS!$C$990</f>
        <v>Judival Andrade de Araújo</v>
      </c>
      <c r="C1550" s="159"/>
      <c r="D1550" s="159"/>
      <c r="E1550" s="159"/>
      <c r="F1550" s="159"/>
      <c r="G1550" s="159"/>
      <c r="H1550" s="159"/>
      <c r="I1550" s="7">
        <f t="shared" si="132"/>
        <v>0</v>
      </c>
    </row>
    <row r="1551" spans="1:9" ht="15.75" x14ac:dyDescent="0.25">
      <c r="A1551" s="23">
        <v>1298</v>
      </c>
      <c r="B1551" s="6" t="str">
        <f>CADASTROS!$C$991</f>
        <v>Valdelice Oliveira Souza</v>
      </c>
      <c r="C1551" s="159"/>
      <c r="D1551" s="159"/>
      <c r="E1551" s="159"/>
      <c r="F1551" s="159"/>
      <c r="G1551" s="159"/>
      <c r="H1551" s="159"/>
      <c r="I1551" s="7">
        <f t="shared" si="132"/>
        <v>0</v>
      </c>
    </row>
    <row r="1552" spans="1:9" ht="15.75" x14ac:dyDescent="0.25">
      <c r="A1552" s="23">
        <v>1299</v>
      </c>
      <c r="B1552" s="6" t="str">
        <f>CADASTROS!$C$992</f>
        <v>Josiane Araújo Souza</v>
      </c>
      <c r="C1552" s="159"/>
      <c r="D1552" s="159"/>
      <c r="E1552" s="159"/>
      <c r="F1552" s="159"/>
      <c r="G1552" s="159"/>
      <c r="H1552" s="159"/>
      <c r="I1552" s="7">
        <f t="shared" si="132"/>
        <v>0</v>
      </c>
    </row>
    <row r="1553" spans="1:9" ht="15.75" x14ac:dyDescent="0.25">
      <c r="A1553" s="23">
        <v>1300</v>
      </c>
      <c r="B1553" s="6" t="str">
        <f>CADASTROS!$C$993</f>
        <v>Marielza Rosa Santana</v>
      </c>
      <c r="C1553" s="159"/>
      <c r="D1553" s="159"/>
      <c r="E1553" s="159"/>
      <c r="F1553" s="159"/>
      <c r="G1553" s="159"/>
      <c r="H1553" s="159"/>
      <c r="I1553" s="7">
        <f t="shared" si="132"/>
        <v>0</v>
      </c>
    </row>
    <row r="1554" spans="1:9" ht="15.75" x14ac:dyDescent="0.25">
      <c r="A1554" s="23">
        <v>1301</v>
      </c>
      <c r="B1554" s="6" t="str">
        <f>CADASTROS!$C$994</f>
        <v>Gilberto R. Pereira</v>
      </c>
      <c r="C1554" s="159"/>
      <c r="D1554" s="159"/>
      <c r="E1554" s="159"/>
      <c r="F1554" s="159"/>
      <c r="G1554" s="159"/>
      <c r="H1554" s="159"/>
      <c r="I1554" s="7">
        <f t="shared" si="132"/>
        <v>0</v>
      </c>
    </row>
    <row r="1555" spans="1:9" ht="15.75" x14ac:dyDescent="0.25">
      <c r="A1555" s="23">
        <v>1302</v>
      </c>
      <c r="B1555" s="6" t="str">
        <f>CADASTROS!$C$995</f>
        <v>Vanusa de Araújo Moreira</v>
      </c>
      <c r="C1555" s="159"/>
      <c r="D1555" s="159"/>
      <c r="E1555" s="159"/>
      <c r="F1555" s="159"/>
      <c r="G1555" s="159"/>
      <c r="H1555" s="159"/>
      <c r="I1555" s="7">
        <f t="shared" si="132"/>
        <v>0</v>
      </c>
    </row>
    <row r="1556" spans="1:9" ht="15.75" x14ac:dyDescent="0.25">
      <c r="B1556" s="159" t="s">
        <v>4829</v>
      </c>
      <c r="C1556" s="159">
        <f>SUM(C1529:C1555)</f>
        <v>0</v>
      </c>
      <c r="D1556" s="159">
        <f t="shared" ref="D1556:H1556" si="133">SUM(D1529:D1555)</f>
        <v>0</v>
      </c>
      <c r="E1556" s="159">
        <f t="shared" si="133"/>
        <v>0</v>
      </c>
      <c r="F1556" s="159">
        <f t="shared" si="133"/>
        <v>0</v>
      </c>
      <c r="G1556" s="159">
        <f t="shared" si="133"/>
        <v>0</v>
      </c>
      <c r="H1556" s="159">
        <f t="shared" si="133"/>
        <v>0</v>
      </c>
      <c r="I1556" s="159">
        <f>SUM(I1529:I1555)</f>
        <v>0</v>
      </c>
    </row>
    <row r="1558" spans="1:9" ht="15.75" x14ac:dyDescent="0.25">
      <c r="B1558" s="8" t="s">
        <v>4830</v>
      </c>
      <c r="C1558" s="159"/>
      <c r="D1558" s="159"/>
      <c r="E1558" s="159"/>
      <c r="F1558" s="159"/>
      <c r="G1558" s="159"/>
      <c r="H1558" s="159"/>
      <c r="I1558" s="159">
        <f>SUM(C1558:H1558)</f>
        <v>0</v>
      </c>
    </row>
    <row r="1559" spans="1:9" x14ac:dyDescent="0.25">
      <c r="B1559" s="167"/>
    </row>
    <row r="1560" spans="1:9" ht="15.75" x14ac:dyDescent="0.25">
      <c r="B1560" s="8" t="s">
        <v>4831</v>
      </c>
      <c r="C1560" s="9" t="e">
        <f>C1556/C1558</f>
        <v>#DIV/0!</v>
      </c>
      <c r="D1560" s="9" t="e">
        <f t="shared" ref="D1560:H1560" si="134">D1556/D1558</f>
        <v>#DIV/0!</v>
      </c>
      <c r="E1560" s="9" t="e">
        <f t="shared" si="134"/>
        <v>#DIV/0!</v>
      </c>
      <c r="F1560" s="9" t="e">
        <f t="shared" si="134"/>
        <v>#DIV/0!</v>
      </c>
      <c r="G1560" s="9" t="e">
        <f t="shared" si="134"/>
        <v>#DIV/0!</v>
      </c>
      <c r="H1560" s="9" t="e">
        <f t="shared" si="134"/>
        <v>#DIV/0!</v>
      </c>
      <c r="I1560" s="9"/>
    </row>
    <row r="1561" spans="1:9" ht="15.75" x14ac:dyDescent="0.25">
      <c r="B1561" s="163"/>
      <c r="C1561" s="10"/>
      <c r="D1561" s="10"/>
      <c r="E1561" s="10"/>
      <c r="F1561" s="10"/>
      <c r="G1561" s="10"/>
      <c r="H1561" s="163"/>
      <c r="I1561" s="163"/>
    </row>
    <row r="1562" spans="1:9" ht="15.75" x14ac:dyDescent="0.25">
      <c r="B1562" s="8" t="s">
        <v>4832</v>
      </c>
      <c r="C1562" s="159"/>
      <c r="D1562" s="159"/>
      <c r="E1562" s="6"/>
      <c r="F1562" s="6"/>
      <c r="G1562" s="6"/>
      <c r="H1562" s="6"/>
      <c r="I1562" s="11"/>
    </row>
    <row r="1564" spans="1:9" ht="33.75" x14ac:dyDescent="0.25">
      <c r="B1564" s="187" t="s">
        <v>4842</v>
      </c>
      <c r="C1564" s="188"/>
      <c r="D1564" s="188"/>
      <c r="E1564" s="188"/>
      <c r="F1564" s="188"/>
      <c r="G1564" s="188"/>
      <c r="H1564" s="188"/>
      <c r="I1564" s="189"/>
    </row>
    <row r="1565" spans="1:9" ht="47.25" x14ac:dyDescent="0.25">
      <c r="A1565" s="155" t="s">
        <v>4819</v>
      </c>
      <c r="B1565" s="155" t="s">
        <v>4820</v>
      </c>
      <c r="C1565" s="4" t="s">
        <v>4821</v>
      </c>
      <c r="D1565" s="4" t="s">
        <v>4822</v>
      </c>
      <c r="E1565" s="88" t="s">
        <v>4823</v>
      </c>
      <c r="F1565" s="88" t="s">
        <v>4824</v>
      </c>
      <c r="G1565" s="88" t="s">
        <v>4825</v>
      </c>
      <c r="H1565" s="4" t="s">
        <v>4826</v>
      </c>
      <c r="I1565" s="29" t="s">
        <v>4827</v>
      </c>
    </row>
    <row r="1566" spans="1:9" ht="25.5" x14ac:dyDescent="0.25">
      <c r="A1566" s="156"/>
      <c r="B1566" s="156"/>
      <c r="C1566" s="13" t="s">
        <v>4828</v>
      </c>
      <c r="D1566" s="13" t="s">
        <v>4828</v>
      </c>
      <c r="E1566" s="13" t="s">
        <v>4828</v>
      </c>
      <c r="F1566" s="13" t="s">
        <v>4828</v>
      </c>
      <c r="G1566" s="13" t="s">
        <v>4828</v>
      </c>
      <c r="H1566" s="13" t="s">
        <v>4828</v>
      </c>
      <c r="I1566" s="30"/>
    </row>
    <row r="1567" spans="1:9" ht="15.75" x14ac:dyDescent="0.25">
      <c r="A1567" s="23">
        <v>1303</v>
      </c>
      <c r="B1567" s="6" t="str">
        <f>CADASTROS!$C$996</f>
        <v>Lucinalva Oliveira de Almeida</v>
      </c>
      <c r="C1567" s="159"/>
      <c r="D1567" s="159"/>
      <c r="E1567" s="159"/>
      <c r="F1567" s="159"/>
      <c r="G1567" s="159"/>
      <c r="H1567" s="159"/>
      <c r="I1567" s="7">
        <f>SUM(C1567+D1567+E1567+F1567+G1567+H1567)</f>
        <v>0</v>
      </c>
    </row>
    <row r="1568" spans="1:9" ht="15.75" x14ac:dyDescent="0.25">
      <c r="A1568" s="23">
        <v>1304</v>
      </c>
      <c r="B1568" s="6" t="str">
        <f>CADASTROS!$C$997</f>
        <v>Julivania de Jesus Silva</v>
      </c>
      <c r="C1568" s="159"/>
      <c r="D1568" s="159"/>
      <c r="E1568" s="159"/>
      <c r="F1568" s="159"/>
      <c r="G1568" s="159"/>
      <c r="H1568" s="159"/>
      <c r="I1568" s="7">
        <f t="shared" ref="I1568:I1593" si="135">SUM(C1568+D1568+E1568+F1568+G1568+H1568)</f>
        <v>0</v>
      </c>
    </row>
    <row r="1569" spans="1:9" ht="15.75" x14ac:dyDescent="0.25">
      <c r="A1569" s="23">
        <v>1305</v>
      </c>
      <c r="B1569" s="6" t="str">
        <f>CADASTROS!$C$998</f>
        <v>Adilson Santos Costa</v>
      </c>
      <c r="C1569" s="159"/>
      <c r="D1569" s="159"/>
      <c r="E1569" s="159"/>
      <c r="F1569" s="159"/>
      <c r="G1569" s="159"/>
      <c r="H1569" s="159"/>
      <c r="I1569" s="7">
        <f t="shared" si="135"/>
        <v>0</v>
      </c>
    </row>
    <row r="1570" spans="1:9" ht="15.75" x14ac:dyDescent="0.25">
      <c r="A1570" s="23">
        <v>1306</v>
      </c>
      <c r="B1570" s="6" t="str">
        <f>CADASTROS!$C$999</f>
        <v>Leidinalva Sousa Andrade</v>
      </c>
      <c r="C1570" s="159"/>
      <c r="D1570" s="159"/>
      <c r="E1570" s="159"/>
      <c r="F1570" s="159"/>
      <c r="G1570" s="159"/>
      <c r="H1570" s="159"/>
      <c r="I1570" s="7">
        <f t="shared" si="135"/>
        <v>0</v>
      </c>
    </row>
    <row r="1571" spans="1:9" ht="15.75" x14ac:dyDescent="0.25">
      <c r="A1571" s="23">
        <v>1307</v>
      </c>
      <c r="B1571" s="6" t="str">
        <f>CADASTROS!$C$1000</f>
        <v>Taís Alves da Silva (BC)</v>
      </c>
      <c r="C1571" s="159"/>
      <c r="D1571" s="159"/>
      <c r="E1571" s="159"/>
      <c r="F1571" s="159"/>
      <c r="G1571" s="159"/>
      <c r="H1571" s="159"/>
      <c r="I1571" s="7">
        <f t="shared" si="135"/>
        <v>0</v>
      </c>
    </row>
    <row r="1572" spans="1:9" ht="15.75" x14ac:dyDescent="0.25">
      <c r="A1572" s="23">
        <v>1308</v>
      </c>
      <c r="B1572" s="6" t="str">
        <f>CADASTROS!$C$1001</f>
        <v>Raimundo da Silva</v>
      </c>
      <c r="C1572" s="159"/>
      <c r="D1572" s="159"/>
      <c r="E1572" s="159"/>
      <c r="F1572" s="159"/>
      <c r="G1572" s="159"/>
      <c r="H1572" s="159"/>
      <c r="I1572" s="7">
        <f t="shared" si="135"/>
        <v>0</v>
      </c>
    </row>
    <row r="1573" spans="1:9" ht="15.75" x14ac:dyDescent="0.25">
      <c r="A1573" s="23">
        <v>1309</v>
      </c>
      <c r="B1573" s="6" t="str">
        <f>CADASTROS!$C$1002</f>
        <v>Ivone Oliveira da Silva</v>
      </c>
      <c r="C1573" s="159"/>
      <c r="D1573" s="159"/>
      <c r="E1573" s="159"/>
      <c r="F1573" s="159"/>
      <c r="G1573" s="159"/>
      <c r="H1573" s="159"/>
      <c r="I1573" s="7">
        <f t="shared" si="135"/>
        <v>0</v>
      </c>
    </row>
    <row r="1574" spans="1:9" ht="15.75" x14ac:dyDescent="0.25">
      <c r="A1574" s="23">
        <v>1310</v>
      </c>
      <c r="B1574" s="6" t="str">
        <f>CADASTROS!$C$1003</f>
        <v>Adailton de J. Santiago</v>
      </c>
      <c r="C1574" s="159"/>
      <c r="D1574" s="159"/>
      <c r="E1574" s="159"/>
      <c r="F1574" s="159"/>
      <c r="G1574" s="159"/>
      <c r="H1574" s="159"/>
      <c r="I1574" s="7">
        <f t="shared" si="135"/>
        <v>0</v>
      </c>
    </row>
    <row r="1575" spans="1:9" ht="15.75" x14ac:dyDescent="0.25">
      <c r="A1575" s="23">
        <v>1311</v>
      </c>
      <c r="B1575" s="6" t="str">
        <f>CADASTROS!$C$1004</f>
        <v>Milton Alves Alencar</v>
      </c>
      <c r="C1575" s="159"/>
      <c r="D1575" s="159"/>
      <c r="E1575" s="159"/>
      <c r="F1575" s="159"/>
      <c r="G1575" s="159"/>
      <c r="H1575" s="159"/>
      <c r="I1575" s="7">
        <f t="shared" si="135"/>
        <v>0</v>
      </c>
    </row>
    <row r="1576" spans="1:9" ht="15.75" x14ac:dyDescent="0.25">
      <c r="A1576" s="23">
        <v>1312</v>
      </c>
      <c r="B1576" s="6" t="str">
        <f>CADASTROS!$C$1005</f>
        <v>Paulo Ferreira dos Santos</v>
      </c>
      <c r="C1576" s="159"/>
      <c r="D1576" s="159"/>
      <c r="E1576" s="159"/>
      <c r="F1576" s="159"/>
      <c r="G1576" s="159"/>
      <c r="H1576" s="159"/>
      <c r="I1576" s="7">
        <f t="shared" si="135"/>
        <v>0</v>
      </c>
    </row>
    <row r="1577" spans="1:9" ht="15.75" x14ac:dyDescent="0.25">
      <c r="A1577" s="23">
        <v>1313</v>
      </c>
      <c r="B1577" s="6" t="str">
        <f>CADASTROS!$C$1006</f>
        <v>Tereza Gabriela de Souza</v>
      </c>
      <c r="C1577" s="159"/>
      <c r="D1577" s="159"/>
      <c r="E1577" s="159"/>
      <c r="F1577" s="159"/>
      <c r="G1577" s="159"/>
      <c r="H1577" s="159"/>
      <c r="I1577" s="7">
        <f t="shared" si="135"/>
        <v>0</v>
      </c>
    </row>
    <row r="1578" spans="1:9" ht="15.75" x14ac:dyDescent="0.25">
      <c r="A1578" s="23">
        <v>1314</v>
      </c>
      <c r="B1578" s="6" t="str">
        <f>CADASTROS!$C$1007</f>
        <v>Hercules Pereira Santos</v>
      </c>
      <c r="C1578" s="159"/>
      <c r="D1578" s="159"/>
      <c r="E1578" s="159"/>
      <c r="F1578" s="159"/>
      <c r="G1578" s="159"/>
      <c r="H1578" s="159"/>
      <c r="I1578" s="7">
        <f t="shared" si="135"/>
        <v>0</v>
      </c>
    </row>
    <row r="1579" spans="1:9" ht="15.75" x14ac:dyDescent="0.25">
      <c r="A1579" s="23">
        <v>1315</v>
      </c>
      <c r="B1579" s="6" t="str">
        <f>CADASTROS!$C$1008</f>
        <v>Ana Maria de Souza Oliveira</v>
      </c>
      <c r="C1579" s="159"/>
      <c r="D1579" s="159">
        <v>16</v>
      </c>
      <c r="E1579" s="159">
        <v>11</v>
      </c>
      <c r="F1579" s="159"/>
      <c r="G1579" s="159"/>
      <c r="H1579" s="159"/>
      <c r="I1579" s="7">
        <f t="shared" si="135"/>
        <v>27</v>
      </c>
    </row>
    <row r="1580" spans="1:9" ht="15.75" x14ac:dyDescent="0.25">
      <c r="A1580" s="23">
        <v>1316</v>
      </c>
      <c r="B1580" s="6" t="str">
        <f>CADASTROS!$C$1009</f>
        <v>Italo Braga Santos</v>
      </c>
      <c r="C1580" s="159"/>
      <c r="D1580" s="159"/>
      <c r="E1580" s="159"/>
      <c r="F1580" s="159"/>
      <c r="G1580" s="159"/>
      <c r="H1580" s="159"/>
      <c r="I1580" s="7">
        <f t="shared" si="135"/>
        <v>0</v>
      </c>
    </row>
    <row r="1581" spans="1:9" ht="15.75" x14ac:dyDescent="0.25">
      <c r="A1581" s="23">
        <v>1317</v>
      </c>
      <c r="B1581" s="6" t="str">
        <f>CADASTROS!$C$1010</f>
        <v>Bruno de Jesus Oliveira</v>
      </c>
      <c r="C1581" s="159"/>
      <c r="D1581" s="159"/>
      <c r="E1581" s="159"/>
      <c r="F1581" s="159"/>
      <c r="G1581" s="159"/>
      <c r="H1581" s="159"/>
      <c r="I1581" s="7">
        <f t="shared" si="135"/>
        <v>0</v>
      </c>
    </row>
    <row r="1582" spans="1:9" ht="15.75" x14ac:dyDescent="0.25">
      <c r="A1582" s="23">
        <v>1318</v>
      </c>
      <c r="B1582" s="6" t="str">
        <f>CADASTROS!$C$1011</f>
        <v>Maria da Paixão C. da Silva</v>
      </c>
      <c r="C1582" s="159"/>
      <c r="D1582" s="159"/>
      <c r="E1582" s="159"/>
      <c r="F1582" s="159"/>
      <c r="G1582" s="159"/>
      <c r="H1582" s="159"/>
      <c r="I1582" s="7">
        <f t="shared" si="135"/>
        <v>0</v>
      </c>
    </row>
    <row r="1583" spans="1:9" ht="15.75" x14ac:dyDescent="0.25">
      <c r="A1583" s="23">
        <v>1319</v>
      </c>
      <c r="B1583" s="6" t="str">
        <f>CADASTROS!$C$1012</f>
        <v>Crispiniano Macedo Santos</v>
      </c>
      <c r="C1583" s="159"/>
      <c r="D1583" s="159"/>
      <c r="E1583" s="159"/>
      <c r="F1583" s="159"/>
      <c r="G1583" s="159">
        <v>64</v>
      </c>
      <c r="H1583" s="159"/>
      <c r="I1583" s="7">
        <f t="shared" si="135"/>
        <v>64</v>
      </c>
    </row>
    <row r="1584" spans="1:9" ht="15.75" x14ac:dyDescent="0.25">
      <c r="A1584" s="23">
        <v>1320</v>
      </c>
      <c r="B1584" s="6" t="str">
        <f>CADASTROS!$C$1013</f>
        <v>Raimunda Santana Silva</v>
      </c>
      <c r="C1584" s="159"/>
      <c r="D1584" s="159">
        <v>18.5</v>
      </c>
      <c r="E1584" s="159">
        <v>19</v>
      </c>
      <c r="F1584" s="159"/>
      <c r="G1584" s="159">
        <v>40</v>
      </c>
      <c r="H1584" s="159"/>
      <c r="I1584" s="7">
        <f t="shared" si="135"/>
        <v>77.5</v>
      </c>
    </row>
    <row r="1585" spans="1:9" ht="15.75" x14ac:dyDescent="0.25">
      <c r="A1585" s="23">
        <v>1321</v>
      </c>
      <c r="B1585" s="6" t="str">
        <f>CADASTROS!$C$1014</f>
        <v>Jasiane Lima de Souza</v>
      </c>
      <c r="C1585" s="159"/>
      <c r="D1585" s="159"/>
      <c r="E1585" s="159"/>
      <c r="F1585" s="159"/>
      <c r="G1585" s="159"/>
      <c r="H1585" s="159"/>
      <c r="I1585" s="7">
        <f t="shared" si="135"/>
        <v>0</v>
      </c>
    </row>
    <row r="1586" spans="1:9" ht="15.75" x14ac:dyDescent="0.25">
      <c r="A1586" s="23">
        <v>1322</v>
      </c>
      <c r="B1586" s="6" t="str">
        <f>CADASTROS!$C$1015</f>
        <v>Rosileide Brito Cerqueira</v>
      </c>
      <c r="C1586" s="159">
        <v>22</v>
      </c>
      <c r="D1586" s="159">
        <v>28</v>
      </c>
      <c r="E1586" s="159">
        <v>22</v>
      </c>
      <c r="F1586" s="159"/>
      <c r="G1586" s="159">
        <v>25</v>
      </c>
      <c r="H1586" s="159">
        <v>27</v>
      </c>
      <c r="I1586" s="7">
        <f t="shared" si="135"/>
        <v>124</v>
      </c>
    </row>
    <row r="1587" spans="1:9" ht="15.75" x14ac:dyDescent="0.25">
      <c r="A1587" s="23">
        <v>1323</v>
      </c>
      <c r="B1587" s="6" t="str">
        <f>CADASTROS!$C$1016</f>
        <v>Ana Paula Ferreira Silva</v>
      </c>
      <c r="C1587" s="159"/>
      <c r="D1587" s="159"/>
      <c r="E1587" s="159"/>
      <c r="F1587" s="159"/>
      <c r="G1587" s="159"/>
      <c r="H1587" s="159"/>
      <c r="I1587" s="7">
        <f t="shared" si="135"/>
        <v>0</v>
      </c>
    </row>
    <row r="1588" spans="1:9" ht="15.75" x14ac:dyDescent="0.25">
      <c r="A1588" s="23">
        <v>1324</v>
      </c>
      <c r="B1588" s="6" t="str">
        <f>CADASTROS!$C$1017</f>
        <v>Claudimiro R. Soares</v>
      </c>
      <c r="C1588" s="159"/>
      <c r="D1588" s="159"/>
      <c r="E1588" s="159"/>
      <c r="F1588" s="159"/>
      <c r="G1588" s="159"/>
      <c r="H1588" s="159"/>
      <c r="I1588" s="7">
        <f t="shared" si="135"/>
        <v>0</v>
      </c>
    </row>
    <row r="1589" spans="1:9" ht="15.75" x14ac:dyDescent="0.25">
      <c r="A1589" s="23">
        <v>1325</v>
      </c>
      <c r="B1589" s="6" t="str">
        <f>CADASTROS!$C$1018</f>
        <v>Laiane Dmasceno Silva</v>
      </c>
      <c r="C1589" s="159"/>
      <c r="D1589" s="159"/>
      <c r="E1589" s="159"/>
      <c r="F1589" s="159"/>
      <c r="G1589" s="159"/>
      <c r="H1589" s="159"/>
      <c r="I1589" s="7">
        <f t="shared" si="135"/>
        <v>0</v>
      </c>
    </row>
    <row r="1590" spans="1:9" ht="15.75" x14ac:dyDescent="0.25">
      <c r="A1590" s="23">
        <v>1326</v>
      </c>
      <c r="B1590" s="6" t="str">
        <f>CADASTROS!$C$1019</f>
        <v>Edilene Ferreira Vieira</v>
      </c>
      <c r="C1590" s="159"/>
      <c r="D1590" s="159"/>
      <c r="E1590" s="159"/>
      <c r="F1590" s="159"/>
      <c r="G1590" s="159"/>
      <c r="H1590" s="159"/>
      <c r="I1590" s="7">
        <f t="shared" si="135"/>
        <v>0</v>
      </c>
    </row>
    <row r="1591" spans="1:9" ht="15.75" x14ac:dyDescent="0.25">
      <c r="A1591" s="23">
        <v>1327</v>
      </c>
      <c r="B1591" s="6" t="str">
        <f>CADASTROS!$C$1020</f>
        <v>Thaise Souza Pires</v>
      </c>
      <c r="C1591" s="159"/>
      <c r="D1591" s="159"/>
      <c r="E1591" s="159"/>
      <c r="F1591" s="159"/>
      <c r="G1591" s="159"/>
      <c r="H1591" s="159"/>
      <c r="I1591" s="7">
        <f t="shared" si="135"/>
        <v>0</v>
      </c>
    </row>
    <row r="1592" spans="1:9" ht="15.75" x14ac:dyDescent="0.25">
      <c r="A1592" s="23">
        <v>1328</v>
      </c>
      <c r="B1592" s="6" t="str">
        <f>CADASTROS!$C$1021</f>
        <v>Nelson Pereira dos Santos (LN)</v>
      </c>
      <c r="C1592" s="159"/>
      <c r="D1592" s="159"/>
      <c r="E1592" s="159"/>
      <c r="F1592" s="159"/>
      <c r="G1592" s="159"/>
      <c r="H1592" s="159"/>
      <c r="I1592" s="7">
        <f t="shared" si="135"/>
        <v>0</v>
      </c>
    </row>
    <row r="1593" spans="1:9" ht="15.75" x14ac:dyDescent="0.25">
      <c r="A1593" s="23">
        <v>1329</v>
      </c>
      <c r="B1593" s="6" t="str">
        <f>CADASTROS!$C$1022</f>
        <v>Adaiane dos Santos Cedro (LN)</v>
      </c>
      <c r="C1593" s="159"/>
      <c r="D1593" s="159"/>
      <c r="E1593" s="159"/>
      <c r="F1593" s="159"/>
      <c r="G1593" s="159"/>
      <c r="H1593" s="159"/>
      <c r="I1593" s="7">
        <f t="shared" si="135"/>
        <v>0</v>
      </c>
    </row>
    <row r="1594" spans="1:9" ht="15.75" x14ac:dyDescent="0.25">
      <c r="B1594" s="159" t="s">
        <v>4829</v>
      </c>
      <c r="C1594" s="159">
        <f>SUM(C1567:C1593)</f>
        <v>22</v>
      </c>
      <c r="D1594" s="159">
        <f t="shared" ref="D1594:H1594" si="136">SUM(D1567:D1593)</f>
        <v>62.5</v>
      </c>
      <c r="E1594" s="159">
        <f t="shared" si="136"/>
        <v>52</v>
      </c>
      <c r="F1594" s="159">
        <f t="shared" si="136"/>
        <v>0</v>
      </c>
      <c r="G1594" s="159">
        <f t="shared" si="136"/>
        <v>129</v>
      </c>
      <c r="H1594" s="159">
        <f t="shared" si="136"/>
        <v>27</v>
      </c>
      <c r="I1594" s="159">
        <f>SUM(I1567:I1593)</f>
        <v>292.5</v>
      </c>
    </row>
    <row r="1596" spans="1:9" ht="15.75" x14ac:dyDescent="0.25">
      <c r="B1596" s="8" t="s">
        <v>4830</v>
      </c>
      <c r="C1596" s="159"/>
      <c r="D1596" s="159"/>
      <c r="E1596" s="159"/>
      <c r="F1596" s="159"/>
      <c r="G1596" s="159"/>
      <c r="H1596" s="159"/>
      <c r="I1596" s="159">
        <f>SUM(C1596:H1596)</f>
        <v>0</v>
      </c>
    </row>
    <row r="1597" spans="1:9" x14ac:dyDescent="0.25">
      <c r="B1597" s="167"/>
    </row>
    <row r="1598" spans="1:9" ht="15.75" x14ac:dyDescent="0.25">
      <c r="B1598" s="8" t="s">
        <v>4831</v>
      </c>
      <c r="C1598" s="9" t="e">
        <f>C1594/C1596</f>
        <v>#DIV/0!</v>
      </c>
      <c r="D1598" s="9" t="e">
        <f t="shared" ref="D1598:H1598" si="137">D1594/D1596</f>
        <v>#DIV/0!</v>
      </c>
      <c r="E1598" s="9" t="e">
        <f t="shared" si="137"/>
        <v>#DIV/0!</v>
      </c>
      <c r="F1598" s="9" t="e">
        <f t="shared" si="137"/>
        <v>#DIV/0!</v>
      </c>
      <c r="G1598" s="9" t="e">
        <f t="shared" si="137"/>
        <v>#DIV/0!</v>
      </c>
      <c r="H1598" s="9" t="e">
        <f t="shared" si="137"/>
        <v>#DIV/0!</v>
      </c>
      <c r="I1598" s="9"/>
    </row>
    <row r="1599" spans="1:9" ht="15.75" x14ac:dyDescent="0.25">
      <c r="B1599" s="163"/>
      <c r="C1599" s="10"/>
      <c r="D1599" s="10"/>
      <c r="E1599" s="10"/>
      <c r="F1599" s="10"/>
      <c r="G1599" s="10"/>
      <c r="H1599" s="163"/>
      <c r="I1599" s="163"/>
    </row>
    <row r="1600" spans="1:9" ht="15.75" x14ac:dyDescent="0.25">
      <c r="B1600" s="8" t="s">
        <v>4832</v>
      </c>
      <c r="C1600" s="159"/>
      <c r="D1600" s="159"/>
      <c r="E1600" s="6"/>
      <c r="F1600" s="6"/>
      <c r="G1600" s="6"/>
      <c r="H1600" s="6"/>
      <c r="I1600" s="11"/>
    </row>
    <row r="1602" spans="1:9" ht="33.75" x14ac:dyDescent="0.25">
      <c r="B1602" s="187" t="s">
        <v>4842</v>
      </c>
      <c r="C1602" s="188"/>
      <c r="D1602" s="188"/>
      <c r="E1602" s="188"/>
      <c r="F1602" s="188"/>
      <c r="G1602" s="188"/>
      <c r="H1602" s="188"/>
      <c r="I1602" s="189"/>
    </row>
    <row r="1603" spans="1:9" ht="47.25" x14ac:dyDescent="0.25">
      <c r="A1603" s="155" t="s">
        <v>4819</v>
      </c>
      <c r="B1603" s="155" t="s">
        <v>4820</v>
      </c>
      <c r="C1603" s="4" t="s">
        <v>4821</v>
      </c>
      <c r="D1603" s="4" t="s">
        <v>4822</v>
      </c>
      <c r="E1603" s="88" t="s">
        <v>4823</v>
      </c>
      <c r="F1603" s="88" t="s">
        <v>4824</v>
      </c>
      <c r="G1603" s="88" t="s">
        <v>4825</v>
      </c>
      <c r="H1603" s="4" t="s">
        <v>4826</v>
      </c>
      <c r="I1603" s="29" t="s">
        <v>4827</v>
      </c>
    </row>
    <row r="1604" spans="1:9" ht="25.5" x14ac:dyDescent="0.25">
      <c r="A1604" s="156"/>
      <c r="B1604" s="156"/>
      <c r="C1604" s="13" t="s">
        <v>4828</v>
      </c>
      <c r="D1604" s="13" t="s">
        <v>4828</v>
      </c>
      <c r="E1604" s="13" t="s">
        <v>4828</v>
      </c>
      <c r="F1604" s="13" t="s">
        <v>4828</v>
      </c>
      <c r="G1604" s="13" t="s">
        <v>4828</v>
      </c>
      <c r="H1604" s="13" t="s">
        <v>4828</v>
      </c>
      <c r="I1604" s="30"/>
    </row>
    <row r="1605" spans="1:9" ht="15.75" x14ac:dyDescent="0.25">
      <c r="A1605" s="23">
        <v>1330</v>
      </c>
      <c r="B1605" s="6" t="str">
        <f>CADASTROS!$C$1023</f>
        <v>Luiz Carlos S. Silva (LN)</v>
      </c>
      <c r="C1605" s="159"/>
      <c r="D1605" s="159"/>
      <c r="E1605" s="159"/>
      <c r="F1605" s="159"/>
      <c r="G1605" s="159"/>
      <c r="H1605" s="159"/>
      <c r="I1605" s="7">
        <f>SUM(C1605+D1605+E1605+F1605+G1605+H1605)</f>
        <v>0</v>
      </c>
    </row>
    <row r="1606" spans="1:9" ht="15.75" x14ac:dyDescent="0.25">
      <c r="A1606" s="23">
        <v>1331</v>
      </c>
      <c r="B1606" s="6" t="str">
        <f>CADASTROS!$C$1024</f>
        <v>José Carlos Souza (2B)</v>
      </c>
      <c r="C1606" s="159"/>
      <c r="D1606" s="159"/>
      <c r="E1606" s="159"/>
      <c r="F1606" s="159"/>
      <c r="G1606" s="159"/>
      <c r="H1606" s="159"/>
      <c r="I1606" s="7">
        <f t="shared" ref="I1606:I1631" si="138">SUM(C1606+D1606+E1606+F1606+G1606+H1606)</f>
        <v>0</v>
      </c>
    </row>
    <row r="1607" spans="1:9" ht="15.75" x14ac:dyDescent="0.25">
      <c r="A1607" s="23">
        <v>1332</v>
      </c>
      <c r="B1607" s="6" t="str">
        <f>CADASTROS!$C$1025</f>
        <v>Maria T. S. Oliveira (LN)</v>
      </c>
      <c r="C1607" s="159"/>
      <c r="D1607" s="159">
        <v>52</v>
      </c>
      <c r="E1607" s="159">
        <v>73.5</v>
      </c>
      <c r="F1607" s="159"/>
      <c r="G1607" s="159"/>
      <c r="H1607" s="159"/>
      <c r="I1607" s="7">
        <f t="shared" si="138"/>
        <v>125.5</v>
      </c>
    </row>
    <row r="1608" spans="1:9" ht="15.75" x14ac:dyDescent="0.25">
      <c r="A1608" s="23">
        <v>1333</v>
      </c>
      <c r="B1608" s="6" t="str">
        <f>CADASTROS!$C$1026</f>
        <v>Sinara Campos de Oliveira (LN)</v>
      </c>
      <c r="C1608" s="159"/>
      <c r="D1608" s="159"/>
      <c r="E1608" s="159"/>
      <c r="F1608" s="159"/>
      <c r="G1608" s="159"/>
      <c r="H1608" s="159"/>
      <c r="I1608" s="7">
        <f t="shared" si="138"/>
        <v>0</v>
      </c>
    </row>
    <row r="1609" spans="1:9" ht="15.75" x14ac:dyDescent="0.25">
      <c r="A1609" s="23">
        <v>1334</v>
      </c>
      <c r="B1609" s="6" t="str">
        <f>CADASTROS!$C$1027</f>
        <v>Maciel Souza Silva (LN)</v>
      </c>
      <c r="C1609" s="159"/>
      <c r="D1609" s="159"/>
      <c r="E1609" s="159"/>
      <c r="F1609" s="159"/>
      <c r="G1609" s="159"/>
      <c r="H1609" s="159"/>
      <c r="I1609" s="7">
        <f t="shared" si="138"/>
        <v>0</v>
      </c>
    </row>
    <row r="1610" spans="1:9" ht="15.75" x14ac:dyDescent="0.25">
      <c r="A1610" s="23">
        <v>1335</v>
      </c>
      <c r="B1610" s="6" t="str">
        <f>CADASTROS!$C$1028</f>
        <v>Ivaneide Carvalho Sampaio (LN)</v>
      </c>
      <c r="C1610" s="159"/>
      <c r="D1610" s="159"/>
      <c r="E1610" s="159"/>
      <c r="F1610" s="159"/>
      <c r="G1610" s="159"/>
      <c r="H1610" s="159"/>
      <c r="I1610" s="7">
        <f t="shared" si="138"/>
        <v>0</v>
      </c>
    </row>
    <row r="1611" spans="1:9" ht="15.75" x14ac:dyDescent="0.25">
      <c r="A1611" s="23">
        <v>1336</v>
      </c>
      <c r="B1611" s="6" t="str">
        <f>CADASTROS!$C$1029</f>
        <v>Rosangela C. Sampaio (LN)</v>
      </c>
      <c r="C1611" s="159"/>
      <c r="D1611" s="159"/>
      <c r="E1611" s="159"/>
      <c r="F1611" s="159"/>
      <c r="G1611" s="159"/>
      <c r="H1611" s="159"/>
      <c r="I1611" s="7">
        <f t="shared" si="138"/>
        <v>0</v>
      </c>
    </row>
    <row r="1612" spans="1:9" ht="15.75" x14ac:dyDescent="0.25">
      <c r="A1612" s="23">
        <v>1337</v>
      </c>
      <c r="B1612" s="6" t="str">
        <f>CADASTROS!$C$1030</f>
        <v>Rosinete O. do E. Santo</v>
      </c>
      <c r="C1612" s="159"/>
      <c r="D1612" s="159"/>
      <c r="E1612" s="159"/>
      <c r="F1612" s="159"/>
      <c r="G1612" s="159"/>
      <c r="H1612" s="159"/>
      <c r="I1612" s="7">
        <f t="shared" si="138"/>
        <v>0</v>
      </c>
    </row>
    <row r="1613" spans="1:9" ht="15.75" x14ac:dyDescent="0.25">
      <c r="A1613" s="23">
        <v>1338</v>
      </c>
      <c r="B1613" s="6" t="str">
        <f>CADASTROS!$C$1031</f>
        <v>Jussiaria Pires Alves</v>
      </c>
      <c r="C1613" s="159"/>
      <c r="D1613" s="159"/>
      <c r="E1613" s="159"/>
      <c r="F1613" s="159"/>
      <c r="G1613" s="159"/>
      <c r="H1613" s="159"/>
      <c r="I1613" s="7">
        <f t="shared" si="138"/>
        <v>0</v>
      </c>
    </row>
    <row r="1614" spans="1:9" ht="15.75" x14ac:dyDescent="0.25">
      <c r="A1614" s="23">
        <v>1339</v>
      </c>
      <c r="B1614" s="6" t="str">
        <f>CADASTROS!$C$1032</f>
        <v>Rael Cassiano da Cruz (2B)</v>
      </c>
      <c r="C1614" s="159"/>
      <c r="D1614" s="159"/>
      <c r="E1614" s="159"/>
      <c r="F1614" s="159"/>
      <c r="G1614" s="159"/>
      <c r="H1614" s="159"/>
      <c r="I1614" s="7">
        <f t="shared" si="138"/>
        <v>0</v>
      </c>
    </row>
    <row r="1615" spans="1:9" ht="15.75" x14ac:dyDescent="0.25">
      <c r="A1615" s="23">
        <v>1340</v>
      </c>
      <c r="B1615" s="6" t="str">
        <f>CADASTROS!$C$1033</f>
        <v>Eliene Almeida Oliveira (2B)</v>
      </c>
      <c r="C1615" s="159"/>
      <c r="D1615" s="159"/>
      <c r="E1615" s="159"/>
      <c r="F1615" s="159"/>
      <c r="G1615" s="159"/>
      <c r="H1615" s="159"/>
      <c r="I1615" s="7">
        <f t="shared" si="138"/>
        <v>0</v>
      </c>
    </row>
    <row r="1616" spans="1:9" ht="15.75" x14ac:dyDescent="0.25">
      <c r="A1616" s="23">
        <v>1341</v>
      </c>
      <c r="B1616" s="6" t="str">
        <f>CADASTROS!$C$1034</f>
        <v>Adriana do N. Santana</v>
      </c>
      <c r="C1616" s="159"/>
      <c r="D1616" s="159"/>
      <c r="E1616" s="159"/>
      <c r="F1616" s="159"/>
      <c r="G1616" s="159"/>
      <c r="H1616" s="159"/>
      <c r="I1616" s="7">
        <f t="shared" si="138"/>
        <v>0</v>
      </c>
    </row>
    <row r="1617" spans="1:9" ht="15.75" x14ac:dyDescent="0.25">
      <c r="A1617" s="23">
        <v>1342</v>
      </c>
      <c r="B1617" s="6" t="str">
        <f>CADASTROS!$C$1035</f>
        <v>Giselia Silva de Miranda</v>
      </c>
      <c r="C1617" s="159"/>
      <c r="D1617" s="159"/>
      <c r="E1617" s="159"/>
      <c r="F1617" s="159"/>
      <c r="G1617" s="159"/>
      <c r="H1617" s="159"/>
      <c r="I1617" s="7">
        <f t="shared" si="138"/>
        <v>0</v>
      </c>
    </row>
    <row r="1618" spans="1:9" ht="15.75" x14ac:dyDescent="0.25">
      <c r="A1618" s="23">
        <v>1343</v>
      </c>
      <c r="B1618" s="6" t="str">
        <f>CADASTROS!$C$1036</f>
        <v>Maria Silva S. Oliveira</v>
      </c>
      <c r="C1618" s="159"/>
      <c r="D1618" s="159"/>
      <c r="E1618" s="159"/>
      <c r="F1618" s="159"/>
      <c r="G1618" s="159"/>
      <c r="H1618" s="159"/>
      <c r="I1618" s="7">
        <f t="shared" si="138"/>
        <v>0</v>
      </c>
    </row>
    <row r="1619" spans="1:9" ht="15.75" x14ac:dyDescent="0.25">
      <c r="A1619" s="23">
        <v>1344</v>
      </c>
      <c r="B1619" s="6" t="str">
        <f>CADASTROS!$C$1037</f>
        <v>Orlando Silva de Almeida</v>
      </c>
      <c r="C1619" s="159"/>
      <c r="D1619" s="159"/>
      <c r="E1619" s="159"/>
      <c r="F1619" s="159"/>
      <c r="G1619" s="159"/>
      <c r="H1619" s="159"/>
      <c r="I1619" s="7">
        <f t="shared" si="138"/>
        <v>0</v>
      </c>
    </row>
    <row r="1620" spans="1:9" ht="15.75" x14ac:dyDescent="0.25">
      <c r="A1620" s="23">
        <v>1345</v>
      </c>
      <c r="B1620" s="6" t="str">
        <f>CADASTROS!$C$1038</f>
        <v>Poliana Almeida Oliveira</v>
      </c>
      <c r="C1620" s="159"/>
      <c r="D1620" s="159"/>
      <c r="E1620" s="159"/>
      <c r="F1620" s="159"/>
      <c r="G1620" s="159"/>
      <c r="H1620" s="159"/>
      <c r="I1620" s="7">
        <f t="shared" si="138"/>
        <v>0</v>
      </c>
    </row>
    <row r="1621" spans="1:9" ht="15.75" x14ac:dyDescent="0.25">
      <c r="A1621" s="23">
        <v>1346</v>
      </c>
      <c r="B1621" s="6" t="str">
        <f>CADASTROS!$C$1039</f>
        <v>Sileuza Jesus Nascimento</v>
      </c>
      <c r="C1621" s="159"/>
      <c r="D1621" s="159"/>
      <c r="E1621" s="159"/>
      <c r="F1621" s="159"/>
      <c r="G1621" s="159"/>
      <c r="H1621" s="159"/>
      <c r="I1621" s="7">
        <f t="shared" si="138"/>
        <v>0</v>
      </c>
    </row>
    <row r="1622" spans="1:9" ht="15.75" x14ac:dyDescent="0.25">
      <c r="A1622" s="23">
        <v>1347</v>
      </c>
      <c r="B1622" s="6" t="str">
        <f>CADASTROS!$C$1040</f>
        <v>Núbia Pereira Lima</v>
      </c>
      <c r="C1622" s="159"/>
      <c r="D1622" s="159"/>
      <c r="E1622" s="159"/>
      <c r="F1622" s="159"/>
      <c r="G1622" s="159"/>
      <c r="H1622" s="159"/>
      <c r="I1622" s="7">
        <f t="shared" si="138"/>
        <v>0</v>
      </c>
    </row>
    <row r="1623" spans="1:9" ht="15.75" x14ac:dyDescent="0.25">
      <c r="A1623" s="23">
        <v>1348</v>
      </c>
      <c r="B1623" s="6" t="str">
        <f>CADASTROS!$C$1041</f>
        <v>Eline S. Ferreira</v>
      </c>
      <c r="C1623" s="159"/>
      <c r="D1623" s="159"/>
      <c r="E1623" s="159"/>
      <c r="F1623" s="159"/>
      <c r="G1623" s="159"/>
      <c r="H1623" s="159"/>
      <c r="I1623" s="7">
        <f t="shared" si="138"/>
        <v>0</v>
      </c>
    </row>
    <row r="1624" spans="1:9" ht="15.75" x14ac:dyDescent="0.25">
      <c r="A1624" s="23">
        <v>1349</v>
      </c>
      <c r="B1624" s="6" t="str">
        <f>CADASTROS!$C$1042</f>
        <v>Catia Sirlene P Brito</v>
      </c>
      <c r="C1624" s="159"/>
      <c r="D1624" s="159"/>
      <c r="E1624" s="159"/>
      <c r="F1624" s="159"/>
      <c r="G1624" s="159"/>
      <c r="H1624" s="159"/>
      <c r="I1624" s="7">
        <f t="shared" si="138"/>
        <v>0</v>
      </c>
    </row>
    <row r="1625" spans="1:9" ht="15.75" x14ac:dyDescent="0.25">
      <c r="A1625" s="23">
        <v>1350</v>
      </c>
      <c r="B1625" s="6" t="str">
        <f>CADASTROS!$C$1043</f>
        <v>Marcelo G de Souza</v>
      </c>
      <c r="C1625" s="159"/>
      <c r="D1625" s="159"/>
      <c r="E1625" s="159"/>
      <c r="F1625" s="159"/>
      <c r="G1625" s="159"/>
      <c r="H1625" s="159"/>
      <c r="I1625" s="7">
        <f t="shared" si="138"/>
        <v>0</v>
      </c>
    </row>
    <row r="1626" spans="1:9" ht="15.75" x14ac:dyDescent="0.25">
      <c r="A1626" s="23">
        <v>1351</v>
      </c>
      <c r="B1626" s="6" t="str">
        <f>CADASTROS!$C$1044</f>
        <v>Darlene Lima de S. Ferreira</v>
      </c>
      <c r="C1626" s="159"/>
      <c r="D1626" s="159"/>
      <c r="E1626" s="159"/>
      <c r="F1626" s="159"/>
      <c r="G1626" s="159"/>
      <c r="H1626" s="159"/>
      <c r="I1626" s="7">
        <f t="shared" si="138"/>
        <v>0</v>
      </c>
    </row>
    <row r="1627" spans="1:9" ht="15.75" x14ac:dyDescent="0.25">
      <c r="A1627" s="23">
        <v>1352</v>
      </c>
      <c r="B1627" s="6" t="str">
        <f>CADASTROS!$C$1045</f>
        <v>Djalma C. Marques</v>
      </c>
      <c r="C1627" s="159"/>
      <c r="D1627" s="159"/>
      <c r="E1627" s="159"/>
      <c r="F1627" s="159"/>
      <c r="G1627" s="159"/>
      <c r="H1627" s="159"/>
      <c r="I1627" s="7">
        <f t="shared" si="138"/>
        <v>0</v>
      </c>
    </row>
    <row r="1628" spans="1:9" ht="15.75" x14ac:dyDescent="0.25">
      <c r="A1628" s="23">
        <v>1353</v>
      </c>
      <c r="B1628" s="6" t="str">
        <f>CADASTROS!$C$1046</f>
        <v>Ednaldo Romão da Silva</v>
      </c>
      <c r="C1628" s="159"/>
      <c r="D1628" s="159"/>
      <c r="E1628" s="159"/>
      <c r="F1628" s="159"/>
      <c r="G1628" s="159"/>
      <c r="H1628" s="159"/>
      <c r="I1628" s="7">
        <f t="shared" si="138"/>
        <v>0</v>
      </c>
    </row>
    <row r="1629" spans="1:9" ht="15.75" x14ac:dyDescent="0.25">
      <c r="A1629" s="23">
        <v>1354</v>
      </c>
      <c r="B1629" s="6" t="str">
        <f>CADASTROS!$C$1047</f>
        <v>Maria Sonia Ferreira da Silva</v>
      </c>
      <c r="C1629" s="159"/>
      <c r="D1629" s="159"/>
      <c r="E1629" s="159"/>
      <c r="F1629" s="159"/>
      <c r="G1629" s="159"/>
      <c r="H1629" s="159"/>
      <c r="I1629" s="7">
        <f t="shared" si="138"/>
        <v>0</v>
      </c>
    </row>
    <row r="1630" spans="1:9" ht="15.75" x14ac:dyDescent="0.25">
      <c r="A1630" s="23">
        <v>1355</v>
      </c>
      <c r="B1630" s="6" t="str">
        <f>CADASTROS!$C$1048</f>
        <v>Manoel Messias A. Miranda</v>
      </c>
      <c r="C1630" s="159"/>
      <c r="D1630" s="159"/>
      <c r="E1630" s="159"/>
      <c r="F1630" s="159"/>
      <c r="G1630" s="159"/>
      <c r="H1630" s="159"/>
      <c r="I1630" s="7">
        <f t="shared" si="138"/>
        <v>0</v>
      </c>
    </row>
    <row r="1631" spans="1:9" ht="15.75" x14ac:dyDescent="0.25">
      <c r="A1631" s="23">
        <v>1356</v>
      </c>
      <c r="B1631" s="6" t="str">
        <f>CADASTROS!$C$1049</f>
        <v>Eliana Jesus de Souza (LN)</v>
      </c>
      <c r="C1631" s="159"/>
      <c r="D1631" s="159"/>
      <c r="E1631" s="159"/>
      <c r="F1631" s="159"/>
      <c r="G1631" s="159"/>
      <c r="H1631" s="159"/>
      <c r="I1631" s="7">
        <f t="shared" si="138"/>
        <v>0</v>
      </c>
    </row>
    <row r="1632" spans="1:9" ht="15.75" x14ac:dyDescent="0.25">
      <c r="B1632" s="159" t="s">
        <v>4829</v>
      </c>
      <c r="C1632" s="159">
        <f>SUM(C1605:C1631)</f>
        <v>0</v>
      </c>
      <c r="D1632" s="159">
        <f t="shared" ref="D1632:H1632" si="139">SUM(D1605:D1631)</f>
        <v>52</v>
      </c>
      <c r="E1632" s="159">
        <f t="shared" si="139"/>
        <v>73.5</v>
      </c>
      <c r="F1632" s="159">
        <f t="shared" si="139"/>
        <v>0</v>
      </c>
      <c r="G1632" s="159">
        <f t="shared" si="139"/>
        <v>0</v>
      </c>
      <c r="H1632" s="159">
        <f t="shared" si="139"/>
        <v>0</v>
      </c>
      <c r="I1632" s="159">
        <f>SUM(I1605:I1631)</f>
        <v>125.5</v>
      </c>
    </row>
    <row r="1634" spans="1:9" ht="15.75" x14ac:dyDescent="0.25">
      <c r="B1634" s="8" t="s">
        <v>4830</v>
      </c>
      <c r="C1634" s="159"/>
      <c r="D1634" s="159"/>
      <c r="E1634" s="159"/>
      <c r="F1634" s="159"/>
      <c r="G1634" s="159"/>
      <c r="H1634" s="159"/>
      <c r="I1634" s="159">
        <f>SUM(C1634:H1634)</f>
        <v>0</v>
      </c>
    </row>
    <row r="1635" spans="1:9" x14ac:dyDescent="0.25">
      <c r="B1635" s="167"/>
    </row>
    <row r="1636" spans="1:9" ht="15.75" x14ac:dyDescent="0.25">
      <c r="B1636" s="8" t="s">
        <v>4831</v>
      </c>
      <c r="C1636" s="9" t="e">
        <f>C1632/C1634</f>
        <v>#DIV/0!</v>
      </c>
      <c r="D1636" s="9" t="e">
        <f t="shared" ref="D1636:H1636" si="140">D1632/D1634</f>
        <v>#DIV/0!</v>
      </c>
      <c r="E1636" s="9" t="e">
        <f t="shared" si="140"/>
        <v>#DIV/0!</v>
      </c>
      <c r="F1636" s="9" t="e">
        <f t="shared" si="140"/>
        <v>#DIV/0!</v>
      </c>
      <c r="G1636" s="9" t="e">
        <f t="shared" si="140"/>
        <v>#DIV/0!</v>
      </c>
      <c r="H1636" s="9" t="e">
        <f t="shared" si="140"/>
        <v>#DIV/0!</v>
      </c>
      <c r="I1636" s="9"/>
    </row>
    <row r="1637" spans="1:9" ht="15.75" x14ac:dyDescent="0.25">
      <c r="B1637" s="163"/>
      <c r="C1637" s="10"/>
      <c r="D1637" s="10"/>
      <c r="E1637" s="10"/>
      <c r="F1637" s="10"/>
      <c r="G1637" s="10"/>
      <c r="H1637" s="163"/>
      <c r="I1637" s="163"/>
    </row>
    <row r="1638" spans="1:9" ht="15.75" x14ac:dyDescent="0.25">
      <c r="B1638" s="8" t="s">
        <v>4832</v>
      </c>
      <c r="C1638" s="159"/>
      <c r="D1638" s="159"/>
      <c r="E1638" s="6"/>
      <c r="F1638" s="6"/>
      <c r="G1638" s="6"/>
      <c r="H1638" s="6"/>
      <c r="I1638" s="11"/>
    </row>
    <row r="1640" spans="1:9" ht="33.75" x14ac:dyDescent="0.25">
      <c r="B1640" s="187" t="s">
        <v>4842</v>
      </c>
      <c r="C1640" s="188"/>
      <c r="D1640" s="188"/>
      <c r="E1640" s="188"/>
      <c r="F1640" s="188"/>
      <c r="G1640" s="188"/>
      <c r="H1640" s="188"/>
      <c r="I1640" s="189"/>
    </row>
    <row r="1641" spans="1:9" ht="47.25" x14ac:dyDescent="0.25">
      <c r="A1641" s="155" t="s">
        <v>4819</v>
      </c>
      <c r="B1641" s="155" t="s">
        <v>4820</v>
      </c>
      <c r="C1641" s="4" t="s">
        <v>4821</v>
      </c>
      <c r="D1641" s="4" t="s">
        <v>4822</v>
      </c>
      <c r="E1641" s="88" t="s">
        <v>4823</v>
      </c>
      <c r="F1641" s="88" t="s">
        <v>4824</v>
      </c>
      <c r="G1641" s="88" t="s">
        <v>4825</v>
      </c>
      <c r="H1641" s="4" t="s">
        <v>4826</v>
      </c>
      <c r="I1641" s="29" t="s">
        <v>4827</v>
      </c>
    </row>
    <row r="1642" spans="1:9" ht="25.5" x14ac:dyDescent="0.25">
      <c r="A1642" s="156"/>
      <c r="B1642" s="156"/>
      <c r="C1642" s="13" t="s">
        <v>4828</v>
      </c>
      <c r="D1642" s="13" t="s">
        <v>4828</v>
      </c>
      <c r="E1642" s="13" t="s">
        <v>4828</v>
      </c>
      <c r="F1642" s="13" t="s">
        <v>4828</v>
      </c>
      <c r="G1642" s="13" t="s">
        <v>4828</v>
      </c>
      <c r="H1642" s="13" t="s">
        <v>4828</v>
      </c>
      <c r="I1642" s="30"/>
    </row>
    <row r="1643" spans="1:9" ht="15.75" x14ac:dyDescent="0.25">
      <c r="A1643" s="23">
        <v>1357</v>
      </c>
      <c r="B1643" s="6" t="str">
        <f>CADASTROS!$C$1050</f>
        <v>Ilza Félix Pinheiro (LN)</v>
      </c>
      <c r="C1643" s="159"/>
      <c r="D1643" s="159"/>
      <c r="E1643" s="159"/>
      <c r="F1643" s="159"/>
      <c r="G1643" s="159"/>
      <c r="H1643" s="159"/>
      <c r="I1643" s="7">
        <f>SUM(C1643+D1643+E1643+F1643+G1643+H1643)</f>
        <v>0</v>
      </c>
    </row>
    <row r="1644" spans="1:9" ht="15.75" x14ac:dyDescent="0.25">
      <c r="A1644" s="23">
        <v>1358</v>
      </c>
      <c r="B1644" s="6" t="str">
        <f>CADASTROS!$C$1051</f>
        <v>Antônio Nunes dos Santos (LN)</v>
      </c>
      <c r="C1644" s="159"/>
      <c r="D1644" s="159"/>
      <c r="E1644" s="159"/>
      <c r="F1644" s="159"/>
      <c r="G1644" s="159"/>
      <c r="H1644" s="159"/>
      <c r="I1644" s="7">
        <f t="shared" ref="I1644:I1669" si="141">SUM(C1644+D1644+E1644+F1644+G1644+H1644)</f>
        <v>0</v>
      </c>
    </row>
    <row r="1645" spans="1:9" ht="15.75" x14ac:dyDescent="0.25">
      <c r="A1645" s="23">
        <v>1359</v>
      </c>
      <c r="B1645" s="6" t="str">
        <f>CADASTROS!$C$1052</f>
        <v>Eliene Vitor Bispo</v>
      </c>
      <c r="C1645" s="159"/>
      <c r="D1645" s="159"/>
      <c r="E1645" s="159"/>
      <c r="F1645" s="159"/>
      <c r="G1645" s="159"/>
      <c r="H1645" s="159"/>
      <c r="I1645" s="7">
        <f t="shared" si="141"/>
        <v>0</v>
      </c>
    </row>
    <row r="1646" spans="1:9" ht="15.75" x14ac:dyDescent="0.25">
      <c r="A1646" s="23">
        <v>1360</v>
      </c>
      <c r="B1646" s="6" t="str">
        <f>CADASTROS!$C$1053</f>
        <v>Ananias Bernardo da Silva</v>
      </c>
      <c r="C1646" s="159"/>
      <c r="D1646" s="159"/>
      <c r="E1646" s="159"/>
      <c r="F1646" s="159"/>
      <c r="G1646" s="159"/>
      <c r="H1646" s="159"/>
      <c r="I1646" s="7">
        <f t="shared" si="141"/>
        <v>0</v>
      </c>
    </row>
    <row r="1647" spans="1:9" ht="15.75" x14ac:dyDescent="0.25">
      <c r="A1647" s="23">
        <v>1361</v>
      </c>
      <c r="B1647" s="6" t="str">
        <f>CADASTROS!$C$1054</f>
        <v>Martinho R. de J. Neto</v>
      </c>
      <c r="C1647" s="159"/>
      <c r="D1647" s="159"/>
      <c r="E1647" s="159"/>
      <c r="F1647" s="159"/>
      <c r="G1647" s="159"/>
      <c r="H1647" s="159"/>
      <c r="I1647" s="7">
        <f t="shared" si="141"/>
        <v>0</v>
      </c>
    </row>
    <row r="1648" spans="1:9" ht="15.75" x14ac:dyDescent="0.25">
      <c r="A1648" s="23">
        <v>1362</v>
      </c>
      <c r="B1648" s="6" t="str">
        <f>CADASTROS!$C$1055</f>
        <v>Ricardo dos Santos Ferreira</v>
      </c>
      <c r="C1648" s="159"/>
      <c r="D1648" s="159"/>
      <c r="E1648" s="159"/>
      <c r="F1648" s="159"/>
      <c r="G1648" s="159"/>
      <c r="H1648" s="159"/>
      <c r="I1648" s="7">
        <f t="shared" si="141"/>
        <v>0</v>
      </c>
    </row>
    <row r="1649" spans="1:9" ht="15.75" x14ac:dyDescent="0.25">
      <c r="A1649" s="23">
        <v>1363</v>
      </c>
      <c r="B1649" s="6" t="str">
        <f>CADASTROS!$C$1056</f>
        <v>Maria Nilce O. Santos</v>
      </c>
      <c r="C1649" s="159"/>
      <c r="D1649" s="159"/>
      <c r="E1649" s="159"/>
      <c r="F1649" s="159"/>
      <c r="G1649" s="159"/>
      <c r="H1649" s="159"/>
      <c r="I1649" s="7">
        <f t="shared" si="141"/>
        <v>0</v>
      </c>
    </row>
    <row r="1650" spans="1:9" ht="15.75" x14ac:dyDescent="0.25">
      <c r="A1650" s="23">
        <v>1364</v>
      </c>
      <c r="B1650" s="6" t="str">
        <f>CADASTROS!$C$1057</f>
        <v>Vera Lucia Carlos Silva</v>
      </c>
      <c r="C1650" s="159"/>
      <c r="D1650" s="159"/>
      <c r="E1650" s="159"/>
      <c r="F1650" s="159"/>
      <c r="G1650" s="159"/>
      <c r="H1650" s="159"/>
      <c r="I1650" s="7">
        <f t="shared" si="141"/>
        <v>0</v>
      </c>
    </row>
    <row r="1651" spans="1:9" ht="15.75" x14ac:dyDescent="0.25">
      <c r="A1651" s="23">
        <v>1365</v>
      </c>
      <c r="B1651" s="6" t="str">
        <f>CADASTROS!$C$1058</f>
        <v>Marivaldo Matos Soares</v>
      </c>
      <c r="C1651" s="159">
        <v>63</v>
      </c>
      <c r="D1651" s="159">
        <v>65</v>
      </c>
      <c r="E1651" s="159">
        <v>46.5</v>
      </c>
      <c r="F1651" s="159"/>
      <c r="G1651" s="159">
        <v>65.5</v>
      </c>
      <c r="H1651" s="159"/>
      <c r="I1651" s="7">
        <f t="shared" si="141"/>
        <v>240</v>
      </c>
    </row>
    <row r="1652" spans="1:9" ht="15.75" x14ac:dyDescent="0.25">
      <c r="A1652" s="23">
        <v>1366</v>
      </c>
      <c r="B1652" s="6" t="str">
        <f>CADASTROS!$C$1059</f>
        <v>Maria Tatiane de Souza</v>
      </c>
      <c r="C1652" s="159"/>
      <c r="D1652" s="159"/>
      <c r="E1652" s="159"/>
      <c r="F1652" s="159"/>
      <c r="G1652" s="159"/>
      <c r="H1652" s="159"/>
      <c r="I1652" s="7">
        <f t="shared" si="141"/>
        <v>0</v>
      </c>
    </row>
    <row r="1653" spans="1:9" ht="15.75" x14ac:dyDescent="0.25">
      <c r="A1653" s="23">
        <v>1367</v>
      </c>
      <c r="B1653" s="6" t="str">
        <f>CADASTROS!$C$1060</f>
        <v>Gersiane Soares dos Santos</v>
      </c>
      <c r="C1653" s="159"/>
      <c r="D1653" s="159">
        <v>20</v>
      </c>
      <c r="E1653" s="159">
        <v>18</v>
      </c>
      <c r="F1653" s="159"/>
      <c r="G1653" s="159">
        <v>20</v>
      </c>
      <c r="H1653" s="159"/>
      <c r="I1653" s="7">
        <f t="shared" si="141"/>
        <v>58</v>
      </c>
    </row>
    <row r="1654" spans="1:9" ht="15.75" x14ac:dyDescent="0.25">
      <c r="A1654" s="23">
        <v>1368</v>
      </c>
      <c r="B1654" s="6" t="str">
        <f>CADASTROS!$C$1061</f>
        <v>Vera Lucia Cruz Almeida</v>
      </c>
      <c r="C1654" s="159"/>
      <c r="D1654" s="159"/>
      <c r="E1654" s="159"/>
      <c r="F1654" s="159"/>
      <c r="G1654" s="159"/>
      <c r="H1654" s="159"/>
      <c r="I1654" s="7">
        <f t="shared" si="141"/>
        <v>0</v>
      </c>
    </row>
    <row r="1655" spans="1:9" ht="15.75" x14ac:dyDescent="0.25">
      <c r="A1655" s="23">
        <v>1369</v>
      </c>
      <c r="B1655" s="6" t="str">
        <f>CADASTROS!$C$1062</f>
        <v>Julia Cornelio de Souza</v>
      </c>
      <c r="C1655" s="159"/>
      <c r="D1655" s="159"/>
      <c r="E1655" s="159"/>
      <c r="F1655" s="159"/>
      <c r="G1655" s="159"/>
      <c r="H1655" s="159"/>
      <c r="I1655" s="7">
        <f t="shared" si="141"/>
        <v>0</v>
      </c>
    </row>
    <row r="1656" spans="1:9" ht="15.75" x14ac:dyDescent="0.25">
      <c r="A1656" s="23">
        <v>1370</v>
      </c>
      <c r="B1656" s="6" t="str">
        <f>CADASTROS!$C$1063</f>
        <v>Tatiane Mendes de Souza</v>
      </c>
      <c r="C1656" s="159"/>
      <c r="D1656" s="159"/>
      <c r="E1656" s="159"/>
      <c r="F1656" s="159"/>
      <c r="G1656" s="159"/>
      <c r="H1656" s="159"/>
      <c r="I1656" s="7">
        <f t="shared" si="141"/>
        <v>0</v>
      </c>
    </row>
    <row r="1657" spans="1:9" ht="15.75" x14ac:dyDescent="0.25">
      <c r="A1657" s="23">
        <v>1371</v>
      </c>
      <c r="B1657" s="6" t="str">
        <f>CADASTROS!$C$1064</f>
        <v>Edilene Santana de Souza</v>
      </c>
      <c r="C1657" s="159"/>
      <c r="D1657" s="159"/>
      <c r="E1657" s="159"/>
      <c r="F1657" s="159"/>
      <c r="G1657" s="159"/>
      <c r="H1657" s="159"/>
      <c r="I1657" s="7">
        <f t="shared" si="141"/>
        <v>0</v>
      </c>
    </row>
    <row r="1658" spans="1:9" ht="15.75" x14ac:dyDescent="0.25">
      <c r="A1658" s="23">
        <v>1372</v>
      </c>
      <c r="B1658" s="6" t="str">
        <f>CADASTROS!$C$1065</f>
        <v>Raimundo Soares de Souza</v>
      </c>
      <c r="C1658" s="159"/>
      <c r="D1658" s="159">
        <v>10</v>
      </c>
      <c r="E1658" s="159">
        <v>8.5</v>
      </c>
      <c r="F1658" s="159"/>
      <c r="G1658" s="159"/>
      <c r="H1658" s="159"/>
      <c r="I1658" s="7">
        <f t="shared" si="141"/>
        <v>18.5</v>
      </c>
    </row>
    <row r="1659" spans="1:9" ht="15.75" x14ac:dyDescent="0.25">
      <c r="A1659" s="23">
        <v>1373</v>
      </c>
      <c r="B1659" s="6" t="str">
        <f>CADASTROS!$C$1066</f>
        <v>Rilda Rosa Caldeira</v>
      </c>
      <c r="C1659" s="159"/>
      <c r="D1659" s="159"/>
      <c r="E1659" s="159"/>
      <c r="F1659" s="159"/>
      <c r="G1659" s="159"/>
      <c r="H1659" s="159"/>
      <c r="I1659" s="7">
        <f t="shared" si="141"/>
        <v>0</v>
      </c>
    </row>
    <row r="1660" spans="1:9" ht="15.75" x14ac:dyDescent="0.25">
      <c r="A1660" s="23">
        <v>1374</v>
      </c>
      <c r="B1660" s="6" t="str">
        <f>CADASTROS!$C$1067</f>
        <v>Orlando S. Almeida</v>
      </c>
      <c r="C1660" s="159"/>
      <c r="D1660" s="159"/>
      <c r="E1660" s="159"/>
      <c r="F1660" s="159"/>
      <c r="G1660" s="159"/>
      <c r="H1660" s="159"/>
      <c r="I1660" s="7">
        <f t="shared" si="141"/>
        <v>0</v>
      </c>
    </row>
    <row r="1661" spans="1:9" ht="15.75" x14ac:dyDescent="0.25">
      <c r="A1661" s="23">
        <v>1375</v>
      </c>
      <c r="B1661" s="6" t="str">
        <f>CADASTROS!$C$1068</f>
        <v>Clenilda Oliveira Santos</v>
      </c>
      <c r="C1661" s="159"/>
      <c r="D1661" s="159"/>
      <c r="E1661" s="159"/>
      <c r="F1661" s="159"/>
      <c r="G1661" s="159"/>
      <c r="H1661" s="159"/>
      <c r="I1661" s="7">
        <f t="shared" si="141"/>
        <v>0</v>
      </c>
    </row>
    <row r="1662" spans="1:9" ht="15.75" x14ac:dyDescent="0.25">
      <c r="A1662" s="23">
        <v>1376</v>
      </c>
      <c r="B1662" s="6" t="str">
        <f>CADASTROS!$C$1069</f>
        <v>Marinez Silva Santana</v>
      </c>
      <c r="C1662" s="159"/>
      <c r="D1662" s="159"/>
      <c r="E1662" s="159"/>
      <c r="F1662" s="159"/>
      <c r="G1662" s="159"/>
      <c r="H1662" s="159"/>
      <c r="I1662" s="7">
        <f t="shared" si="141"/>
        <v>0</v>
      </c>
    </row>
    <row r="1663" spans="1:9" ht="15.75" x14ac:dyDescent="0.25">
      <c r="A1663" s="23">
        <v>1377</v>
      </c>
      <c r="B1663" s="6" t="str">
        <f>CADASTROS!$C$1070</f>
        <v>Pedro Barbosa da Silva</v>
      </c>
      <c r="C1663" s="159"/>
      <c r="D1663" s="159"/>
      <c r="E1663" s="159"/>
      <c r="F1663" s="159"/>
      <c r="G1663" s="159"/>
      <c r="H1663" s="159"/>
      <c r="I1663" s="7">
        <f t="shared" si="141"/>
        <v>0</v>
      </c>
    </row>
    <row r="1664" spans="1:9" ht="15.75" x14ac:dyDescent="0.25">
      <c r="A1664" s="23">
        <v>1378</v>
      </c>
      <c r="B1664" s="6" t="str">
        <f>CADASTROS!$C$1071</f>
        <v>Arenildo Rosa Pires</v>
      </c>
      <c r="C1664" s="159"/>
      <c r="D1664" s="159"/>
      <c r="E1664" s="159"/>
      <c r="F1664" s="159"/>
      <c r="G1664" s="159"/>
      <c r="H1664" s="159"/>
      <c r="I1664" s="7">
        <f t="shared" si="141"/>
        <v>0</v>
      </c>
    </row>
    <row r="1665" spans="1:9" ht="15.75" x14ac:dyDescent="0.25">
      <c r="A1665" s="23">
        <v>1379</v>
      </c>
      <c r="B1665" s="6" t="str">
        <f>CADASTROS!$C$1072</f>
        <v>Joselito Teodoro da Cruz</v>
      </c>
      <c r="C1665" s="159"/>
      <c r="D1665" s="159"/>
      <c r="E1665" s="159"/>
      <c r="F1665" s="159"/>
      <c r="G1665" s="159"/>
      <c r="H1665" s="159"/>
      <c r="I1665" s="7">
        <f t="shared" si="141"/>
        <v>0</v>
      </c>
    </row>
    <row r="1666" spans="1:9" ht="15.75" x14ac:dyDescent="0.25">
      <c r="A1666" s="23">
        <v>1380</v>
      </c>
      <c r="B1666" s="6" t="str">
        <f>CADASTROS!$C$1073</f>
        <v>Raimundo Rodrigues Oliveira</v>
      </c>
      <c r="C1666" s="159"/>
      <c r="D1666" s="159"/>
      <c r="E1666" s="159"/>
      <c r="F1666" s="159"/>
      <c r="G1666" s="159"/>
      <c r="H1666" s="159"/>
      <c r="I1666" s="7">
        <f t="shared" si="141"/>
        <v>0</v>
      </c>
    </row>
    <row r="1667" spans="1:9" ht="15.75" x14ac:dyDescent="0.25">
      <c r="A1667" s="23">
        <v>1381</v>
      </c>
      <c r="B1667" s="6" t="str">
        <f>CADASTROS!$C$1074</f>
        <v>Robevaldo Claudio dos Anjos</v>
      </c>
      <c r="C1667" s="159"/>
      <c r="D1667" s="159"/>
      <c r="E1667" s="159">
        <v>30</v>
      </c>
      <c r="F1667" s="159"/>
      <c r="G1667" s="159"/>
      <c r="H1667" s="159"/>
      <c r="I1667" s="7">
        <f t="shared" si="141"/>
        <v>30</v>
      </c>
    </row>
    <row r="1668" spans="1:9" ht="15.75" x14ac:dyDescent="0.25">
      <c r="A1668" s="23">
        <v>1382</v>
      </c>
      <c r="B1668" s="6" t="str">
        <f>CADASTROS!$C$1075</f>
        <v>Adenil Pereira Bispo</v>
      </c>
      <c r="C1668" s="159"/>
      <c r="D1668" s="159"/>
      <c r="E1668" s="159"/>
      <c r="F1668" s="159"/>
      <c r="G1668" s="159"/>
      <c r="H1668" s="159"/>
      <c r="I1668" s="7">
        <f t="shared" si="141"/>
        <v>0</v>
      </c>
    </row>
    <row r="1669" spans="1:9" ht="15.75" x14ac:dyDescent="0.25">
      <c r="A1669" s="23">
        <v>1383</v>
      </c>
      <c r="B1669" s="6" t="str">
        <f>CADASTROS!$C$1076</f>
        <v>Sandro Damasceno Oliveira</v>
      </c>
      <c r="C1669" s="159"/>
      <c r="D1669" s="159"/>
      <c r="E1669" s="159"/>
      <c r="F1669" s="159"/>
      <c r="G1669" s="159"/>
      <c r="H1669" s="159"/>
      <c r="I1669" s="7">
        <f t="shared" si="141"/>
        <v>0</v>
      </c>
    </row>
    <row r="1670" spans="1:9" ht="15.75" x14ac:dyDescent="0.25">
      <c r="B1670" s="159" t="s">
        <v>4829</v>
      </c>
      <c r="C1670" s="159">
        <f>SUM(C1643:C1669)</f>
        <v>63</v>
      </c>
      <c r="D1670" s="159">
        <f t="shared" ref="D1670:H1670" si="142">SUM(D1643:D1669)</f>
        <v>95</v>
      </c>
      <c r="E1670" s="159">
        <f t="shared" si="142"/>
        <v>103</v>
      </c>
      <c r="F1670" s="159">
        <f t="shared" si="142"/>
        <v>0</v>
      </c>
      <c r="G1670" s="159">
        <f t="shared" si="142"/>
        <v>85.5</v>
      </c>
      <c r="H1670" s="159">
        <f t="shared" si="142"/>
        <v>0</v>
      </c>
      <c r="I1670" s="159">
        <f>SUM(I1643:I1669)</f>
        <v>346.5</v>
      </c>
    </row>
    <row r="1672" spans="1:9" ht="15.75" x14ac:dyDescent="0.25">
      <c r="B1672" s="8" t="s">
        <v>4830</v>
      </c>
      <c r="C1672" s="159"/>
      <c r="D1672" s="159"/>
      <c r="E1672" s="159"/>
      <c r="F1672" s="159"/>
      <c r="G1672" s="159"/>
      <c r="H1672" s="159"/>
      <c r="I1672" s="159">
        <f>SUM(C1672:H1672)</f>
        <v>0</v>
      </c>
    </row>
    <row r="1673" spans="1:9" x14ac:dyDescent="0.25">
      <c r="B1673" s="167"/>
    </row>
    <row r="1674" spans="1:9" ht="15.75" x14ac:dyDescent="0.25">
      <c r="B1674" s="8" t="s">
        <v>4831</v>
      </c>
      <c r="C1674" s="9" t="e">
        <f>C1670/C1672</f>
        <v>#DIV/0!</v>
      </c>
      <c r="D1674" s="9" t="e">
        <f t="shared" ref="D1674:H1674" si="143">D1670/D1672</f>
        <v>#DIV/0!</v>
      </c>
      <c r="E1674" s="9" t="e">
        <f t="shared" si="143"/>
        <v>#DIV/0!</v>
      </c>
      <c r="F1674" s="9" t="e">
        <f t="shared" si="143"/>
        <v>#DIV/0!</v>
      </c>
      <c r="G1674" s="9" t="e">
        <f t="shared" si="143"/>
        <v>#DIV/0!</v>
      </c>
      <c r="H1674" s="9" t="e">
        <f t="shared" si="143"/>
        <v>#DIV/0!</v>
      </c>
      <c r="I1674" s="9"/>
    </row>
    <row r="1675" spans="1:9" ht="15.75" x14ac:dyDescent="0.25">
      <c r="B1675" s="163"/>
      <c r="C1675" s="10"/>
      <c r="D1675" s="10"/>
      <c r="E1675" s="10"/>
      <c r="F1675" s="10"/>
      <c r="G1675" s="10"/>
      <c r="H1675" s="163"/>
      <c r="I1675" s="163"/>
    </row>
    <row r="1676" spans="1:9" ht="15.75" x14ac:dyDescent="0.25">
      <c r="B1676" s="8" t="s">
        <v>4832</v>
      </c>
      <c r="C1676" s="159"/>
      <c r="D1676" s="159"/>
      <c r="E1676" s="6"/>
      <c r="F1676" s="6"/>
      <c r="G1676" s="6"/>
      <c r="H1676" s="6"/>
      <c r="I1676" s="11"/>
    </row>
    <row r="1678" spans="1:9" ht="33.75" x14ac:dyDescent="0.25">
      <c r="B1678" s="187" t="s">
        <v>4842</v>
      </c>
      <c r="C1678" s="188"/>
      <c r="D1678" s="188"/>
      <c r="E1678" s="188"/>
      <c r="F1678" s="188"/>
      <c r="G1678" s="188"/>
      <c r="H1678" s="188"/>
      <c r="I1678" s="189"/>
    </row>
    <row r="1679" spans="1:9" ht="47.25" x14ac:dyDescent="0.25">
      <c r="A1679" s="155" t="s">
        <v>4819</v>
      </c>
      <c r="B1679" s="155" t="s">
        <v>4820</v>
      </c>
      <c r="C1679" s="4" t="s">
        <v>4821</v>
      </c>
      <c r="D1679" s="4" t="s">
        <v>4822</v>
      </c>
      <c r="E1679" s="88" t="s">
        <v>4823</v>
      </c>
      <c r="F1679" s="88" t="s">
        <v>4824</v>
      </c>
      <c r="G1679" s="88" t="s">
        <v>4825</v>
      </c>
      <c r="H1679" s="4" t="s">
        <v>4826</v>
      </c>
      <c r="I1679" s="29" t="s">
        <v>4827</v>
      </c>
    </row>
    <row r="1680" spans="1:9" ht="25.5" x14ac:dyDescent="0.25">
      <c r="A1680" s="156"/>
      <c r="B1680" s="156"/>
      <c r="C1680" s="13" t="s">
        <v>4828</v>
      </c>
      <c r="D1680" s="13" t="s">
        <v>4828</v>
      </c>
      <c r="E1680" s="13" t="s">
        <v>4828</v>
      </c>
      <c r="F1680" s="13" t="s">
        <v>4828</v>
      </c>
      <c r="G1680" s="13" t="s">
        <v>4828</v>
      </c>
      <c r="H1680" s="13" t="s">
        <v>4828</v>
      </c>
      <c r="I1680" s="30"/>
    </row>
    <row r="1681" spans="1:9" ht="15.75" x14ac:dyDescent="0.25">
      <c r="A1681" s="23">
        <v>1384</v>
      </c>
      <c r="B1681" s="6" t="str">
        <f>CADASTROS!$C$1077</f>
        <v>Roberto Paixão Nagô</v>
      </c>
      <c r="C1681" s="159"/>
      <c r="D1681" s="159"/>
      <c r="E1681" s="159"/>
      <c r="F1681" s="159"/>
      <c r="G1681" s="159"/>
      <c r="H1681" s="159"/>
      <c r="I1681" s="7">
        <f>SUM(C1681+D1681+E1681+F1681+G1681+H1681)</f>
        <v>0</v>
      </c>
    </row>
    <row r="1682" spans="1:9" ht="15.75" x14ac:dyDescent="0.25">
      <c r="A1682" s="23">
        <v>1385</v>
      </c>
      <c r="B1682" s="6" t="str">
        <f>CADASTROS!$C$1078</f>
        <v>Erivan Romão da Silva</v>
      </c>
      <c r="C1682" s="159"/>
      <c r="D1682" s="159"/>
      <c r="E1682" s="159"/>
      <c r="F1682" s="159"/>
      <c r="G1682" s="159"/>
      <c r="H1682" s="159"/>
      <c r="I1682" s="7">
        <f t="shared" ref="I1682:I1707" si="144">SUM(C1682+D1682+E1682+F1682+G1682+H1682)</f>
        <v>0</v>
      </c>
    </row>
    <row r="1683" spans="1:9" ht="15.75" x14ac:dyDescent="0.25">
      <c r="A1683" s="23">
        <v>1386</v>
      </c>
      <c r="B1683" s="6" t="str">
        <f>CADASTROS!$C$1079</f>
        <v>Fábio Miranda Fernandes</v>
      </c>
      <c r="C1683" s="159"/>
      <c r="D1683" s="159"/>
      <c r="E1683" s="159"/>
      <c r="F1683" s="159"/>
      <c r="G1683" s="159"/>
      <c r="H1683" s="159"/>
      <c r="I1683" s="7">
        <f t="shared" si="144"/>
        <v>0</v>
      </c>
    </row>
    <row r="1684" spans="1:9" ht="15.75" x14ac:dyDescent="0.25">
      <c r="A1684" s="23">
        <v>1387</v>
      </c>
      <c r="B1684" s="6" t="str">
        <f>CADASTROS!$C$1080</f>
        <v>Daiane Almeida Oliveira</v>
      </c>
      <c r="C1684" s="159"/>
      <c r="D1684" s="159"/>
      <c r="E1684" s="159"/>
      <c r="F1684" s="159"/>
      <c r="G1684" s="159"/>
      <c r="H1684" s="159"/>
      <c r="I1684" s="7">
        <f t="shared" si="144"/>
        <v>0</v>
      </c>
    </row>
    <row r="1685" spans="1:9" ht="15.75" x14ac:dyDescent="0.25">
      <c r="A1685" s="23">
        <v>1388</v>
      </c>
      <c r="B1685" s="6" t="str">
        <f>CADASTROS!$C$1081</f>
        <v>Salete Ferreira Santos</v>
      </c>
      <c r="C1685" s="159"/>
      <c r="D1685" s="159"/>
      <c r="E1685" s="159"/>
      <c r="F1685" s="159"/>
      <c r="G1685" s="159"/>
      <c r="H1685" s="159"/>
      <c r="I1685" s="7">
        <f t="shared" si="144"/>
        <v>0</v>
      </c>
    </row>
    <row r="1686" spans="1:9" ht="15.75" x14ac:dyDescent="0.25">
      <c r="A1686" s="23">
        <v>1389</v>
      </c>
      <c r="B1686" s="6" t="str">
        <f>CADASTROS!$C$1082</f>
        <v>Abelina Félix da Silva</v>
      </c>
      <c r="C1686" s="159"/>
      <c r="D1686" s="159"/>
      <c r="E1686" s="159"/>
      <c r="F1686" s="159"/>
      <c r="G1686" s="159"/>
      <c r="H1686" s="159"/>
      <c r="I1686" s="7">
        <f t="shared" si="144"/>
        <v>0</v>
      </c>
    </row>
    <row r="1687" spans="1:9" ht="15.75" x14ac:dyDescent="0.25">
      <c r="A1687" s="23">
        <v>1390</v>
      </c>
      <c r="B1687" s="6" t="str">
        <f>CADASTROS!$C$1083</f>
        <v>Carmesina M. Fernandes</v>
      </c>
      <c r="C1687" s="159"/>
      <c r="D1687" s="159"/>
      <c r="E1687" s="159"/>
      <c r="F1687" s="159"/>
      <c r="G1687" s="159"/>
      <c r="H1687" s="159"/>
      <c r="I1687" s="7">
        <f t="shared" si="144"/>
        <v>0</v>
      </c>
    </row>
    <row r="1688" spans="1:9" ht="15.75" x14ac:dyDescent="0.25">
      <c r="A1688" s="23">
        <v>1391</v>
      </c>
      <c r="B1688" s="6" t="str">
        <f>CADASTROS!$C$1084</f>
        <v>Sebastião de S Gomes</v>
      </c>
      <c r="C1688" s="159"/>
      <c r="D1688" s="159"/>
      <c r="E1688" s="159"/>
      <c r="F1688" s="159"/>
      <c r="G1688" s="159"/>
      <c r="H1688" s="159"/>
      <c r="I1688" s="7">
        <f t="shared" si="144"/>
        <v>0</v>
      </c>
    </row>
    <row r="1689" spans="1:9" ht="15.75" x14ac:dyDescent="0.25">
      <c r="A1689" s="23">
        <v>1392</v>
      </c>
      <c r="B1689" s="6" t="str">
        <f>CADASTROS!$C$1085</f>
        <v>Elineuza de Souza Pereira</v>
      </c>
      <c r="C1689" s="159"/>
      <c r="D1689" s="159"/>
      <c r="E1689" s="159"/>
      <c r="F1689" s="159"/>
      <c r="G1689" s="159"/>
      <c r="H1689" s="159"/>
      <c r="I1689" s="7">
        <f t="shared" si="144"/>
        <v>0</v>
      </c>
    </row>
    <row r="1690" spans="1:9" ht="15.75" x14ac:dyDescent="0.25">
      <c r="A1690" s="23">
        <v>1393</v>
      </c>
      <c r="B1690" s="6" t="str">
        <f>CADASTROS!$C$1086</f>
        <v>Geverson R. de Jesus</v>
      </c>
      <c r="C1690" s="159"/>
      <c r="D1690" s="159"/>
      <c r="E1690" s="159"/>
      <c r="F1690" s="159"/>
      <c r="G1690" s="159"/>
      <c r="H1690" s="159"/>
      <c r="I1690" s="7">
        <f t="shared" si="144"/>
        <v>0</v>
      </c>
    </row>
    <row r="1691" spans="1:9" ht="15.75" x14ac:dyDescent="0.25">
      <c r="A1691" s="23">
        <v>1394</v>
      </c>
      <c r="B1691" s="6" t="str">
        <f>CADASTROS!$C$1087</f>
        <v>Maria José Alves Souza</v>
      </c>
      <c r="C1691" s="159"/>
      <c r="D1691" s="159"/>
      <c r="E1691" s="159"/>
      <c r="F1691" s="159"/>
      <c r="G1691" s="159"/>
      <c r="H1691" s="159"/>
      <c r="I1691" s="7">
        <f t="shared" si="144"/>
        <v>0</v>
      </c>
    </row>
    <row r="1692" spans="1:9" ht="15.75" x14ac:dyDescent="0.25">
      <c r="A1692" s="23">
        <v>1395</v>
      </c>
      <c r="B1692" s="6" t="str">
        <f>CADASTROS!$C$1088</f>
        <v>Cleidiane Santos dos Reis</v>
      </c>
      <c r="C1692" s="159"/>
      <c r="D1692" s="159"/>
      <c r="E1692" s="159"/>
      <c r="F1692" s="159"/>
      <c r="G1692" s="159"/>
      <c r="H1692" s="159"/>
      <c r="I1692" s="7">
        <f t="shared" si="144"/>
        <v>0</v>
      </c>
    </row>
    <row r="1693" spans="1:9" ht="15.75" x14ac:dyDescent="0.25">
      <c r="A1693" s="23">
        <v>1396</v>
      </c>
      <c r="B1693" s="6" t="str">
        <f>CADASTROS!$C$1089</f>
        <v>Edilma dos Santos Silva</v>
      </c>
      <c r="C1693" s="159"/>
      <c r="D1693" s="159"/>
      <c r="E1693" s="159"/>
      <c r="F1693" s="159"/>
      <c r="G1693" s="159"/>
      <c r="H1693" s="159"/>
      <c r="I1693" s="7">
        <f t="shared" si="144"/>
        <v>0</v>
      </c>
    </row>
    <row r="1694" spans="1:9" ht="15.75" x14ac:dyDescent="0.25">
      <c r="A1694" s="23">
        <v>1397</v>
      </c>
      <c r="B1694" s="6" t="str">
        <f>CADASTROS!$C$1090</f>
        <v>Ludimila Santos de Amorim</v>
      </c>
      <c r="C1694" s="159"/>
      <c r="D1694" s="159"/>
      <c r="E1694" s="159"/>
      <c r="F1694" s="159"/>
      <c r="G1694" s="159"/>
      <c r="H1694" s="159"/>
      <c r="I1694" s="7">
        <f t="shared" si="144"/>
        <v>0</v>
      </c>
    </row>
    <row r="1695" spans="1:9" ht="15.75" x14ac:dyDescent="0.25">
      <c r="A1695" s="23">
        <v>1398</v>
      </c>
      <c r="B1695" s="6" t="str">
        <f>CADASTROS!$C$1091</f>
        <v>Adriana Moureira Matos</v>
      </c>
      <c r="C1695" s="159"/>
      <c r="D1695" s="159"/>
      <c r="E1695" s="159"/>
      <c r="F1695" s="159"/>
      <c r="G1695" s="159">
        <v>11</v>
      </c>
      <c r="H1695" s="159"/>
      <c r="I1695" s="7">
        <f t="shared" si="144"/>
        <v>11</v>
      </c>
    </row>
    <row r="1696" spans="1:9" ht="15.75" x14ac:dyDescent="0.25">
      <c r="A1696" s="23">
        <v>1399</v>
      </c>
      <c r="B1696" s="6" t="str">
        <f>CADASTROS!$C$1092</f>
        <v>Sidnei de Souza</v>
      </c>
      <c r="C1696" s="159"/>
      <c r="D1696" s="159">
        <v>14</v>
      </c>
      <c r="E1696" s="159">
        <v>12</v>
      </c>
      <c r="F1696" s="159"/>
      <c r="G1696" s="159"/>
      <c r="H1696" s="159"/>
      <c r="I1696" s="7">
        <f t="shared" si="144"/>
        <v>26</v>
      </c>
    </row>
    <row r="1697" spans="1:9" ht="15.75" x14ac:dyDescent="0.25">
      <c r="A1697" s="23">
        <v>1400</v>
      </c>
      <c r="B1697" s="6" t="str">
        <f>CADASTROS!$C$1093</f>
        <v>Patricia Rodrigues de Jesus</v>
      </c>
      <c r="C1697" s="159"/>
      <c r="D1697" s="159"/>
      <c r="E1697" s="159"/>
      <c r="F1697" s="159"/>
      <c r="G1697" s="159"/>
      <c r="H1697" s="159"/>
      <c r="I1697" s="7">
        <f t="shared" si="144"/>
        <v>0</v>
      </c>
    </row>
    <row r="1698" spans="1:9" ht="15.75" x14ac:dyDescent="0.25">
      <c r="A1698" s="23">
        <v>1401</v>
      </c>
      <c r="B1698" s="6" t="str">
        <f>CADASTROS!$C$1094</f>
        <v>José Nunes Aragão</v>
      </c>
      <c r="C1698" s="159"/>
      <c r="D1698" s="159"/>
      <c r="E1698" s="159"/>
      <c r="F1698" s="159"/>
      <c r="G1698" s="159"/>
      <c r="H1698" s="159"/>
      <c r="I1698" s="7">
        <f t="shared" si="144"/>
        <v>0</v>
      </c>
    </row>
    <row r="1699" spans="1:9" ht="15.75" x14ac:dyDescent="0.25">
      <c r="A1699" s="23">
        <v>1402</v>
      </c>
      <c r="B1699" s="6" t="str">
        <f>CADASTROS!$C$1095</f>
        <v>Valéria de Souza Silva</v>
      </c>
      <c r="C1699" s="159"/>
      <c r="D1699" s="159"/>
      <c r="E1699" s="159"/>
      <c r="F1699" s="159"/>
      <c r="G1699" s="159"/>
      <c r="H1699" s="159"/>
      <c r="I1699" s="7">
        <f t="shared" si="144"/>
        <v>0</v>
      </c>
    </row>
    <row r="1700" spans="1:9" ht="15.75" x14ac:dyDescent="0.25">
      <c r="A1700" s="23">
        <v>1403</v>
      </c>
      <c r="B1700" s="6" t="str">
        <f>CADASTROS!$C$1096</f>
        <v>Valdirene Marques Silva</v>
      </c>
      <c r="C1700" s="159"/>
      <c r="D1700" s="159"/>
      <c r="E1700" s="159"/>
      <c r="F1700" s="159"/>
      <c r="G1700" s="159"/>
      <c r="H1700" s="159"/>
      <c r="I1700" s="7">
        <f t="shared" si="144"/>
        <v>0</v>
      </c>
    </row>
    <row r="1701" spans="1:9" ht="15.75" x14ac:dyDescent="0.25">
      <c r="A1701" s="23">
        <v>1404</v>
      </c>
      <c r="B1701" s="6" t="str">
        <f>CADASTROS!$C$1097</f>
        <v>Érika das Neves Moura</v>
      </c>
      <c r="C1701" s="159"/>
      <c r="D1701" s="159"/>
      <c r="E1701" s="159"/>
      <c r="F1701" s="159"/>
      <c r="G1701" s="159"/>
      <c r="H1701" s="159"/>
      <c r="I1701" s="7">
        <f t="shared" si="144"/>
        <v>0</v>
      </c>
    </row>
    <row r="1702" spans="1:9" ht="15.75" x14ac:dyDescent="0.25">
      <c r="A1702" s="23">
        <v>1405</v>
      </c>
      <c r="B1702" s="6" t="str">
        <f>CADASTROS!$C$1098</f>
        <v>Nivaldo Antônio Magno</v>
      </c>
      <c r="C1702" s="159"/>
      <c r="D1702" s="159"/>
      <c r="E1702" s="159"/>
      <c r="F1702" s="159"/>
      <c r="G1702" s="159"/>
      <c r="H1702" s="159"/>
      <c r="I1702" s="7">
        <f t="shared" si="144"/>
        <v>0</v>
      </c>
    </row>
    <row r="1703" spans="1:9" ht="15.75" x14ac:dyDescent="0.25">
      <c r="A1703" s="23">
        <v>1406</v>
      </c>
      <c r="B1703" s="6" t="str">
        <f>CADASTROS!$C$1099</f>
        <v>Adriana Aguida de Souza</v>
      </c>
      <c r="C1703" s="159"/>
      <c r="D1703" s="159"/>
      <c r="E1703" s="159"/>
      <c r="F1703" s="159"/>
      <c r="G1703" s="159"/>
      <c r="H1703" s="159"/>
      <c r="I1703" s="7">
        <f t="shared" si="144"/>
        <v>0</v>
      </c>
    </row>
    <row r="1704" spans="1:9" ht="15.75" x14ac:dyDescent="0.25">
      <c r="A1704" s="23">
        <v>1407</v>
      </c>
      <c r="B1704" s="6" t="str">
        <f>CADASTROS!$C$1100</f>
        <v>José A. S. da Silva</v>
      </c>
      <c r="C1704" s="159">
        <v>11</v>
      </c>
      <c r="D1704" s="159"/>
      <c r="E1704" s="159">
        <v>14</v>
      </c>
      <c r="F1704" s="159"/>
      <c r="G1704" s="159">
        <v>14</v>
      </c>
      <c r="H1704" s="159"/>
      <c r="I1704" s="7">
        <f t="shared" si="144"/>
        <v>39</v>
      </c>
    </row>
    <row r="1705" spans="1:9" ht="15.75" x14ac:dyDescent="0.25">
      <c r="A1705" s="23">
        <v>1408</v>
      </c>
      <c r="B1705" s="6" t="str">
        <f>CADASTROS!$C$1101</f>
        <v>Célio Santos de Oliveira</v>
      </c>
      <c r="C1705" s="159"/>
      <c r="D1705" s="159"/>
      <c r="E1705" s="159"/>
      <c r="F1705" s="159"/>
      <c r="G1705" s="159"/>
      <c r="H1705" s="159"/>
      <c r="I1705" s="7">
        <f t="shared" si="144"/>
        <v>0</v>
      </c>
    </row>
    <row r="1706" spans="1:9" ht="15.75" x14ac:dyDescent="0.25">
      <c r="A1706" s="23">
        <v>1409</v>
      </c>
      <c r="B1706" s="6" t="str">
        <f>CADASTROS!$C$1102</f>
        <v>Carlos Cândido Profeta</v>
      </c>
      <c r="C1706" s="159"/>
      <c r="D1706" s="159"/>
      <c r="E1706" s="159"/>
      <c r="F1706" s="159"/>
      <c r="G1706" s="159"/>
      <c r="H1706" s="159"/>
      <c r="I1706" s="7">
        <f t="shared" si="144"/>
        <v>0</v>
      </c>
    </row>
    <row r="1707" spans="1:9" ht="15.75" x14ac:dyDescent="0.25">
      <c r="A1707" s="23">
        <v>1410</v>
      </c>
      <c r="B1707" s="6" t="str">
        <f>CADASTROS!$C$1103</f>
        <v>Edinaldo Vitória Santos</v>
      </c>
      <c r="C1707" s="159"/>
      <c r="D1707" s="159"/>
      <c r="E1707" s="159"/>
      <c r="F1707" s="159"/>
      <c r="G1707" s="159"/>
      <c r="H1707" s="159"/>
      <c r="I1707" s="7">
        <f t="shared" si="144"/>
        <v>0</v>
      </c>
    </row>
    <row r="1708" spans="1:9" ht="15.75" x14ac:dyDescent="0.25">
      <c r="B1708" s="159" t="s">
        <v>4829</v>
      </c>
      <c r="C1708" s="159">
        <f>SUM(C1681:C1707)</f>
        <v>11</v>
      </c>
      <c r="D1708" s="159">
        <f t="shared" ref="D1708:H1708" si="145">SUM(D1681:D1707)</f>
        <v>14</v>
      </c>
      <c r="E1708" s="159">
        <f t="shared" si="145"/>
        <v>26</v>
      </c>
      <c r="F1708" s="159">
        <f t="shared" si="145"/>
        <v>0</v>
      </c>
      <c r="G1708" s="159">
        <f t="shared" si="145"/>
        <v>25</v>
      </c>
      <c r="H1708" s="159">
        <f t="shared" si="145"/>
        <v>0</v>
      </c>
      <c r="I1708" s="159">
        <f>SUM(I1681:I1707)</f>
        <v>76</v>
      </c>
    </row>
    <row r="1710" spans="1:9" ht="15.75" x14ac:dyDescent="0.25">
      <c r="B1710" s="8" t="s">
        <v>4830</v>
      </c>
      <c r="C1710" s="159"/>
      <c r="D1710" s="159"/>
      <c r="E1710" s="159"/>
      <c r="F1710" s="159"/>
      <c r="G1710" s="159"/>
      <c r="H1710" s="159"/>
      <c r="I1710" s="159">
        <f>SUM(C1710:H1710)</f>
        <v>0</v>
      </c>
    </row>
    <row r="1711" spans="1:9" x14ac:dyDescent="0.25">
      <c r="B1711" s="167"/>
    </row>
    <row r="1712" spans="1:9" ht="15.75" x14ac:dyDescent="0.25">
      <c r="B1712" s="8" t="s">
        <v>4831</v>
      </c>
      <c r="C1712" s="9" t="e">
        <f>C1708/C1710</f>
        <v>#DIV/0!</v>
      </c>
      <c r="D1712" s="9" t="e">
        <f t="shared" ref="D1712:H1712" si="146">D1708/D1710</f>
        <v>#DIV/0!</v>
      </c>
      <c r="E1712" s="9" t="e">
        <f t="shared" si="146"/>
        <v>#DIV/0!</v>
      </c>
      <c r="F1712" s="9" t="e">
        <f t="shared" si="146"/>
        <v>#DIV/0!</v>
      </c>
      <c r="G1712" s="9" t="e">
        <f t="shared" si="146"/>
        <v>#DIV/0!</v>
      </c>
      <c r="H1712" s="9" t="e">
        <f t="shared" si="146"/>
        <v>#DIV/0!</v>
      </c>
      <c r="I1712" s="9"/>
    </row>
    <row r="1713" spans="1:9" ht="15.75" x14ac:dyDescent="0.25">
      <c r="B1713" s="163"/>
      <c r="C1713" s="10"/>
      <c r="D1713" s="10"/>
      <c r="E1713" s="10"/>
      <c r="F1713" s="10"/>
      <c r="G1713" s="10"/>
      <c r="H1713" s="163"/>
      <c r="I1713" s="163"/>
    </row>
    <row r="1714" spans="1:9" ht="15.75" x14ac:dyDescent="0.25">
      <c r="B1714" s="8" t="s">
        <v>4832</v>
      </c>
      <c r="C1714" s="159"/>
      <c r="D1714" s="159"/>
      <c r="E1714" s="6"/>
      <c r="F1714" s="6"/>
      <c r="G1714" s="6"/>
      <c r="H1714" s="6"/>
      <c r="I1714" s="11"/>
    </row>
    <row r="1716" spans="1:9" ht="33.75" x14ac:dyDescent="0.25">
      <c r="B1716" s="187" t="s">
        <v>4842</v>
      </c>
      <c r="C1716" s="188"/>
      <c r="D1716" s="188"/>
      <c r="E1716" s="188"/>
      <c r="F1716" s="188"/>
      <c r="G1716" s="188"/>
      <c r="H1716" s="188"/>
      <c r="I1716" s="189"/>
    </row>
    <row r="1717" spans="1:9" ht="47.25" x14ac:dyDescent="0.25">
      <c r="A1717" s="155" t="s">
        <v>4819</v>
      </c>
      <c r="B1717" s="155" t="s">
        <v>4820</v>
      </c>
      <c r="C1717" s="4" t="s">
        <v>4821</v>
      </c>
      <c r="D1717" s="4" t="s">
        <v>4822</v>
      </c>
      <c r="E1717" s="88" t="s">
        <v>4823</v>
      </c>
      <c r="F1717" s="88" t="s">
        <v>4824</v>
      </c>
      <c r="G1717" s="88" t="s">
        <v>4825</v>
      </c>
      <c r="H1717" s="4" t="s">
        <v>4826</v>
      </c>
      <c r="I1717" s="29" t="s">
        <v>4827</v>
      </c>
    </row>
    <row r="1718" spans="1:9" ht="25.5" x14ac:dyDescent="0.25">
      <c r="A1718" s="156"/>
      <c r="B1718" s="156"/>
      <c r="C1718" s="13" t="s">
        <v>4828</v>
      </c>
      <c r="D1718" s="13" t="s">
        <v>4828</v>
      </c>
      <c r="E1718" s="13" t="s">
        <v>4828</v>
      </c>
      <c r="F1718" s="13" t="s">
        <v>4828</v>
      </c>
      <c r="G1718" s="13" t="s">
        <v>4828</v>
      </c>
      <c r="H1718" s="13" t="s">
        <v>4828</v>
      </c>
      <c r="I1718" s="30"/>
    </row>
    <row r="1719" spans="1:9" ht="15.75" x14ac:dyDescent="0.25">
      <c r="A1719" s="23">
        <v>1411</v>
      </c>
      <c r="B1719" s="6" t="str">
        <f>CADASTROS!$C$1104</f>
        <v>Darte Cleia R. de Souza</v>
      </c>
      <c r="C1719" s="159"/>
      <c r="D1719" s="159"/>
      <c r="E1719" s="159"/>
      <c r="F1719" s="159"/>
      <c r="G1719" s="159"/>
      <c r="H1719" s="159"/>
      <c r="I1719" s="7">
        <f>SUM(C1719+D1719+E1719+F1719+G1719+H1719)</f>
        <v>0</v>
      </c>
    </row>
    <row r="1720" spans="1:9" ht="15.75" x14ac:dyDescent="0.25">
      <c r="A1720" s="23">
        <v>1412</v>
      </c>
      <c r="B1720" s="6" t="str">
        <f>CADASTROS!$C$1105</f>
        <v>Franciely Jesus dos Santos</v>
      </c>
      <c r="C1720" s="159"/>
      <c r="D1720" s="159"/>
      <c r="E1720" s="159"/>
      <c r="F1720" s="159"/>
      <c r="G1720" s="159"/>
      <c r="H1720" s="159"/>
      <c r="I1720" s="7">
        <f t="shared" ref="I1720:I1745" si="147">SUM(C1720+D1720+E1720+F1720+G1720+H1720)</f>
        <v>0</v>
      </c>
    </row>
    <row r="1721" spans="1:9" ht="15.75" x14ac:dyDescent="0.25">
      <c r="A1721" s="23">
        <v>1413</v>
      </c>
      <c r="B1721" s="6" t="str">
        <f>CADASTROS!$C$1106</f>
        <v>Valdir Lino de Almeida</v>
      </c>
      <c r="C1721" s="159"/>
      <c r="D1721" s="159"/>
      <c r="E1721" s="159"/>
      <c r="F1721" s="159"/>
      <c r="G1721" s="159"/>
      <c r="H1721" s="159"/>
      <c r="I1721" s="7">
        <f t="shared" si="147"/>
        <v>0</v>
      </c>
    </row>
    <row r="1722" spans="1:9" ht="15.75" x14ac:dyDescent="0.25">
      <c r="A1722" s="23">
        <v>1414</v>
      </c>
      <c r="B1722" s="6" t="str">
        <f>CADASTROS!$C$1107</f>
        <v>Dalva Iris de Souza Moraes</v>
      </c>
      <c r="C1722" s="159"/>
      <c r="D1722" s="159"/>
      <c r="E1722" s="159"/>
      <c r="F1722" s="159"/>
      <c r="G1722" s="159"/>
      <c r="H1722" s="159"/>
      <c r="I1722" s="7">
        <f t="shared" si="147"/>
        <v>0</v>
      </c>
    </row>
    <row r="1723" spans="1:9" ht="15.75" x14ac:dyDescent="0.25">
      <c r="A1723" s="23">
        <v>1415</v>
      </c>
      <c r="B1723" s="6" t="str">
        <f>CADASTROS!$C$1108</f>
        <v>José Roberto Jesus Santos</v>
      </c>
      <c r="C1723" s="159"/>
      <c r="D1723" s="159"/>
      <c r="E1723" s="159"/>
      <c r="F1723" s="159"/>
      <c r="G1723" s="159"/>
      <c r="H1723" s="159"/>
      <c r="I1723" s="7">
        <f t="shared" si="147"/>
        <v>0</v>
      </c>
    </row>
    <row r="1724" spans="1:9" ht="15.75" x14ac:dyDescent="0.25">
      <c r="A1724" s="23">
        <v>1416</v>
      </c>
      <c r="B1724" s="6" t="str">
        <f>CADASTROS!$C$1109</f>
        <v>Roque Gomes Lima</v>
      </c>
      <c r="C1724" s="159"/>
      <c r="D1724" s="159"/>
      <c r="E1724" s="159"/>
      <c r="F1724" s="159"/>
      <c r="G1724" s="159"/>
      <c r="H1724" s="159"/>
      <c r="I1724" s="7">
        <f t="shared" si="147"/>
        <v>0</v>
      </c>
    </row>
    <row r="1725" spans="1:9" ht="15.75" x14ac:dyDescent="0.25">
      <c r="A1725" s="23">
        <v>1417</v>
      </c>
      <c r="B1725" s="6" t="str">
        <f>CADASTROS!$C$1110</f>
        <v>Edicleide A. Conceição</v>
      </c>
      <c r="C1725" s="159"/>
      <c r="D1725" s="159"/>
      <c r="E1725" s="159"/>
      <c r="F1725" s="159"/>
      <c r="G1725" s="159"/>
      <c r="H1725" s="159"/>
      <c r="I1725" s="7">
        <f t="shared" si="147"/>
        <v>0</v>
      </c>
    </row>
    <row r="1726" spans="1:9" ht="15.75" x14ac:dyDescent="0.25">
      <c r="A1726" s="23">
        <v>1418</v>
      </c>
      <c r="B1726" s="6" t="str">
        <f>CADASTROS!$C$1111</f>
        <v>Raimundo Jesus Santos</v>
      </c>
      <c r="C1726" s="159"/>
      <c r="D1726" s="159"/>
      <c r="E1726" s="159"/>
      <c r="F1726" s="159"/>
      <c r="G1726" s="159"/>
      <c r="H1726" s="159"/>
      <c r="I1726" s="7">
        <f t="shared" si="147"/>
        <v>0</v>
      </c>
    </row>
    <row r="1727" spans="1:9" ht="15.75" x14ac:dyDescent="0.25">
      <c r="A1727" s="23">
        <v>1419</v>
      </c>
      <c r="B1727" s="6" t="str">
        <f>CADASTROS!$C$1112</f>
        <v>Jacira J. Brito</v>
      </c>
      <c r="C1727" s="159"/>
      <c r="D1727" s="159"/>
      <c r="E1727" s="159"/>
      <c r="F1727" s="159"/>
      <c r="G1727" s="159"/>
      <c r="H1727" s="159"/>
      <c r="I1727" s="7">
        <f t="shared" si="147"/>
        <v>0</v>
      </c>
    </row>
    <row r="1728" spans="1:9" ht="15.75" x14ac:dyDescent="0.25">
      <c r="A1728" s="23">
        <v>1421</v>
      </c>
      <c r="B1728" s="6" t="str">
        <f>CADASTROS!$C$1113</f>
        <v>Deivid de Jesus Santos</v>
      </c>
      <c r="C1728" s="159"/>
      <c r="D1728" s="159"/>
      <c r="E1728" s="159"/>
      <c r="F1728" s="159"/>
      <c r="G1728" s="159"/>
      <c r="H1728" s="159"/>
      <c r="I1728" s="7">
        <f t="shared" si="147"/>
        <v>0</v>
      </c>
    </row>
    <row r="1729" spans="1:9" ht="15.75" x14ac:dyDescent="0.25">
      <c r="A1729" s="23">
        <v>1422</v>
      </c>
      <c r="B1729" s="6" t="str">
        <f>CADASTROS!$C$1114</f>
        <v>Marluce de Jesus Santos</v>
      </c>
      <c r="C1729" s="159"/>
      <c r="D1729" s="159"/>
      <c r="E1729" s="159"/>
      <c r="F1729" s="159"/>
      <c r="G1729" s="159"/>
      <c r="H1729" s="159"/>
      <c r="I1729" s="7">
        <f t="shared" si="147"/>
        <v>0</v>
      </c>
    </row>
    <row r="1730" spans="1:9" ht="15.75" x14ac:dyDescent="0.25">
      <c r="A1730" s="23">
        <v>1423</v>
      </c>
      <c r="B1730" s="6" t="str">
        <f>CADASTROS!$C$1115</f>
        <v>Rosenilde de Jesus V. Macedo</v>
      </c>
      <c r="C1730" s="159"/>
      <c r="D1730" s="159"/>
      <c r="E1730" s="159"/>
      <c r="F1730" s="159"/>
      <c r="G1730" s="159"/>
      <c r="H1730" s="159"/>
      <c r="I1730" s="7">
        <f t="shared" si="147"/>
        <v>0</v>
      </c>
    </row>
    <row r="1731" spans="1:9" ht="15.75" x14ac:dyDescent="0.25">
      <c r="A1731" s="23">
        <v>1424</v>
      </c>
      <c r="B1731" s="6" t="str">
        <f>CADASTROS!$C$1116</f>
        <v>Tarcia Tatiana A. da Silva</v>
      </c>
      <c r="C1731" s="159"/>
      <c r="D1731" s="159">
        <v>16.5</v>
      </c>
      <c r="E1731" s="159">
        <v>14</v>
      </c>
      <c r="F1731" s="159"/>
      <c r="G1731" s="159">
        <v>34.5</v>
      </c>
      <c r="H1731" s="159">
        <v>22</v>
      </c>
      <c r="I1731" s="7">
        <f t="shared" si="147"/>
        <v>87</v>
      </c>
    </row>
    <row r="1732" spans="1:9" ht="15.75" x14ac:dyDescent="0.25">
      <c r="A1732" s="23">
        <v>1425</v>
      </c>
      <c r="B1732" s="6" t="str">
        <f>CADASTROS!$C$1117</f>
        <v>Roberto Carlos Bispo dos Santos</v>
      </c>
      <c r="C1732" s="159"/>
      <c r="D1732" s="159"/>
      <c r="E1732" s="159"/>
      <c r="F1732" s="159"/>
      <c r="G1732" s="159"/>
      <c r="H1732" s="159"/>
      <c r="I1732" s="7">
        <f t="shared" si="147"/>
        <v>0</v>
      </c>
    </row>
    <row r="1733" spans="1:9" ht="15.75" x14ac:dyDescent="0.25">
      <c r="A1733" s="23">
        <v>1426</v>
      </c>
      <c r="B1733" s="6" t="str">
        <f>CADASTROS!$C$1118</f>
        <v>Marilene de Jesus Santos</v>
      </c>
      <c r="C1733" s="159"/>
      <c r="D1733" s="159"/>
      <c r="E1733" s="159"/>
      <c r="F1733" s="159"/>
      <c r="G1733" s="159"/>
      <c r="H1733" s="159"/>
      <c r="I1733" s="7">
        <f t="shared" si="147"/>
        <v>0</v>
      </c>
    </row>
    <row r="1734" spans="1:9" ht="15.75" x14ac:dyDescent="0.25">
      <c r="A1734" s="23">
        <v>1427</v>
      </c>
      <c r="B1734" s="6" t="str">
        <f>CADASTROS!$C$1119</f>
        <v>Valdirene de Souza Oliveira</v>
      </c>
      <c r="C1734" s="159"/>
      <c r="D1734" s="159"/>
      <c r="E1734" s="159"/>
      <c r="F1734" s="159"/>
      <c r="G1734" s="159"/>
      <c r="H1734" s="159"/>
      <c r="I1734" s="7">
        <f t="shared" si="147"/>
        <v>0</v>
      </c>
    </row>
    <row r="1735" spans="1:9" ht="15.75" x14ac:dyDescent="0.25">
      <c r="A1735" s="23">
        <v>1428</v>
      </c>
      <c r="B1735" s="6" t="str">
        <f>CADASTROS!$C$1120</f>
        <v>Jurinete Pires dos Santos</v>
      </c>
      <c r="C1735" s="159"/>
      <c r="D1735" s="159"/>
      <c r="E1735" s="159"/>
      <c r="F1735" s="159"/>
      <c r="G1735" s="159"/>
      <c r="H1735" s="159"/>
      <c r="I1735" s="7">
        <f t="shared" si="147"/>
        <v>0</v>
      </c>
    </row>
    <row r="1736" spans="1:9" ht="15.75" x14ac:dyDescent="0.25">
      <c r="A1736" s="23">
        <v>1429</v>
      </c>
      <c r="B1736" s="6" t="str">
        <f>CADASTROS!$C$1121</f>
        <v>Mavina Quirina Teixeira</v>
      </c>
      <c r="C1736" s="159"/>
      <c r="D1736" s="159"/>
      <c r="E1736" s="159"/>
      <c r="F1736" s="159"/>
      <c r="G1736" s="159"/>
      <c r="H1736" s="159"/>
      <c r="I1736" s="7">
        <f t="shared" si="147"/>
        <v>0</v>
      </c>
    </row>
    <row r="1737" spans="1:9" ht="15.75" x14ac:dyDescent="0.25">
      <c r="A1737" s="23">
        <v>1430</v>
      </c>
      <c r="B1737" s="6" t="str">
        <f>CADASTROS!$C$1122</f>
        <v>Ismael Santos Nunes</v>
      </c>
      <c r="C1737" s="159"/>
      <c r="D1737" s="159"/>
      <c r="E1737" s="159"/>
      <c r="F1737" s="159"/>
      <c r="G1737" s="159"/>
      <c r="H1737" s="159"/>
      <c r="I1737" s="7">
        <f t="shared" si="147"/>
        <v>0</v>
      </c>
    </row>
    <row r="1738" spans="1:9" ht="15.75" x14ac:dyDescent="0.25">
      <c r="A1738" s="23">
        <v>1431</v>
      </c>
      <c r="B1738" s="6" t="str">
        <f>CADASTROS!$C$1123</f>
        <v>Jennifer Sousa de Jesus</v>
      </c>
      <c r="C1738" s="159"/>
      <c r="D1738" s="159"/>
      <c r="E1738" s="159"/>
      <c r="F1738" s="159"/>
      <c r="G1738" s="159"/>
      <c r="H1738" s="159"/>
      <c r="I1738" s="7">
        <f t="shared" si="147"/>
        <v>0</v>
      </c>
    </row>
    <row r="1739" spans="1:9" ht="15.75" x14ac:dyDescent="0.25">
      <c r="A1739" s="23">
        <v>1432</v>
      </c>
      <c r="B1739" s="6" t="str">
        <f>CADASTROS!$C$1124</f>
        <v>Liliane Souza dos Santos</v>
      </c>
      <c r="C1739" s="159"/>
      <c r="D1739" s="159"/>
      <c r="E1739" s="159"/>
      <c r="F1739" s="159"/>
      <c r="G1739" s="159"/>
      <c r="H1739" s="159"/>
      <c r="I1739" s="7">
        <f t="shared" si="147"/>
        <v>0</v>
      </c>
    </row>
    <row r="1740" spans="1:9" ht="15.75" x14ac:dyDescent="0.25">
      <c r="A1740" s="23">
        <v>1433</v>
      </c>
      <c r="B1740" s="6" t="str">
        <f>CADASTROS!$C$1125</f>
        <v>Atailton de Jesus Moureira</v>
      </c>
      <c r="C1740" s="159"/>
      <c r="D1740" s="159"/>
      <c r="E1740" s="159"/>
      <c r="F1740" s="159"/>
      <c r="G1740" s="159"/>
      <c r="H1740" s="159"/>
      <c r="I1740" s="7">
        <f t="shared" si="147"/>
        <v>0</v>
      </c>
    </row>
    <row r="1741" spans="1:9" ht="15.75" x14ac:dyDescent="0.25">
      <c r="A1741" s="23">
        <v>1434</v>
      </c>
      <c r="B1741" s="6" t="str">
        <f>CADASTROS!$C$1126</f>
        <v>Ademilton J Miranda</v>
      </c>
      <c r="C1741" s="159"/>
      <c r="D1741" s="159"/>
      <c r="E1741" s="159"/>
      <c r="F1741" s="159"/>
      <c r="G1741" s="159"/>
      <c r="H1741" s="159"/>
      <c r="I1741" s="7">
        <f t="shared" si="147"/>
        <v>0</v>
      </c>
    </row>
    <row r="1742" spans="1:9" ht="15.75" x14ac:dyDescent="0.25">
      <c r="A1742" s="23">
        <v>1435</v>
      </c>
      <c r="B1742" s="6" t="str">
        <f>CADASTROS!$C$1127</f>
        <v>Luciana dos Santos</v>
      </c>
      <c r="C1742" s="159"/>
      <c r="D1742" s="159"/>
      <c r="E1742" s="159"/>
      <c r="F1742" s="159"/>
      <c r="G1742" s="159"/>
      <c r="H1742" s="159"/>
      <c r="I1742" s="7">
        <f t="shared" si="147"/>
        <v>0</v>
      </c>
    </row>
    <row r="1743" spans="1:9" ht="15.75" x14ac:dyDescent="0.25">
      <c r="A1743" s="23">
        <v>1436</v>
      </c>
      <c r="B1743" s="6" t="str">
        <f>CADASTROS!$C$1128</f>
        <v>José Valdik Paes S Araújo</v>
      </c>
      <c r="C1743" s="159"/>
      <c r="D1743" s="159"/>
      <c r="E1743" s="159"/>
      <c r="F1743" s="159"/>
      <c r="G1743" s="159"/>
      <c r="H1743" s="159"/>
      <c r="I1743" s="7">
        <f t="shared" si="147"/>
        <v>0</v>
      </c>
    </row>
    <row r="1744" spans="1:9" ht="15.75" x14ac:dyDescent="0.25">
      <c r="A1744" s="23">
        <v>1437</v>
      </c>
      <c r="B1744" s="6" t="str">
        <f>CADASTROS!$C$1129</f>
        <v>Erivaldo dos Santos Silva</v>
      </c>
      <c r="C1744" s="159"/>
      <c r="D1744" s="159"/>
      <c r="E1744" s="159"/>
      <c r="F1744" s="159"/>
      <c r="G1744" s="159"/>
      <c r="H1744" s="159"/>
      <c r="I1744" s="7">
        <f t="shared" si="147"/>
        <v>0</v>
      </c>
    </row>
    <row r="1745" spans="1:9" ht="15.75" x14ac:dyDescent="0.25">
      <c r="A1745" s="23">
        <v>1438</v>
      </c>
      <c r="B1745" s="6" t="str">
        <f>CADASTROS!$C$1130</f>
        <v>Marineide Mendes Santos</v>
      </c>
      <c r="C1745" s="159"/>
      <c r="D1745" s="159">
        <v>27</v>
      </c>
      <c r="E1745" s="159">
        <v>25.5</v>
      </c>
      <c r="F1745" s="159"/>
      <c r="G1745" s="159"/>
      <c r="H1745" s="159"/>
      <c r="I1745" s="7">
        <f t="shared" si="147"/>
        <v>52.5</v>
      </c>
    </row>
    <row r="1746" spans="1:9" ht="15.75" x14ac:dyDescent="0.25">
      <c r="B1746" s="159" t="s">
        <v>4829</v>
      </c>
      <c r="C1746" s="159">
        <f>SUM(C1719:C1745)</f>
        <v>0</v>
      </c>
      <c r="D1746" s="159">
        <f t="shared" ref="D1746:H1746" si="148">SUM(D1719:D1745)</f>
        <v>43.5</v>
      </c>
      <c r="E1746" s="159">
        <f t="shared" si="148"/>
        <v>39.5</v>
      </c>
      <c r="F1746" s="159">
        <f t="shared" si="148"/>
        <v>0</v>
      </c>
      <c r="G1746" s="159">
        <f t="shared" si="148"/>
        <v>34.5</v>
      </c>
      <c r="H1746" s="159">
        <f t="shared" si="148"/>
        <v>22</v>
      </c>
      <c r="I1746" s="159">
        <f>SUM(I1719:I1745)</f>
        <v>139.5</v>
      </c>
    </row>
    <row r="1748" spans="1:9" ht="15.75" x14ac:dyDescent="0.25">
      <c r="B1748" s="8" t="s">
        <v>4830</v>
      </c>
      <c r="C1748" s="159"/>
      <c r="D1748" s="159"/>
      <c r="E1748" s="159"/>
      <c r="F1748" s="159"/>
      <c r="G1748" s="159"/>
      <c r="H1748" s="159"/>
      <c r="I1748" s="159">
        <f>SUM(C1748:H1748)</f>
        <v>0</v>
      </c>
    </row>
    <row r="1749" spans="1:9" x14ac:dyDescent="0.25">
      <c r="B1749" s="167"/>
    </row>
    <row r="1750" spans="1:9" ht="15.75" x14ac:dyDescent="0.25">
      <c r="B1750" s="8" t="s">
        <v>4831</v>
      </c>
      <c r="C1750" s="9" t="e">
        <f>C1746/C1748</f>
        <v>#DIV/0!</v>
      </c>
      <c r="D1750" s="9" t="e">
        <f t="shared" ref="D1750:H1750" si="149">D1746/D1748</f>
        <v>#DIV/0!</v>
      </c>
      <c r="E1750" s="9" t="e">
        <f t="shared" si="149"/>
        <v>#DIV/0!</v>
      </c>
      <c r="F1750" s="9" t="e">
        <f t="shared" si="149"/>
        <v>#DIV/0!</v>
      </c>
      <c r="G1750" s="9" t="e">
        <f t="shared" si="149"/>
        <v>#DIV/0!</v>
      </c>
      <c r="H1750" s="9" t="e">
        <f t="shared" si="149"/>
        <v>#DIV/0!</v>
      </c>
      <c r="I1750" s="9"/>
    </row>
    <row r="1751" spans="1:9" ht="15.75" x14ac:dyDescent="0.25">
      <c r="B1751" s="163"/>
      <c r="C1751" s="10"/>
      <c r="D1751" s="10"/>
      <c r="E1751" s="10"/>
      <c r="F1751" s="10"/>
      <c r="G1751" s="10"/>
      <c r="H1751" s="163"/>
      <c r="I1751" s="163"/>
    </row>
    <row r="1752" spans="1:9" ht="15.75" x14ac:dyDescent="0.25">
      <c r="B1752" s="8" t="s">
        <v>4832</v>
      </c>
      <c r="C1752" s="159"/>
      <c r="D1752" s="159"/>
      <c r="E1752" s="6"/>
      <c r="F1752" s="6"/>
      <c r="G1752" s="6"/>
      <c r="H1752" s="6"/>
      <c r="I1752" s="11"/>
    </row>
    <row r="1754" spans="1:9" ht="33.75" x14ac:dyDescent="0.25">
      <c r="B1754" s="187" t="s">
        <v>4842</v>
      </c>
      <c r="C1754" s="188"/>
      <c r="D1754" s="188"/>
      <c r="E1754" s="188"/>
      <c r="F1754" s="188"/>
      <c r="G1754" s="188"/>
      <c r="H1754" s="188"/>
      <c r="I1754" s="189"/>
    </row>
    <row r="1755" spans="1:9" ht="47.25" x14ac:dyDescent="0.25">
      <c r="A1755" s="155" t="s">
        <v>4819</v>
      </c>
      <c r="B1755" s="155" t="s">
        <v>4820</v>
      </c>
      <c r="C1755" s="4" t="s">
        <v>4821</v>
      </c>
      <c r="D1755" s="4" t="s">
        <v>4822</v>
      </c>
      <c r="E1755" s="88" t="s">
        <v>4823</v>
      </c>
      <c r="F1755" s="88" t="s">
        <v>4824</v>
      </c>
      <c r="G1755" s="88" t="s">
        <v>4825</v>
      </c>
      <c r="H1755" s="4" t="s">
        <v>4826</v>
      </c>
      <c r="I1755" s="29" t="s">
        <v>4827</v>
      </c>
    </row>
    <row r="1756" spans="1:9" ht="25.5" x14ac:dyDescent="0.25">
      <c r="A1756" s="156"/>
      <c r="B1756" s="156"/>
      <c r="C1756" s="13" t="s">
        <v>4828</v>
      </c>
      <c r="D1756" s="13" t="s">
        <v>4828</v>
      </c>
      <c r="E1756" s="13" t="s">
        <v>4828</v>
      </c>
      <c r="F1756" s="13" t="s">
        <v>4828</v>
      </c>
      <c r="G1756" s="13" t="s">
        <v>4828</v>
      </c>
      <c r="H1756" s="13" t="s">
        <v>4828</v>
      </c>
      <c r="I1756" s="30"/>
    </row>
    <row r="1757" spans="1:9" ht="15.75" x14ac:dyDescent="0.25">
      <c r="A1757" s="23">
        <v>1439</v>
      </c>
      <c r="B1757" s="6" t="str">
        <f>CADASTROS!$C$1131</f>
        <v>Abdon Neto dos Santos Almeida</v>
      </c>
      <c r="C1757" s="159"/>
      <c r="D1757" s="159"/>
      <c r="E1757" s="159"/>
      <c r="F1757" s="159"/>
      <c r="G1757" s="159"/>
      <c r="H1757" s="159"/>
      <c r="I1757" s="7">
        <f>SUM(C1757+D1757+E1757+F1757+G1757+H1757)</f>
        <v>0</v>
      </c>
    </row>
    <row r="1758" spans="1:9" ht="15.75" x14ac:dyDescent="0.25">
      <c r="A1758" s="23">
        <v>1440</v>
      </c>
      <c r="B1758" s="6" t="str">
        <f>CADASTROS!$C$1132</f>
        <v>Rosilandia Rodrigues de Aquino</v>
      </c>
      <c r="C1758" s="159"/>
      <c r="D1758" s="159"/>
      <c r="E1758" s="159"/>
      <c r="F1758" s="159"/>
      <c r="G1758" s="159"/>
      <c r="H1758" s="159"/>
      <c r="I1758" s="7">
        <f t="shared" ref="I1758:I1783" si="150">SUM(C1758+D1758+E1758+F1758+G1758+H1758)</f>
        <v>0</v>
      </c>
    </row>
    <row r="1759" spans="1:9" ht="15.75" x14ac:dyDescent="0.25">
      <c r="A1759" s="23">
        <v>1441</v>
      </c>
      <c r="B1759" s="6" t="str">
        <f>CADASTROS!$C$1133</f>
        <v>Maria Alves de Souza</v>
      </c>
      <c r="C1759" s="159"/>
      <c r="D1759" s="159"/>
      <c r="E1759" s="159"/>
      <c r="F1759" s="159"/>
      <c r="G1759" s="159"/>
      <c r="H1759" s="159"/>
      <c r="I1759" s="7">
        <f t="shared" si="150"/>
        <v>0</v>
      </c>
    </row>
    <row r="1760" spans="1:9" ht="15.75" x14ac:dyDescent="0.25">
      <c r="A1760" s="23">
        <v>1442</v>
      </c>
      <c r="B1760" s="6" t="str">
        <f>CADASTROS!$C$1134</f>
        <v>Elizangela Silva de Souza</v>
      </c>
      <c r="C1760" s="159"/>
      <c r="D1760" s="159"/>
      <c r="E1760" s="159"/>
      <c r="F1760" s="159"/>
      <c r="G1760" s="159"/>
      <c r="H1760" s="159"/>
      <c r="I1760" s="7">
        <f t="shared" si="150"/>
        <v>0</v>
      </c>
    </row>
    <row r="1761" spans="1:9" ht="15.75" x14ac:dyDescent="0.25">
      <c r="A1761" s="23">
        <v>1443</v>
      </c>
      <c r="B1761" s="6" t="str">
        <f>CADASTROS!$C$1135</f>
        <v>Cláudia Aguida de Souza</v>
      </c>
      <c r="C1761" s="159"/>
      <c r="D1761" s="159"/>
      <c r="E1761" s="159"/>
      <c r="F1761" s="159"/>
      <c r="G1761" s="159"/>
      <c r="H1761" s="159"/>
      <c r="I1761" s="7">
        <f t="shared" si="150"/>
        <v>0</v>
      </c>
    </row>
    <row r="1762" spans="1:9" ht="15.75" x14ac:dyDescent="0.25">
      <c r="A1762" s="23">
        <v>1444</v>
      </c>
      <c r="B1762" s="6" t="str">
        <f>CADASTROS!$C$1136</f>
        <v>Marinaide Alves Boaventura</v>
      </c>
      <c r="C1762" s="159"/>
      <c r="D1762" s="159"/>
      <c r="E1762" s="159"/>
      <c r="F1762" s="159"/>
      <c r="G1762" s="159"/>
      <c r="H1762" s="159"/>
      <c r="I1762" s="7">
        <f t="shared" si="150"/>
        <v>0</v>
      </c>
    </row>
    <row r="1763" spans="1:9" ht="15.75" x14ac:dyDescent="0.25">
      <c r="A1763" s="23">
        <v>1445</v>
      </c>
      <c r="B1763" s="6" t="str">
        <f>CADASTROS!$C$1137</f>
        <v>Jenilda Vitória Santos</v>
      </c>
      <c r="C1763" s="159"/>
      <c r="D1763" s="159"/>
      <c r="E1763" s="159"/>
      <c r="F1763" s="159"/>
      <c r="G1763" s="159"/>
      <c r="H1763" s="159"/>
      <c r="I1763" s="7">
        <f t="shared" si="150"/>
        <v>0</v>
      </c>
    </row>
    <row r="1764" spans="1:9" ht="15.75" x14ac:dyDescent="0.25">
      <c r="A1764" s="23">
        <v>1446</v>
      </c>
      <c r="B1764" s="6" t="str">
        <f>CADASTROS!$C$1138</f>
        <v>Mª Betania Silva de Souza</v>
      </c>
      <c r="C1764" s="159"/>
      <c r="D1764" s="159"/>
      <c r="E1764" s="159"/>
      <c r="F1764" s="159"/>
      <c r="G1764" s="159"/>
      <c r="H1764" s="159"/>
      <c r="I1764" s="7">
        <f t="shared" si="150"/>
        <v>0</v>
      </c>
    </row>
    <row r="1765" spans="1:9" ht="15.75" x14ac:dyDescent="0.25">
      <c r="A1765" s="23">
        <v>1447</v>
      </c>
      <c r="B1765" s="6" t="str">
        <f>CADASTROS!$C$1139</f>
        <v>Laiane Ferreira da Jesus</v>
      </c>
      <c r="C1765" s="159"/>
      <c r="D1765" s="159"/>
      <c r="E1765" s="159"/>
      <c r="F1765" s="159"/>
      <c r="G1765" s="159"/>
      <c r="H1765" s="159"/>
      <c r="I1765" s="7">
        <f t="shared" si="150"/>
        <v>0</v>
      </c>
    </row>
    <row r="1766" spans="1:9" ht="15.75" x14ac:dyDescent="0.25">
      <c r="A1766" s="23">
        <v>1448</v>
      </c>
      <c r="B1766" s="6" t="str">
        <f>CADASTROS!$C$1140</f>
        <v>Josimaria Pereira S Sousa</v>
      </c>
      <c r="C1766" s="159"/>
      <c r="D1766" s="159"/>
      <c r="E1766" s="159"/>
      <c r="F1766" s="159"/>
      <c r="G1766" s="159"/>
      <c r="H1766" s="159"/>
      <c r="I1766" s="7">
        <f t="shared" si="150"/>
        <v>0</v>
      </c>
    </row>
    <row r="1767" spans="1:9" ht="15.75" x14ac:dyDescent="0.25">
      <c r="A1767" s="23">
        <v>1449</v>
      </c>
      <c r="B1767" s="6" t="str">
        <f>CADASTROS!$C$1141</f>
        <v>Juracir Aquino Pereira</v>
      </c>
      <c r="C1767" s="159"/>
      <c r="D1767" s="159">
        <v>12.5</v>
      </c>
      <c r="E1767" s="159">
        <v>11.5</v>
      </c>
      <c r="F1767" s="159"/>
      <c r="G1767" s="159">
        <v>15</v>
      </c>
      <c r="H1767" s="159"/>
      <c r="I1767" s="7">
        <f t="shared" si="150"/>
        <v>39</v>
      </c>
    </row>
    <row r="1768" spans="1:9" ht="15.75" x14ac:dyDescent="0.25">
      <c r="A1768" s="23">
        <v>1450</v>
      </c>
      <c r="B1768" s="6" t="str">
        <f>CADASTROS!$C$1142</f>
        <v>José Orlando V. Rodrigues</v>
      </c>
      <c r="C1768" s="159"/>
      <c r="D1768" s="159"/>
      <c r="E1768" s="159"/>
      <c r="F1768" s="159"/>
      <c r="G1768" s="159"/>
      <c r="H1768" s="159"/>
      <c r="I1768" s="7">
        <f t="shared" si="150"/>
        <v>0</v>
      </c>
    </row>
    <row r="1769" spans="1:9" ht="15.75" x14ac:dyDescent="0.25">
      <c r="A1769" s="23">
        <v>1451</v>
      </c>
      <c r="B1769" s="6" t="str">
        <f>CADASTROS!$C$1143</f>
        <v>Ailton Silva Santos</v>
      </c>
      <c r="C1769" s="159"/>
      <c r="D1769" s="159"/>
      <c r="E1769" s="159"/>
      <c r="F1769" s="159"/>
      <c r="G1769" s="159"/>
      <c r="H1769" s="159"/>
      <c r="I1769" s="7">
        <f t="shared" si="150"/>
        <v>0</v>
      </c>
    </row>
    <row r="1770" spans="1:9" ht="15.75" x14ac:dyDescent="0.25">
      <c r="A1770" s="23">
        <v>1452</v>
      </c>
      <c r="B1770" s="6" t="str">
        <f>CADASTROS!$C$1144</f>
        <v>Jovania Santos da Cruz</v>
      </c>
      <c r="C1770" s="159"/>
      <c r="D1770" s="159"/>
      <c r="E1770" s="159"/>
      <c r="F1770" s="159"/>
      <c r="G1770" s="159"/>
      <c r="H1770" s="159"/>
      <c r="I1770" s="7">
        <f t="shared" si="150"/>
        <v>0</v>
      </c>
    </row>
    <row r="1771" spans="1:9" ht="15.75" x14ac:dyDescent="0.25">
      <c r="A1771" s="23">
        <v>1453</v>
      </c>
      <c r="B1771" s="6" t="str">
        <f>CADASTROS!$C$1145</f>
        <v>Solange de Jesus Souza</v>
      </c>
      <c r="C1771" s="159"/>
      <c r="D1771" s="159"/>
      <c r="E1771" s="159"/>
      <c r="F1771" s="159"/>
      <c r="G1771" s="159"/>
      <c r="H1771" s="159"/>
      <c r="I1771" s="7">
        <f t="shared" si="150"/>
        <v>0</v>
      </c>
    </row>
    <row r="1772" spans="1:9" ht="15.75" x14ac:dyDescent="0.25">
      <c r="A1772" s="23">
        <v>1454</v>
      </c>
      <c r="B1772" s="6" t="str">
        <f>CADASTROS!$C$1146</f>
        <v>Gessy de Jesus Souza</v>
      </c>
      <c r="C1772" s="159"/>
      <c r="D1772" s="159"/>
      <c r="E1772" s="159"/>
      <c r="F1772" s="159"/>
      <c r="G1772" s="159"/>
      <c r="H1772" s="159"/>
      <c r="I1772" s="7">
        <f t="shared" si="150"/>
        <v>0</v>
      </c>
    </row>
    <row r="1773" spans="1:9" ht="15.75" x14ac:dyDescent="0.25">
      <c r="A1773" s="23">
        <v>1455</v>
      </c>
      <c r="B1773" s="6" t="str">
        <f>CADASTROS!$C$1147</f>
        <v>Valternei de S. Rodrigues</v>
      </c>
      <c r="C1773" s="159"/>
      <c r="D1773" s="159"/>
      <c r="E1773" s="159"/>
      <c r="F1773" s="159"/>
      <c r="G1773" s="159"/>
      <c r="H1773" s="159"/>
      <c r="I1773" s="7">
        <f t="shared" si="150"/>
        <v>0</v>
      </c>
    </row>
    <row r="1774" spans="1:9" ht="15.75" x14ac:dyDescent="0.25">
      <c r="A1774" s="23">
        <v>1456</v>
      </c>
      <c r="B1774" s="6" t="str">
        <f>CADASTROS!$C$1148</f>
        <v>Genival Nunes da Silva</v>
      </c>
      <c r="C1774" s="159"/>
      <c r="D1774" s="159"/>
      <c r="E1774" s="159"/>
      <c r="F1774" s="159"/>
      <c r="G1774" s="159"/>
      <c r="H1774" s="159"/>
      <c r="I1774" s="7">
        <f t="shared" si="150"/>
        <v>0</v>
      </c>
    </row>
    <row r="1775" spans="1:9" ht="15.75" x14ac:dyDescent="0.25">
      <c r="A1775" s="23">
        <v>1457</v>
      </c>
      <c r="B1775" s="6" t="str">
        <f>CADASTROS!$C$1149</f>
        <v>Adriana Souza dos Santos</v>
      </c>
      <c r="C1775" s="159"/>
      <c r="D1775" s="159"/>
      <c r="E1775" s="159"/>
      <c r="F1775" s="159"/>
      <c r="G1775" s="159"/>
      <c r="H1775" s="159"/>
      <c r="I1775" s="7">
        <f t="shared" si="150"/>
        <v>0</v>
      </c>
    </row>
    <row r="1776" spans="1:9" ht="15.75" x14ac:dyDescent="0.25">
      <c r="A1776" s="23">
        <v>1458</v>
      </c>
      <c r="B1776" s="6" t="str">
        <f>CADASTROS!$C$1150</f>
        <v>Lucicleide Jesus Carvalho</v>
      </c>
      <c r="C1776" s="159"/>
      <c r="D1776" s="159"/>
      <c r="E1776" s="159"/>
      <c r="F1776" s="159"/>
      <c r="G1776" s="159"/>
      <c r="H1776" s="159"/>
      <c r="I1776" s="7">
        <f t="shared" si="150"/>
        <v>0</v>
      </c>
    </row>
    <row r="1777" spans="1:9" ht="15.75" x14ac:dyDescent="0.25">
      <c r="A1777" s="23">
        <v>1459</v>
      </c>
      <c r="B1777" s="6" t="str">
        <f>CADASTROS!$C$1151</f>
        <v>Dioneide de Jesus</v>
      </c>
      <c r="C1777" s="159"/>
      <c r="D1777" s="159"/>
      <c r="E1777" s="159"/>
      <c r="F1777" s="159"/>
      <c r="G1777" s="159"/>
      <c r="H1777" s="159"/>
      <c r="I1777" s="7">
        <f t="shared" si="150"/>
        <v>0</v>
      </c>
    </row>
    <row r="1778" spans="1:9" ht="15.75" x14ac:dyDescent="0.25">
      <c r="A1778" s="23">
        <v>1460</v>
      </c>
      <c r="B1778" s="6" t="str">
        <f>CADASTROS!$C$1152</f>
        <v>Lucivania Teles Lelis</v>
      </c>
      <c r="C1778" s="159"/>
      <c r="D1778" s="159"/>
      <c r="E1778" s="159"/>
      <c r="F1778" s="159"/>
      <c r="G1778" s="159"/>
      <c r="H1778" s="159"/>
      <c r="I1778" s="7">
        <f t="shared" si="150"/>
        <v>0</v>
      </c>
    </row>
    <row r="1779" spans="1:9" ht="15.75" x14ac:dyDescent="0.25">
      <c r="A1779" s="23">
        <v>1461</v>
      </c>
      <c r="B1779" s="6" t="str">
        <f>CADASTROS!$C$1153</f>
        <v>Isabel Martins de Araújo</v>
      </c>
      <c r="C1779" s="159"/>
      <c r="D1779" s="159"/>
      <c r="E1779" s="159"/>
      <c r="F1779" s="159"/>
      <c r="G1779" s="159"/>
      <c r="H1779" s="159"/>
      <c r="I1779" s="7">
        <f t="shared" si="150"/>
        <v>0</v>
      </c>
    </row>
    <row r="1780" spans="1:9" ht="15.75" x14ac:dyDescent="0.25">
      <c r="A1780" s="23">
        <v>1462</v>
      </c>
      <c r="B1780" s="6" t="str">
        <f>CADASTROS!$C$1154</f>
        <v>Heronilda Araújo Oliveira</v>
      </c>
      <c r="C1780" s="159"/>
      <c r="D1780" s="159"/>
      <c r="E1780" s="159"/>
      <c r="F1780" s="159"/>
      <c r="G1780" s="159"/>
      <c r="H1780" s="159"/>
      <c r="I1780" s="7">
        <f t="shared" si="150"/>
        <v>0</v>
      </c>
    </row>
    <row r="1781" spans="1:9" ht="15.75" x14ac:dyDescent="0.25">
      <c r="A1781" s="23">
        <v>1463</v>
      </c>
      <c r="B1781" s="6" t="str">
        <f>CADASTROS!$C$1155</f>
        <v>Edvania Pereira dos Santos</v>
      </c>
      <c r="C1781" s="159"/>
      <c r="D1781" s="159"/>
      <c r="E1781" s="159"/>
      <c r="F1781" s="159"/>
      <c r="G1781" s="159"/>
      <c r="H1781" s="159"/>
      <c r="I1781" s="7">
        <f t="shared" si="150"/>
        <v>0</v>
      </c>
    </row>
    <row r="1782" spans="1:9" ht="15.75" x14ac:dyDescent="0.25">
      <c r="A1782" s="23">
        <v>1464</v>
      </c>
      <c r="B1782" s="6" t="str">
        <f>CADASTROS!$C$1156</f>
        <v>Gislandia Silva Oliveira</v>
      </c>
      <c r="C1782" s="159"/>
      <c r="D1782" s="159"/>
      <c r="E1782" s="159"/>
      <c r="F1782" s="159"/>
      <c r="G1782" s="159"/>
      <c r="H1782" s="159"/>
      <c r="I1782" s="7">
        <f t="shared" si="150"/>
        <v>0</v>
      </c>
    </row>
    <row r="1783" spans="1:9" ht="15.75" x14ac:dyDescent="0.25">
      <c r="A1783" s="23">
        <v>1465</v>
      </c>
      <c r="B1783" s="6" t="str">
        <f>CADASTROS!$C$1157</f>
        <v>Laercio Ferreira de Gois</v>
      </c>
      <c r="C1783" s="159"/>
      <c r="D1783" s="159"/>
      <c r="E1783" s="159"/>
      <c r="F1783" s="159"/>
      <c r="G1783" s="159"/>
      <c r="H1783" s="159"/>
      <c r="I1783" s="7">
        <f t="shared" si="150"/>
        <v>0</v>
      </c>
    </row>
    <row r="1784" spans="1:9" ht="15.75" x14ac:dyDescent="0.25">
      <c r="B1784" s="159" t="s">
        <v>4829</v>
      </c>
      <c r="C1784" s="159">
        <f>SUM(C1757:C1783)</f>
        <v>0</v>
      </c>
      <c r="D1784" s="159">
        <f t="shared" ref="D1784:H1784" si="151">SUM(D1757:D1783)</f>
        <v>12.5</v>
      </c>
      <c r="E1784" s="159">
        <f t="shared" si="151"/>
        <v>11.5</v>
      </c>
      <c r="F1784" s="159">
        <f t="shared" si="151"/>
        <v>0</v>
      </c>
      <c r="G1784" s="159">
        <f t="shared" si="151"/>
        <v>15</v>
      </c>
      <c r="H1784" s="159">
        <f t="shared" si="151"/>
        <v>0</v>
      </c>
      <c r="I1784" s="159">
        <f>SUM(I1757:I1783)</f>
        <v>39</v>
      </c>
    </row>
    <row r="1786" spans="1:9" ht="15.75" x14ac:dyDescent="0.25">
      <c r="B1786" s="8" t="s">
        <v>4830</v>
      </c>
      <c r="C1786" s="159"/>
      <c r="D1786" s="159"/>
      <c r="E1786" s="159"/>
      <c r="F1786" s="159"/>
      <c r="G1786" s="159"/>
      <c r="H1786" s="159"/>
      <c r="I1786" s="159">
        <f>SUM(C1786:H1786)</f>
        <v>0</v>
      </c>
    </row>
    <row r="1787" spans="1:9" x14ac:dyDescent="0.25">
      <c r="B1787" s="167"/>
    </row>
    <row r="1788" spans="1:9" ht="15.75" x14ac:dyDescent="0.25">
      <c r="B1788" s="8" t="s">
        <v>4831</v>
      </c>
      <c r="C1788" s="9" t="e">
        <f>C1784/C1786</f>
        <v>#DIV/0!</v>
      </c>
      <c r="D1788" s="9" t="e">
        <f t="shared" ref="D1788:H1788" si="152">D1784/D1786</f>
        <v>#DIV/0!</v>
      </c>
      <c r="E1788" s="9" t="e">
        <f t="shared" si="152"/>
        <v>#DIV/0!</v>
      </c>
      <c r="F1788" s="9" t="e">
        <f t="shared" si="152"/>
        <v>#DIV/0!</v>
      </c>
      <c r="G1788" s="9" t="e">
        <f t="shared" si="152"/>
        <v>#DIV/0!</v>
      </c>
      <c r="H1788" s="9" t="e">
        <f t="shared" si="152"/>
        <v>#DIV/0!</v>
      </c>
      <c r="I1788" s="9"/>
    </row>
    <row r="1789" spans="1:9" ht="15.75" x14ac:dyDescent="0.25">
      <c r="B1789" s="163"/>
      <c r="C1789" s="10"/>
      <c r="D1789" s="10"/>
      <c r="E1789" s="10"/>
      <c r="F1789" s="10"/>
      <c r="G1789" s="10"/>
      <c r="H1789" s="163"/>
      <c r="I1789" s="163"/>
    </row>
    <row r="1790" spans="1:9" ht="15.75" x14ac:dyDescent="0.25">
      <c r="B1790" s="8" t="s">
        <v>4832</v>
      </c>
      <c r="C1790" s="159"/>
      <c r="D1790" s="159"/>
      <c r="E1790" s="6"/>
      <c r="F1790" s="6"/>
      <c r="G1790" s="6"/>
      <c r="H1790" s="6"/>
      <c r="I1790" s="11"/>
    </row>
    <row r="1792" spans="1:9" ht="33.75" x14ac:dyDescent="0.25">
      <c r="B1792" s="187" t="s">
        <v>4842</v>
      </c>
      <c r="C1792" s="188"/>
      <c r="D1792" s="188"/>
      <c r="E1792" s="188"/>
      <c r="F1792" s="188"/>
      <c r="G1792" s="188"/>
      <c r="H1792" s="188"/>
      <c r="I1792" s="189"/>
    </row>
    <row r="1793" spans="1:9" ht="47.25" x14ac:dyDescent="0.25">
      <c r="A1793" s="155" t="s">
        <v>4819</v>
      </c>
      <c r="B1793" s="155" t="s">
        <v>4820</v>
      </c>
      <c r="C1793" s="4" t="s">
        <v>4821</v>
      </c>
      <c r="D1793" s="4" t="s">
        <v>4822</v>
      </c>
      <c r="E1793" s="88" t="s">
        <v>4823</v>
      </c>
      <c r="F1793" s="88" t="s">
        <v>4824</v>
      </c>
      <c r="G1793" s="88" t="s">
        <v>4825</v>
      </c>
      <c r="H1793" s="4" t="s">
        <v>4826</v>
      </c>
      <c r="I1793" s="29" t="s">
        <v>4827</v>
      </c>
    </row>
    <row r="1794" spans="1:9" ht="25.5" x14ac:dyDescent="0.25">
      <c r="A1794" s="156"/>
      <c r="B1794" s="156"/>
      <c r="C1794" s="13" t="s">
        <v>4828</v>
      </c>
      <c r="D1794" s="13" t="s">
        <v>4828</v>
      </c>
      <c r="E1794" s="13" t="s">
        <v>4828</v>
      </c>
      <c r="F1794" s="13" t="s">
        <v>4828</v>
      </c>
      <c r="G1794" s="13" t="s">
        <v>4828</v>
      </c>
      <c r="H1794" s="13" t="s">
        <v>4828</v>
      </c>
      <c r="I1794" s="30"/>
    </row>
    <row r="1795" spans="1:9" ht="15.75" x14ac:dyDescent="0.25">
      <c r="A1795" s="23">
        <v>1466</v>
      </c>
      <c r="B1795" s="6" t="str">
        <f>CADASTROS!$C$1158</f>
        <v>Josciele Oliveira Martins</v>
      </c>
      <c r="C1795" s="159"/>
      <c r="D1795" s="159"/>
      <c r="E1795" s="159"/>
      <c r="F1795" s="159"/>
      <c r="G1795" s="159"/>
      <c r="H1795" s="159"/>
      <c r="I1795" s="7">
        <f>SUM(C1795+D1795+E1795+F1795+G1795+H1795)</f>
        <v>0</v>
      </c>
    </row>
    <row r="1796" spans="1:9" ht="15.75" x14ac:dyDescent="0.25">
      <c r="A1796" s="23">
        <v>1467</v>
      </c>
      <c r="B1796" s="6" t="str">
        <f>CADASTROS!$C$1159</f>
        <v>Edvalda S. Silva</v>
      </c>
      <c r="C1796" s="159"/>
      <c r="D1796" s="159"/>
      <c r="E1796" s="159"/>
      <c r="F1796" s="159"/>
      <c r="G1796" s="159"/>
      <c r="H1796" s="159"/>
      <c r="I1796" s="7">
        <f t="shared" ref="I1796:I1821" si="153">SUM(C1796+D1796+E1796+F1796+G1796+H1796)</f>
        <v>0</v>
      </c>
    </row>
    <row r="1797" spans="1:9" ht="15.75" x14ac:dyDescent="0.25">
      <c r="A1797" s="23">
        <v>1468</v>
      </c>
      <c r="B1797" s="6" t="str">
        <f>CADASTROS!$C$1160</f>
        <v>Ozias P. de Jesus/Ana Paula da Silva</v>
      </c>
      <c r="C1797" s="159"/>
      <c r="D1797" s="159">
        <v>10.5</v>
      </c>
      <c r="E1797" s="159">
        <v>11.5</v>
      </c>
      <c r="F1797" s="159"/>
      <c r="G1797" s="159"/>
      <c r="H1797" s="159"/>
      <c r="I1797" s="7">
        <f t="shared" si="153"/>
        <v>22</v>
      </c>
    </row>
    <row r="1798" spans="1:9" ht="15.75" x14ac:dyDescent="0.25">
      <c r="A1798" s="23">
        <v>1469</v>
      </c>
      <c r="B1798" s="6" t="str">
        <f>CADASTROS!$C$1161</f>
        <v>Claudinei de Souza Bispo</v>
      </c>
      <c r="C1798" s="159"/>
      <c r="D1798" s="159"/>
      <c r="E1798" s="159"/>
      <c r="F1798" s="159"/>
      <c r="G1798" s="159"/>
      <c r="H1798" s="159"/>
      <c r="I1798" s="7">
        <f t="shared" si="153"/>
        <v>0</v>
      </c>
    </row>
    <row r="1799" spans="1:9" ht="15.75" x14ac:dyDescent="0.25">
      <c r="A1799" s="23">
        <v>1470</v>
      </c>
      <c r="B1799" s="6" t="str">
        <f>CADASTROS!$C$1162</f>
        <v>Bianca Morais dos Santos</v>
      </c>
      <c r="C1799" s="159"/>
      <c r="D1799" s="159"/>
      <c r="E1799" s="159"/>
      <c r="F1799" s="159"/>
      <c r="G1799" s="159"/>
      <c r="H1799" s="159"/>
      <c r="I1799" s="7">
        <f t="shared" si="153"/>
        <v>0</v>
      </c>
    </row>
    <row r="1800" spans="1:9" ht="15.75" x14ac:dyDescent="0.25">
      <c r="A1800" s="23">
        <v>1471</v>
      </c>
      <c r="B1800" s="6" t="str">
        <f>CADASTROS!$C$1163</f>
        <v>Vilma Maria de Souza</v>
      </c>
      <c r="C1800" s="159"/>
      <c r="D1800" s="159"/>
      <c r="E1800" s="159"/>
      <c r="F1800" s="159"/>
      <c r="G1800" s="159"/>
      <c r="H1800" s="159"/>
      <c r="I1800" s="7">
        <f t="shared" si="153"/>
        <v>0</v>
      </c>
    </row>
    <row r="1801" spans="1:9" ht="15.75" x14ac:dyDescent="0.25">
      <c r="A1801" s="23">
        <v>1472</v>
      </c>
      <c r="B1801" s="6" t="str">
        <f>CADASTROS!$C$1164</f>
        <v>Geane Pereira Almeida</v>
      </c>
      <c r="C1801" s="159"/>
      <c r="D1801" s="159"/>
      <c r="E1801" s="159"/>
      <c r="F1801" s="159"/>
      <c r="G1801" s="159"/>
      <c r="H1801" s="159"/>
      <c r="I1801" s="7">
        <f t="shared" si="153"/>
        <v>0</v>
      </c>
    </row>
    <row r="1802" spans="1:9" ht="15.75" x14ac:dyDescent="0.25">
      <c r="A1802" s="23">
        <v>1473</v>
      </c>
      <c r="B1802" s="6" t="str">
        <f>CADASTROS!$C$1165</f>
        <v>Jaci Alquino de Souza</v>
      </c>
      <c r="C1802" s="159"/>
      <c r="D1802" s="159"/>
      <c r="E1802" s="159"/>
      <c r="F1802" s="159"/>
      <c r="G1802" s="159"/>
      <c r="H1802" s="159"/>
      <c r="I1802" s="7">
        <f t="shared" si="153"/>
        <v>0</v>
      </c>
    </row>
    <row r="1803" spans="1:9" ht="15.75" x14ac:dyDescent="0.25">
      <c r="A1803" s="23">
        <v>1474</v>
      </c>
      <c r="B1803" s="6" t="str">
        <f>CADASTROS!$C$1166</f>
        <v>Diogo Oliveira de Souza</v>
      </c>
      <c r="C1803" s="159"/>
      <c r="D1803" s="159"/>
      <c r="E1803" s="159"/>
      <c r="F1803" s="159"/>
      <c r="G1803" s="159"/>
      <c r="H1803" s="159"/>
      <c r="I1803" s="7">
        <f t="shared" si="153"/>
        <v>0</v>
      </c>
    </row>
    <row r="1804" spans="1:9" ht="15.75" x14ac:dyDescent="0.25">
      <c r="A1804" s="23"/>
      <c r="B1804" s="6" t="str">
        <f>CADASTROS!$C$1167</f>
        <v>José A da Silva</v>
      </c>
      <c r="C1804" s="159"/>
      <c r="D1804" s="159"/>
      <c r="E1804" s="159"/>
      <c r="F1804" s="159"/>
      <c r="G1804" s="159"/>
      <c r="H1804" s="159"/>
      <c r="I1804" s="7">
        <f t="shared" si="153"/>
        <v>0</v>
      </c>
    </row>
    <row r="1805" spans="1:9" ht="15.75" x14ac:dyDescent="0.25">
      <c r="A1805" s="23">
        <v>1476</v>
      </c>
      <c r="B1805" s="6" t="str">
        <f>CADASTROS!$C$1168</f>
        <v>Neurailde Rodrigues de Souza</v>
      </c>
      <c r="C1805" s="159"/>
      <c r="D1805" s="159"/>
      <c r="E1805" s="159"/>
      <c r="F1805" s="159"/>
      <c r="G1805" s="159"/>
      <c r="H1805" s="159"/>
      <c r="I1805" s="7">
        <f t="shared" si="153"/>
        <v>0</v>
      </c>
    </row>
    <row r="1806" spans="1:9" ht="15.75" x14ac:dyDescent="0.25">
      <c r="A1806" s="23">
        <v>1477</v>
      </c>
      <c r="B1806" s="6" t="str">
        <f>CADASTROS!$C$1169</f>
        <v>Roque Gomes Lima</v>
      </c>
      <c r="C1806" s="159"/>
      <c r="D1806" s="159"/>
      <c r="E1806" s="159"/>
      <c r="F1806" s="159"/>
      <c r="G1806" s="159"/>
      <c r="H1806" s="159"/>
      <c r="I1806" s="7">
        <f t="shared" si="153"/>
        <v>0</v>
      </c>
    </row>
    <row r="1807" spans="1:9" ht="15.75" x14ac:dyDescent="0.25">
      <c r="A1807" s="23">
        <v>1478</v>
      </c>
      <c r="B1807" s="6" t="str">
        <f>CADASTROS!$C$1170</f>
        <v>Claudia Aguida de Souza</v>
      </c>
      <c r="C1807" s="159"/>
      <c r="D1807" s="159"/>
      <c r="E1807" s="159"/>
      <c r="F1807" s="159"/>
      <c r="G1807" s="159"/>
      <c r="H1807" s="159"/>
      <c r="I1807" s="7">
        <f t="shared" si="153"/>
        <v>0</v>
      </c>
    </row>
    <row r="1808" spans="1:9" ht="15.75" x14ac:dyDescent="0.25">
      <c r="A1808" s="23">
        <v>1479</v>
      </c>
      <c r="B1808" s="6" t="str">
        <f>CADASTROS!$C$1171</f>
        <v>Mª de Lourdes de Sousa Gomes</v>
      </c>
      <c r="C1808" s="159"/>
      <c r="D1808" s="159"/>
      <c r="E1808" s="159"/>
      <c r="F1808" s="159"/>
      <c r="G1808" s="159"/>
      <c r="H1808" s="159"/>
      <c r="I1808" s="7">
        <f t="shared" si="153"/>
        <v>0</v>
      </c>
    </row>
    <row r="1809" spans="1:9" ht="15.75" x14ac:dyDescent="0.25">
      <c r="A1809" s="23">
        <v>1480</v>
      </c>
      <c r="B1809" s="6" t="str">
        <f>CADASTROS!$C$1172</f>
        <v>Fernando Santos da Silva</v>
      </c>
      <c r="C1809" s="159">
        <v>13</v>
      </c>
      <c r="D1809" s="159">
        <v>12.5</v>
      </c>
      <c r="E1809" s="159">
        <v>11</v>
      </c>
      <c r="F1809" s="159"/>
      <c r="G1809" s="159">
        <v>10.5</v>
      </c>
      <c r="H1809" s="159"/>
      <c r="I1809" s="7">
        <f t="shared" si="153"/>
        <v>47</v>
      </c>
    </row>
    <row r="1810" spans="1:9" ht="15.75" x14ac:dyDescent="0.25">
      <c r="A1810" s="23">
        <v>1481</v>
      </c>
      <c r="B1810" s="6" t="str">
        <f>CADASTROS!$C$1173</f>
        <v>Arenildo Rosa Pires</v>
      </c>
      <c r="C1810" s="159"/>
      <c r="D1810" s="159"/>
      <c r="E1810" s="159"/>
      <c r="F1810" s="159"/>
      <c r="G1810" s="159"/>
      <c r="H1810" s="159"/>
      <c r="I1810" s="7">
        <f t="shared" si="153"/>
        <v>0</v>
      </c>
    </row>
    <row r="1811" spans="1:9" ht="15.75" x14ac:dyDescent="0.25">
      <c r="A1811" s="23">
        <v>1482</v>
      </c>
      <c r="B1811" s="6" t="str">
        <f>CADASTROS!$C$1174</f>
        <v>Mª Tania da Silva Oliveira</v>
      </c>
      <c r="C1811" s="159"/>
      <c r="D1811" s="159"/>
      <c r="E1811" s="159"/>
      <c r="F1811" s="159"/>
      <c r="G1811" s="159"/>
      <c r="H1811" s="159"/>
      <c r="I1811" s="7">
        <f t="shared" si="153"/>
        <v>0</v>
      </c>
    </row>
    <row r="1812" spans="1:9" ht="15.75" x14ac:dyDescent="0.25">
      <c r="A1812" s="23">
        <v>1483</v>
      </c>
      <c r="B1812" s="6" t="str">
        <f>CADASTROS!$C$1175</f>
        <v>Ana Paula Silva Cezar</v>
      </c>
      <c r="C1812" s="159"/>
      <c r="D1812" s="159"/>
      <c r="E1812" s="159"/>
      <c r="F1812" s="159"/>
      <c r="G1812" s="159"/>
      <c r="H1812" s="159"/>
      <c r="I1812" s="7">
        <f t="shared" si="153"/>
        <v>0</v>
      </c>
    </row>
    <row r="1813" spans="1:9" ht="15.75" x14ac:dyDescent="0.25">
      <c r="A1813" s="23">
        <v>1484</v>
      </c>
      <c r="B1813" s="6" t="str">
        <f>CADASTROS!$C$1176</f>
        <v>Anderson Nascimento Silva</v>
      </c>
      <c r="C1813" s="159"/>
      <c r="D1813" s="159"/>
      <c r="E1813" s="159"/>
      <c r="F1813" s="159"/>
      <c r="G1813" s="159"/>
      <c r="H1813" s="159"/>
      <c r="I1813" s="7">
        <f t="shared" si="153"/>
        <v>0</v>
      </c>
    </row>
    <row r="1814" spans="1:9" ht="15.75" x14ac:dyDescent="0.25">
      <c r="A1814" s="23">
        <v>1485</v>
      </c>
      <c r="B1814" s="6" t="str">
        <f>CADASTROS!$C$1177</f>
        <v>Cristina Santos de Sousa</v>
      </c>
      <c r="C1814" s="159"/>
      <c r="D1814" s="159"/>
      <c r="E1814" s="159"/>
      <c r="F1814" s="159"/>
      <c r="G1814" s="159"/>
      <c r="H1814" s="159"/>
      <c r="I1814" s="7">
        <f t="shared" si="153"/>
        <v>0</v>
      </c>
    </row>
    <row r="1815" spans="1:9" ht="15.75" x14ac:dyDescent="0.25">
      <c r="A1815" s="23">
        <v>1486</v>
      </c>
      <c r="B1815" s="6" t="str">
        <f>CADASTROS!$C$1178</f>
        <v>Maricleide Teles dos Santos</v>
      </c>
      <c r="C1815" s="159"/>
      <c r="D1815" s="159"/>
      <c r="E1815" s="159"/>
      <c r="F1815" s="159"/>
      <c r="G1815" s="159"/>
      <c r="H1815" s="159"/>
      <c r="I1815" s="7">
        <f t="shared" si="153"/>
        <v>0</v>
      </c>
    </row>
    <row r="1816" spans="1:9" ht="15.75" x14ac:dyDescent="0.25">
      <c r="A1816" s="23">
        <v>1487</v>
      </c>
      <c r="B1816" s="6" t="str">
        <f>CADASTROS!$C$1179</f>
        <v>Julio Cesar Goes de Oliveira</v>
      </c>
      <c r="C1816" s="159"/>
      <c r="D1816" s="159"/>
      <c r="E1816" s="159"/>
      <c r="F1816" s="159"/>
      <c r="G1816" s="159"/>
      <c r="H1816" s="159"/>
      <c r="I1816" s="7">
        <f t="shared" si="153"/>
        <v>0</v>
      </c>
    </row>
    <row r="1817" spans="1:9" ht="15.75" x14ac:dyDescent="0.25">
      <c r="A1817" s="23">
        <v>1488</v>
      </c>
      <c r="B1817" s="6" t="str">
        <f>CADASTROS!$C$1180</f>
        <v>Elizabeth Melo Cerqueira</v>
      </c>
      <c r="C1817" s="159"/>
      <c r="D1817" s="159"/>
      <c r="E1817" s="159"/>
      <c r="F1817" s="159"/>
      <c r="G1817" s="159"/>
      <c r="H1817" s="159"/>
      <c r="I1817" s="7">
        <f t="shared" si="153"/>
        <v>0</v>
      </c>
    </row>
    <row r="1818" spans="1:9" ht="15.75" x14ac:dyDescent="0.25">
      <c r="A1818" s="23">
        <v>1489</v>
      </c>
      <c r="B1818" s="6" t="str">
        <f>CADASTROS!$C$1181</f>
        <v>Jairo de Jesus Sousa</v>
      </c>
      <c r="C1818" s="159"/>
      <c r="D1818" s="159"/>
      <c r="E1818" s="159"/>
      <c r="F1818" s="159"/>
      <c r="G1818" s="159"/>
      <c r="H1818" s="159"/>
      <c r="I1818" s="7">
        <f t="shared" si="153"/>
        <v>0</v>
      </c>
    </row>
    <row r="1819" spans="1:9" ht="15.75" x14ac:dyDescent="0.25">
      <c r="A1819" s="23">
        <v>1490</v>
      </c>
      <c r="B1819" s="6" t="str">
        <f>CADASTROS!$C$1182</f>
        <v>Cineide Brito de Lima</v>
      </c>
      <c r="C1819" s="159"/>
      <c r="D1819" s="159"/>
      <c r="E1819" s="159"/>
      <c r="F1819" s="159"/>
      <c r="G1819" s="159"/>
      <c r="H1819" s="159"/>
      <c r="I1819" s="7">
        <f t="shared" si="153"/>
        <v>0</v>
      </c>
    </row>
    <row r="1820" spans="1:9" ht="15.75" x14ac:dyDescent="0.25">
      <c r="A1820" s="23">
        <v>1491</v>
      </c>
      <c r="B1820" s="6" t="str">
        <f>CADASTROS!$C$1183</f>
        <v>Malaquias Pereira Junior</v>
      </c>
      <c r="C1820" s="159"/>
      <c r="D1820" s="159"/>
      <c r="E1820" s="159"/>
      <c r="F1820" s="159"/>
      <c r="G1820" s="159"/>
      <c r="H1820" s="159"/>
      <c r="I1820" s="7">
        <f t="shared" si="153"/>
        <v>0</v>
      </c>
    </row>
    <row r="1821" spans="1:9" ht="15.75" x14ac:dyDescent="0.25">
      <c r="A1821" s="23">
        <v>1492</v>
      </c>
      <c r="B1821" s="6" t="str">
        <f>CADASTROS!$C$1184</f>
        <v>Lucivania da Silva Moura</v>
      </c>
      <c r="C1821" s="159">
        <v>14.5</v>
      </c>
      <c r="D1821" s="159">
        <v>13.5</v>
      </c>
      <c r="E1821" s="159">
        <v>14</v>
      </c>
      <c r="F1821" s="159"/>
      <c r="G1821" s="159">
        <v>18</v>
      </c>
      <c r="H1821" s="159"/>
      <c r="I1821" s="7">
        <f t="shared" si="153"/>
        <v>60</v>
      </c>
    </row>
    <row r="1822" spans="1:9" ht="15.75" x14ac:dyDescent="0.25">
      <c r="B1822" s="159" t="s">
        <v>4829</v>
      </c>
      <c r="C1822" s="159">
        <f>SUM(C1795:C1821)</f>
        <v>27.5</v>
      </c>
      <c r="D1822" s="159">
        <f t="shared" ref="D1822:H1822" si="154">SUM(D1795:D1821)</f>
        <v>36.5</v>
      </c>
      <c r="E1822" s="159">
        <f t="shared" si="154"/>
        <v>36.5</v>
      </c>
      <c r="F1822" s="159">
        <f t="shared" si="154"/>
        <v>0</v>
      </c>
      <c r="G1822" s="159">
        <f t="shared" si="154"/>
        <v>28.5</v>
      </c>
      <c r="H1822" s="159">
        <f t="shared" si="154"/>
        <v>0</v>
      </c>
      <c r="I1822" s="159">
        <f>SUM(I1795:I1821)</f>
        <v>129</v>
      </c>
    </row>
    <row r="1824" spans="1:9" ht="15.75" x14ac:dyDescent="0.25">
      <c r="B1824" s="8" t="s">
        <v>4830</v>
      </c>
      <c r="C1824" s="159"/>
      <c r="D1824" s="159"/>
      <c r="E1824" s="159"/>
      <c r="F1824" s="159"/>
      <c r="G1824" s="159"/>
      <c r="H1824" s="159"/>
      <c r="I1824" s="159">
        <f>SUM(C1824:H1824)</f>
        <v>0</v>
      </c>
    </row>
    <row r="1825" spans="1:9" x14ac:dyDescent="0.25">
      <c r="B1825" s="167"/>
    </row>
    <row r="1826" spans="1:9" ht="15.75" x14ac:dyDescent="0.25">
      <c r="B1826" s="8" t="s">
        <v>4831</v>
      </c>
      <c r="C1826" s="9" t="e">
        <f>C1822/C1824</f>
        <v>#DIV/0!</v>
      </c>
      <c r="D1826" s="9" t="e">
        <f t="shared" ref="D1826:H1826" si="155">D1822/D1824</f>
        <v>#DIV/0!</v>
      </c>
      <c r="E1826" s="9" t="e">
        <f t="shared" si="155"/>
        <v>#DIV/0!</v>
      </c>
      <c r="F1826" s="9" t="e">
        <f t="shared" si="155"/>
        <v>#DIV/0!</v>
      </c>
      <c r="G1826" s="9" t="e">
        <f t="shared" si="155"/>
        <v>#DIV/0!</v>
      </c>
      <c r="H1826" s="9" t="e">
        <f t="shared" si="155"/>
        <v>#DIV/0!</v>
      </c>
      <c r="I1826" s="9"/>
    </row>
    <row r="1827" spans="1:9" ht="15.75" x14ac:dyDescent="0.25">
      <c r="B1827" s="163"/>
      <c r="C1827" s="10"/>
      <c r="D1827" s="10"/>
      <c r="E1827" s="10"/>
      <c r="F1827" s="10"/>
      <c r="G1827" s="10"/>
      <c r="H1827" s="163"/>
      <c r="I1827" s="163"/>
    </row>
    <row r="1828" spans="1:9" ht="15.75" x14ac:dyDescent="0.25">
      <c r="B1828" s="8" t="s">
        <v>4832</v>
      </c>
      <c r="C1828" s="159"/>
      <c r="D1828" s="159"/>
      <c r="E1828" s="6"/>
      <c r="F1828" s="6"/>
      <c r="G1828" s="6"/>
      <c r="H1828" s="6"/>
      <c r="I1828" s="11"/>
    </row>
    <row r="1831" spans="1:9" ht="33.75" x14ac:dyDescent="0.25">
      <c r="B1831" s="187" t="s">
        <v>4842</v>
      </c>
      <c r="C1831" s="188"/>
      <c r="D1831" s="188"/>
      <c r="E1831" s="188"/>
      <c r="F1831" s="188"/>
      <c r="G1831" s="188"/>
      <c r="H1831" s="188"/>
      <c r="I1831" s="189"/>
    </row>
    <row r="1832" spans="1:9" ht="47.25" x14ac:dyDescent="0.25">
      <c r="A1832" s="155" t="s">
        <v>4819</v>
      </c>
      <c r="B1832" s="155" t="s">
        <v>4820</v>
      </c>
      <c r="C1832" s="4" t="s">
        <v>4821</v>
      </c>
      <c r="D1832" s="4" t="s">
        <v>4822</v>
      </c>
      <c r="E1832" s="88" t="s">
        <v>4823</v>
      </c>
      <c r="F1832" s="88" t="s">
        <v>4824</v>
      </c>
      <c r="G1832" s="88" t="s">
        <v>4825</v>
      </c>
      <c r="H1832" s="4" t="s">
        <v>4826</v>
      </c>
      <c r="I1832" s="29" t="s">
        <v>4827</v>
      </c>
    </row>
    <row r="1833" spans="1:9" ht="25.5" x14ac:dyDescent="0.25">
      <c r="A1833" s="156"/>
      <c r="B1833" s="156"/>
      <c r="C1833" s="13" t="s">
        <v>4828</v>
      </c>
      <c r="D1833" s="13" t="s">
        <v>4828</v>
      </c>
      <c r="E1833" s="13" t="s">
        <v>4828</v>
      </c>
      <c r="F1833" s="13" t="s">
        <v>4828</v>
      </c>
      <c r="G1833" s="13" t="s">
        <v>4828</v>
      </c>
      <c r="H1833" s="13" t="s">
        <v>4828</v>
      </c>
      <c r="I1833" s="30"/>
    </row>
    <row r="1834" spans="1:9" ht="15.75" x14ac:dyDescent="0.25">
      <c r="A1834" s="23">
        <v>1493</v>
      </c>
      <c r="B1834" s="6" t="str">
        <f>CADASTROS!$C$1185</f>
        <v>Gilson Mendes de Oliveira</v>
      </c>
      <c r="C1834" s="159"/>
      <c r="D1834" s="159"/>
      <c r="E1834" s="159"/>
      <c r="F1834" s="159"/>
      <c r="G1834" s="159"/>
      <c r="H1834" s="159"/>
      <c r="I1834" s="7">
        <f>SUM(C1834+D1834+E1834+F1834+G1834+H1834)</f>
        <v>0</v>
      </c>
    </row>
    <row r="1835" spans="1:9" ht="15.75" x14ac:dyDescent="0.25">
      <c r="A1835" s="23">
        <v>1494</v>
      </c>
      <c r="B1835" s="6" t="str">
        <f>CADASTROS!$C$1186</f>
        <v>Cosme Santana de Oliveira</v>
      </c>
      <c r="C1835" s="159"/>
      <c r="D1835" s="159"/>
      <c r="E1835" s="159"/>
      <c r="F1835" s="159"/>
      <c r="G1835" s="159"/>
      <c r="H1835" s="159"/>
      <c r="I1835" s="7">
        <f t="shared" ref="I1835:I1860" si="156">SUM(C1835+D1835+E1835+F1835+G1835+H1835)</f>
        <v>0</v>
      </c>
    </row>
    <row r="1836" spans="1:9" ht="15.75" x14ac:dyDescent="0.25">
      <c r="A1836" s="23">
        <v>1495</v>
      </c>
      <c r="B1836" s="6" t="str">
        <f>CADASTROS!$C$1187</f>
        <v>Leandro Rodrigues Souza</v>
      </c>
      <c r="C1836" s="159">
        <v>18</v>
      </c>
      <c r="D1836" s="159">
        <v>19</v>
      </c>
      <c r="E1836" s="159">
        <v>8.5</v>
      </c>
      <c r="F1836" s="159"/>
      <c r="G1836" s="159">
        <v>14</v>
      </c>
      <c r="H1836" s="159"/>
      <c r="I1836" s="7">
        <f t="shared" si="156"/>
        <v>59.5</v>
      </c>
    </row>
    <row r="1837" spans="1:9" ht="15.75" x14ac:dyDescent="0.25">
      <c r="A1837" s="23">
        <v>1496</v>
      </c>
      <c r="B1837" s="6" t="str">
        <f>CADASTROS!$C$1188</f>
        <v>Joscilene Silva Oliveira</v>
      </c>
      <c r="C1837" s="159"/>
      <c r="D1837" s="159"/>
      <c r="E1837" s="159"/>
      <c r="F1837" s="159"/>
      <c r="G1837" s="159"/>
      <c r="H1837" s="159"/>
      <c r="I1837" s="7">
        <f t="shared" si="156"/>
        <v>0</v>
      </c>
    </row>
    <row r="1838" spans="1:9" ht="15.75" x14ac:dyDescent="0.25">
      <c r="A1838" s="23">
        <v>1497</v>
      </c>
      <c r="B1838" s="6" t="str">
        <f>CADASTROS!$C$1189</f>
        <v>Durvalino José Gonçalves</v>
      </c>
      <c r="C1838" s="159"/>
      <c r="D1838" s="159"/>
      <c r="E1838" s="159"/>
      <c r="F1838" s="159"/>
      <c r="G1838" s="159"/>
      <c r="H1838" s="159"/>
      <c r="I1838" s="7">
        <f t="shared" si="156"/>
        <v>0</v>
      </c>
    </row>
    <row r="1839" spans="1:9" ht="15.75" x14ac:dyDescent="0.25">
      <c r="A1839" s="23">
        <v>1498</v>
      </c>
      <c r="B1839" s="6" t="str">
        <f>CADASTROS!$C$1190</f>
        <v>Mário Diva Miranda</v>
      </c>
      <c r="C1839" s="159"/>
      <c r="D1839" s="159"/>
      <c r="E1839" s="159"/>
      <c r="F1839" s="159"/>
      <c r="G1839" s="159"/>
      <c r="H1839" s="159"/>
      <c r="I1839" s="7">
        <f t="shared" si="156"/>
        <v>0</v>
      </c>
    </row>
    <row r="1840" spans="1:9" ht="15.75" x14ac:dyDescent="0.25">
      <c r="A1840" s="23">
        <v>1499</v>
      </c>
      <c r="B1840" s="6" t="str">
        <f>CADASTROS!$C$1191</f>
        <v>Uilma Nunes Paixão</v>
      </c>
      <c r="C1840" s="159">
        <v>13</v>
      </c>
      <c r="D1840" s="159">
        <v>12</v>
      </c>
      <c r="E1840" s="159">
        <v>8.5</v>
      </c>
      <c r="F1840" s="159"/>
      <c r="G1840" s="159">
        <v>14</v>
      </c>
      <c r="H1840" s="159"/>
      <c r="I1840" s="7">
        <f t="shared" si="156"/>
        <v>47.5</v>
      </c>
    </row>
    <row r="1841" spans="1:9" ht="15.75" x14ac:dyDescent="0.25">
      <c r="A1841" s="23">
        <v>1500</v>
      </c>
      <c r="B1841" s="6" t="str">
        <f>CADASTROS!$C$1192</f>
        <v>Adriano Rodrigues dos Santos</v>
      </c>
      <c r="C1841" s="159"/>
      <c r="D1841" s="159"/>
      <c r="E1841" s="159"/>
      <c r="F1841" s="159"/>
      <c r="G1841" s="159"/>
      <c r="H1841" s="159"/>
      <c r="I1841" s="7">
        <f t="shared" si="156"/>
        <v>0</v>
      </c>
    </row>
    <row r="1842" spans="1:9" ht="15.75" x14ac:dyDescent="0.25">
      <c r="A1842" s="23">
        <v>1501</v>
      </c>
      <c r="B1842" s="6" t="str">
        <f>CADASTROS!$C$1193</f>
        <v>Eliane Souza Santos</v>
      </c>
      <c r="C1842" s="159"/>
      <c r="D1842" s="159"/>
      <c r="E1842" s="159"/>
      <c r="F1842" s="159"/>
      <c r="G1842" s="159"/>
      <c r="H1842" s="159"/>
      <c r="I1842" s="7">
        <f t="shared" si="156"/>
        <v>0</v>
      </c>
    </row>
    <row r="1843" spans="1:9" ht="15.75" x14ac:dyDescent="0.25">
      <c r="A1843" s="23">
        <v>1502</v>
      </c>
      <c r="B1843" s="6" t="str">
        <f>CADASTROS!$C$1194</f>
        <v>Caique Oliveira dos Santos</v>
      </c>
      <c r="C1843" s="159">
        <v>36.5</v>
      </c>
      <c r="D1843" s="159">
        <v>36</v>
      </c>
      <c r="E1843" s="159">
        <v>11.5</v>
      </c>
      <c r="F1843" s="159"/>
      <c r="G1843" s="159"/>
      <c r="H1843" s="159"/>
      <c r="I1843" s="7">
        <f t="shared" si="156"/>
        <v>84</v>
      </c>
    </row>
    <row r="1844" spans="1:9" ht="15.75" x14ac:dyDescent="0.25">
      <c r="A1844" s="23">
        <v>1503</v>
      </c>
      <c r="B1844" s="6" t="str">
        <f>CADASTROS!$C$1195</f>
        <v>Elane Rosa de Souza</v>
      </c>
      <c r="C1844" s="159">
        <v>12</v>
      </c>
      <c r="D1844" s="159">
        <v>12.5</v>
      </c>
      <c r="E1844" s="159">
        <v>12</v>
      </c>
      <c r="F1844" s="159"/>
      <c r="G1844" s="159">
        <v>13.5</v>
      </c>
      <c r="H1844" s="159"/>
      <c r="I1844" s="7">
        <f t="shared" si="156"/>
        <v>50</v>
      </c>
    </row>
    <row r="1845" spans="1:9" ht="15.75" x14ac:dyDescent="0.25">
      <c r="A1845" s="23">
        <v>1504</v>
      </c>
      <c r="B1845" s="6" t="str">
        <f>CADASTROS!$C$1196</f>
        <v>Gildete Evangelista Brito</v>
      </c>
      <c r="C1845" s="159"/>
      <c r="D1845" s="159"/>
      <c r="E1845" s="159"/>
      <c r="F1845" s="159"/>
      <c r="G1845" s="159"/>
      <c r="H1845" s="159"/>
      <c r="I1845" s="7">
        <f t="shared" si="156"/>
        <v>0</v>
      </c>
    </row>
    <row r="1846" spans="1:9" ht="15.75" x14ac:dyDescent="0.25">
      <c r="A1846" s="23">
        <v>1505</v>
      </c>
      <c r="B1846" s="6" t="str">
        <f>CADASTROS!$C$1197</f>
        <v>Luzia de Souza Brito</v>
      </c>
      <c r="C1846" s="159"/>
      <c r="D1846" s="159"/>
      <c r="E1846" s="159"/>
      <c r="F1846" s="159"/>
      <c r="G1846" s="159"/>
      <c r="H1846" s="159"/>
      <c r="I1846" s="7">
        <f t="shared" si="156"/>
        <v>0</v>
      </c>
    </row>
    <row r="1847" spans="1:9" ht="15.75" x14ac:dyDescent="0.25">
      <c r="A1847" s="23">
        <v>1506</v>
      </c>
      <c r="B1847" s="6" t="str">
        <f>CADASTROS!$C$1198</f>
        <v>Luciene Maria de Morais</v>
      </c>
      <c r="C1847" s="159"/>
      <c r="D1847" s="159"/>
      <c r="E1847" s="159"/>
      <c r="F1847" s="159"/>
      <c r="G1847" s="159"/>
      <c r="H1847" s="159"/>
      <c r="I1847" s="7">
        <f t="shared" si="156"/>
        <v>0</v>
      </c>
    </row>
    <row r="1848" spans="1:9" ht="15.75" x14ac:dyDescent="0.25">
      <c r="A1848" s="23">
        <v>1507</v>
      </c>
      <c r="B1848" s="6" t="str">
        <f>CADASTROS!$C$1199</f>
        <v>Andreia Morais de Brito</v>
      </c>
      <c r="C1848" s="159"/>
      <c r="D1848" s="159"/>
      <c r="E1848" s="159"/>
      <c r="F1848" s="159"/>
      <c r="G1848" s="159"/>
      <c r="H1848" s="159"/>
      <c r="I1848" s="7">
        <f t="shared" si="156"/>
        <v>0</v>
      </c>
    </row>
    <row r="1849" spans="1:9" ht="15.75" x14ac:dyDescent="0.25">
      <c r="A1849" s="23">
        <v>1508</v>
      </c>
      <c r="B1849" s="6" t="str">
        <f>CADASTROS!$C$1200</f>
        <v>Marlene Oliveira Boaventura</v>
      </c>
      <c r="C1849" s="159"/>
      <c r="D1849" s="159"/>
      <c r="E1849" s="159"/>
      <c r="F1849" s="159"/>
      <c r="G1849" s="159"/>
      <c r="H1849" s="159"/>
      <c r="I1849" s="7">
        <f t="shared" si="156"/>
        <v>0</v>
      </c>
    </row>
    <row r="1850" spans="1:9" ht="15.75" x14ac:dyDescent="0.25">
      <c r="A1850" s="23">
        <v>1509</v>
      </c>
      <c r="B1850" s="6" t="str">
        <f>CADASTROS!$C$1201</f>
        <v>Alexandre de Oliveira Souza</v>
      </c>
      <c r="C1850" s="159"/>
      <c r="D1850" s="159"/>
      <c r="E1850" s="159"/>
      <c r="F1850" s="159"/>
      <c r="G1850" s="159"/>
      <c r="H1850" s="159"/>
      <c r="I1850" s="7">
        <f t="shared" si="156"/>
        <v>0</v>
      </c>
    </row>
    <row r="1851" spans="1:9" ht="15.75" x14ac:dyDescent="0.25">
      <c r="A1851" s="23">
        <v>1510</v>
      </c>
      <c r="B1851" s="6" t="str">
        <f>CADASTROS!$C$1202</f>
        <v>Eliane Rosa dos Santos</v>
      </c>
      <c r="C1851" s="159"/>
      <c r="D1851" s="159"/>
      <c r="E1851" s="159"/>
      <c r="F1851" s="159"/>
      <c r="G1851" s="159"/>
      <c r="H1851" s="159"/>
      <c r="I1851" s="7">
        <f t="shared" si="156"/>
        <v>0</v>
      </c>
    </row>
    <row r="1852" spans="1:9" ht="15.75" x14ac:dyDescent="0.25">
      <c r="A1852" s="23">
        <v>1511</v>
      </c>
      <c r="B1852" s="6" t="str">
        <f>CADASTROS!$C$1203</f>
        <v>Maria Graças P. Moureira</v>
      </c>
      <c r="C1852" s="159">
        <v>14</v>
      </c>
      <c r="D1852" s="159">
        <v>12.5</v>
      </c>
      <c r="E1852" s="159">
        <v>12.5</v>
      </c>
      <c r="F1852" s="159"/>
      <c r="G1852" s="159"/>
      <c r="H1852" s="159">
        <v>32</v>
      </c>
      <c r="I1852" s="7">
        <f t="shared" si="156"/>
        <v>71</v>
      </c>
    </row>
    <row r="1853" spans="1:9" ht="15.75" x14ac:dyDescent="0.25">
      <c r="A1853" s="23">
        <v>1512</v>
      </c>
      <c r="B1853" s="6" t="str">
        <f>CADASTROS!$C$1204</f>
        <v>Raimunda Gomes de Novais</v>
      </c>
      <c r="C1853" s="159"/>
      <c r="D1853" s="159"/>
      <c r="E1853" s="159"/>
      <c r="F1853" s="159"/>
      <c r="G1853" s="159"/>
      <c r="H1853" s="159"/>
      <c r="I1853" s="7">
        <f t="shared" si="156"/>
        <v>0</v>
      </c>
    </row>
    <row r="1854" spans="1:9" ht="15.75" x14ac:dyDescent="0.25">
      <c r="A1854" s="23">
        <v>1513</v>
      </c>
      <c r="B1854" s="6" t="str">
        <f>CADASTROS!$C$1205</f>
        <v>Maremi Teles dos Santos</v>
      </c>
      <c r="C1854" s="159"/>
      <c r="D1854" s="159"/>
      <c r="E1854" s="159"/>
      <c r="F1854" s="159"/>
      <c r="G1854" s="159"/>
      <c r="H1854" s="159"/>
      <c r="I1854" s="7">
        <f t="shared" si="156"/>
        <v>0</v>
      </c>
    </row>
    <row r="1855" spans="1:9" ht="15.75" x14ac:dyDescent="0.25">
      <c r="A1855" s="23">
        <v>1514</v>
      </c>
      <c r="B1855" s="6" t="str">
        <f>CADASTROS!$C$1206</f>
        <v>Lucimaria Silva de Souza</v>
      </c>
      <c r="C1855" s="159"/>
      <c r="D1855" s="159"/>
      <c r="E1855" s="159"/>
      <c r="F1855" s="159"/>
      <c r="G1855" s="159"/>
      <c r="H1855" s="159"/>
      <c r="I1855" s="7">
        <f t="shared" si="156"/>
        <v>0</v>
      </c>
    </row>
    <row r="1856" spans="1:9" ht="15.75" x14ac:dyDescent="0.25">
      <c r="A1856" s="23">
        <v>1515</v>
      </c>
      <c r="B1856" s="6" t="str">
        <f>CADASTROS!$C$1207</f>
        <v>Valdeteno Novais Oliveira</v>
      </c>
      <c r="C1856" s="159"/>
      <c r="D1856" s="159"/>
      <c r="E1856" s="159"/>
      <c r="F1856" s="159"/>
      <c r="G1856" s="159"/>
      <c r="H1856" s="159"/>
      <c r="I1856" s="7">
        <f t="shared" si="156"/>
        <v>0</v>
      </c>
    </row>
    <row r="1857" spans="1:9" ht="15.75" x14ac:dyDescent="0.25">
      <c r="A1857" s="23">
        <v>1516</v>
      </c>
      <c r="B1857" s="6" t="str">
        <f>CADASTROS!$C$1208</f>
        <v>Ronielma de Oliveira Morais</v>
      </c>
      <c r="C1857" s="159"/>
      <c r="D1857" s="159"/>
      <c r="E1857" s="159"/>
      <c r="F1857" s="159"/>
      <c r="G1857" s="159"/>
      <c r="H1857" s="159"/>
      <c r="I1857" s="7">
        <f t="shared" si="156"/>
        <v>0</v>
      </c>
    </row>
    <row r="1858" spans="1:9" ht="15.75" x14ac:dyDescent="0.25">
      <c r="A1858" s="23">
        <v>1517</v>
      </c>
      <c r="B1858" s="6" t="str">
        <f>CADASTROS!$C$1209</f>
        <v>Sueli Oliveira Boaventura</v>
      </c>
      <c r="C1858" s="159"/>
      <c r="D1858" s="159"/>
      <c r="E1858" s="159"/>
      <c r="F1858" s="159"/>
      <c r="G1858" s="159"/>
      <c r="H1858" s="159"/>
      <c r="I1858" s="7">
        <f t="shared" si="156"/>
        <v>0</v>
      </c>
    </row>
    <row r="1859" spans="1:9" ht="15.75" x14ac:dyDescent="0.25">
      <c r="A1859" s="23">
        <v>1518</v>
      </c>
      <c r="B1859" s="6" t="str">
        <f>CADASTROS!$C$1210</f>
        <v>Neildo de Oliveira Silva</v>
      </c>
      <c r="C1859" s="159"/>
      <c r="D1859" s="159"/>
      <c r="E1859" s="159"/>
      <c r="F1859" s="159"/>
      <c r="G1859" s="159"/>
      <c r="H1859" s="159"/>
      <c r="I1859" s="7">
        <f t="shared" si="156"/>
        <v>0</v>
      </c>
    </row>
    <row r="1860" spans="1:9" ht="15.75" x14ac:dyDescent="0.25">
      <c r="A1860" s="23">
        <v>1519</v>
      </c>
      <c r="B1860" s="6" t="str">
        <f>CADASTROS!$C$1211</f>
        <v>Silvanete Boaventura de Souza</v>
      </c>
      <c r="C1860" s="159"/>
      <c r="D1860" s="159"/>
      <c r="E1860" s="159"/>
      <c r="F1860" s="159"/>
      <c r="G1860" s="159"/>
      <c r="H1860" s="159"/>
      <c r="I1860" s="7">
        <f t="shared" si="156"/>
        <v>0</v>
      </c>
    </row>
    <row r="1861" spans="1:9" ht="15.75" x14ac:dyDescent="0.25">
      <c r="B1861" s="159" t="s">
        <v>4829</v>
      </c>
      <c r="C1861" s="159">
        <f>SUM(C1834:C1860)</f>
        <v>93.5</v>
      </c>
      <c r="D1861" s="159">
        <f t="shared" ref="D1861:H1861" si="157">SUM(D1834:D1860)</f>
        <v>92</v>
      </c>
      <c r="E1861" s="159">
        <f t="shared" si="157"/>
        <v>53</v>
      </c>
      <c r="F1861" s="159">
        <f t="shared" si="157"/>
        <v>0</v>
      </c>
      <c r="G1861" s="159">
        <f t="shared" si="157"/>
        <v>41.5</v>
      </c>
      <c r="H1861" s="159">
        <f t="shared" si="157"/>
        <v>32</v>
      </c>
      <c r="I1861" s="159">
        <f>SUM(I1834:I1860)</f>
        <v>312</v>
      </c>
    </row>
    <row r="1863" spans="1:9" ht="15.75" x14ac:dyDescent="0.25">
      <c r="B1863" s="8" t="s">
        <v>4830</v>
      </c>
      <c r="C1863" s="159"/>
      <c r="D1863" s="159"/>
      <c r="E1863" s="159"/>
      <c r="F1863" s="159"/>
      <c r="G1863" s="159"/>
      <c r="H1863" s="159"/>
      <c r="I1863" s="159">
        <f>SUM(C1863:H1863)</f>
        <v>0</v>
      </c>
    </row>
    <row r="1864" spans="1:9" x14ac:dyDescent="0.25">
      <c r="B1864" s="167"/>
    </row>
    <row r="1865" spans="1:9" ht="15.75" x14ac:dyDescent="0.25">
      <c r="B1865" s="8" t="s">
        <v>4831</v>
      </c>
      <c r="C1865" s="9" t="e">
        <f>C1861/C1863</f>
        <v>#DIV/0!</v>
      </c>
      <c r="D1865" s="9" t="e">
        <f t="shared" ref="D1865:H1865" si="158">D1861/D1863</f>
        <v>#DIV/0!</v>
      </c>
      <c r="E1865" s="9" t="e">
        <f t="shared" si="158"/>
        <v>#DIV/0!</v>
      </c>
      <c r="F1865" s="9" t="e">
        <f t="shared" si="158"/>
        <v>#DIV/0!</v>
      </c>
      <c r="G1865" s="9" t="e">
        <f t="shared" si="158"/>
        <v>#DIV/0!</v>
      </c>
      <c r="H1865" s="9" t="e">
        <f t="shared" si="158"/>
        <v>#DIV/0!</v>
      </c>
      <c r="I1865" s="9"/>
    </row>
    <row r="1866" spans="1:9" ht="15.75" x14ac:dyDescent="0.25">
      <c r="B1866" s="163"/>
      <c r="C1866" s="10"/>
      <c r="D1866" s="10"/>
      <c r="E1866" s="10"/>
      <c r="F1866" s="10"/>
      <c r="G1866" s="10"/>
      <c r="H1866" s="163"/>
      <c r="I1866" s="163"/>
    </row>
    <row r="1867" spans="1:9" ht="15.75" x14ac:dyDescent="0.25">
      <c r="B1867" s="8" t="s">
        <v>4832</v>
      </c>
      <c r="C1867" s="159"/>
      <c r="D1867" s="159"/>
      <c r="E1867" s="6"/>
      <c r="F1867" s="6"/>
      <c r="G1867" s="6"/>
      <c r="H1867" s="6"/>
      <c r="I1867" s="11"/>
    </row>
    <row r="1869" spans="1:9" ht="33.6" customHeight="1" x14ac:dyDescent="0.25">
      <c r="B1869" s="187" t="s">
        <v>4842</v>
      </c>
      <c r="C1869" s="188"/>
      <c r="D1869" s="188"/>
      <c r="E1869" s="188"/>
      <c r="F1869" s="188"/>
      <c r="G1869" s="188"/>
      <c r="H1869" s="188"/>
      <c r="I1869" s="189"/>
    </row>
    <row r="1870" spans="1:9" ht="47.25" x14ac:dyDescent="0.25">
      <c r="A1870" s="155" t="s">
        <v>4819</v>
      </c>
      <c r="B1870" s="155" t="s">
        <v>4820</v>
      </c>
      <c r="C1870" s="4" t="s">
        <v>4821</v>
      </c>
      <c r="D1870" s="4" t="s">
        <v>4822</v>
      </c>
      <c r="E1870" s="88" t="s">
        <v>4823</v>
      </c>
      <c r="F1870" s="88" t="s">
        <v>4824</v>
      </c>
      <c r="G1870" s="88" t="s">
        <v>4825</v>
      </c>
      <c r="H1870" s="4" t="s">
        <v>4826</v>
      </c>
      <c r="I1870" s="29" t="s">
        <v>4827</v>
      </c>
    </row>
    <row r="1871" spans="1:9" ht="25.5" x14ac:dyDescent="0.25">
      <c r="A1871" s="156"/>
      <c r="B1871" s="156"/>
      <c r="C1871" s="13" t="s">
        <v>4828</v>
      </c>
      <c r="D1871" s="13" t="s">
        <v>4828</v>
      </c>
      <c r="E1871" s="13" t="s">
        <v>4828</v>
      </c>
      <c r="F1871" s="13" t="s">
        <v>4828</v>
      </c>
      <c r="G1871" s="13" t="s">
        <v>4828</v>
      </c>
      <c r="H1871" s="13" t="s">
        <v>4828</v>
      </c>
      <c r="I1871" s="30"/>
    </row>
    <row r="1872" spans="1:9" ht="15.75" x14ac:dyDescent="0.25">
      <c r="A1872" s="23">
        <v>1520</v>
      </c>
      <c r="B1872" s="6" t="str">
        <f>CADASTROS!$C$1212</f>
        <v>Ismael Santos Nunes</v>
      </c>
      <c r="C1872" s="159"/>
      <c r="D1872" s="159"/>
      <c r="E1872" s="159"/>
      <c r="F1872" s="159"/>
      <c r="G1872" s="159"/>
      <c r="H1872" s="159"/>
      <c r="I1872" s="7">
        <f>SUM(C1872+D1872+E1872+F1872+G1872+H1872)</f>
        <v>0</v>
      </c>
    </row>
    <row r="1873" spans="1:9" ht="15.75" x14ac:dyDescent="0.25">
      <c r="A1873" s="23">
        <v>1521</v>
      </c>
      <c r="B1873" s="6" t="str">
        <f>CADASTROS!$C$1213</f>
        <v>Wesley Gonçalves Silva</v>
      </c>
      <c r="C1873" s="159"/>
      <c r="D1873" s="159"/>
      <c r="E1873" s="159"/>
      <c r="F1873" s="159"/>
      <c r="G1873" s="159"/>
      <c r="H1873" s="159"/>
      <c r="I1873" s="7">
        <f>SUM(C1873+D1873+E1873+F1873+G1873+H1873)</f>
        <v>0</v>
      </c>
    </row>
    <row r="1874" spans="1:9" ht="15.75" x14ac:dyDescent="0.25">
      <c r="A1874" s="23">
        <v>1522</v>
      </c>
      <c r="B1874" s="6" t="str">
        <f>CADASTROS!$C$1214</f>
        <v>Almir Araújo Lima</v>
      </c>
      <c r="C1874" s="159"/>
      <c r="D1874" s="159"/>
      <c r="E1874" s="159"/>
      <c r="F1874" s="159"/>
      <c r="G1874" s="159"/>
      <c r="H1874" s="159"/>
      <c r="I1874" s="7">
        <f t="shared" ref="I1874:I1898" si="159">SUM(C1874+D1874+E1874+F1874+G1874+H1874)</f>
        <v>0</v>
      </c>
    </row>
    <row r="1875" spans="1:9" ht="15.75" x14ac:dyDescent="0.25">
      <c r="A1875" s="23">
        <v>1523</v>
      </c>
      <c r="B1875" s="6" t="str">
        <f>CADASTROS!$C$1215</f>
        <v>Iris Alves de Souza</v>
      </c>
      <c r="C1875" s="159"/>
      <c r="D1875" s="159"/>
      <c r="E1875" s="159"/>
      <c r="F1875" s="159"/>
      <c r="G1875" s="159"/>
      <c r="H1875" s="159"/>
      <c r="I1875" s="7">
        <f t="shared" si="159"/>
        <v>0</v>
      </c>
    </row>
    <row r="1876" spans="1:9" ht="15.75" x14ac:dyDescent="0.25">
      <c r="A1876" s="23">
        <v>1524</v>
      </c>
      <c r="B1876" s="6" t="str">
        <f>CADASTROS!$C$1216</f>
        <v>Luziania Santana Santos</v>
      </c>
      <c r="C1876" s="159"/>
      <c r="D1876" s="159"/>
      <c r="E1876" s="159"/>
      <c r="F1876" s="159"/>
      <c r="G1876" s="159"/>
      <c r="H1876" s="159"/>
      <c r="I1876" s="7">
        <f t="shared" si="159"/>
        <v>0</v>
      </c>
    </row>
    <row r="1877" spans="1:9" ht="15.75" x14ac:dyDescent="0.25">
      <c r="A1877" s="23">
        <v>1525</v>
      </c>
      <c r="B1877" s="6" t="str">
        <f>CADASTROS!$C$1217</f>
        <v>Ana Lucia Santana Sousa</v>
      </c>
      <c r="C1877" s="159"/>
      <c r="D1877" s="159"/>
      <c r="E1877" s="159"/>
      <c r="F1877" s="159"/>
      <c r="G1877" s="159"/>
      <c r="H1877" s="159"/>
      <c r="I1877" s="7">
        <f t="shared" si="159"/>
        <v>0</v>
      </c>
    </row>
    <row r="1878" spans="1:9" ht="15.75" x14ac:dyDescent="0.25">
      <c r="A1878" s="23">
        <v>1526</v>
      </c>
      <c r="B1878" s="6" t="str">
        <f>CADASTROS!$C$1218</f>
        <v>Cristiano dos Santos Bernado das Graças</v>
      </c>
      <c r="C1878" s="159"/>
      <c r="D1878" s="159"/>
      <c r="E1878" s="159"/>
      <c r="F1878" s="159"/>
      <c r="G1878" s="159"/>
      <c r="H1878" s="159"/>
      <c r="I1878" s="7">
        <f t="shared" si="159"/>
        <v>0</v>
      </c>
    </row>
    <row r="1879" spans="1:9" ht="15.75" x14ac:dyDescent="0.25">
      <c r="A1879" s="23">
        <v>1527</v>
      </c>
      <c r="B1879" s="6" t="str">
        <f>CADASTROS!$C$1219</f>
        <v>Damires da Silva Alves</v>
      </c>
      <c r="C1879" s="159"/>
      <c r="D1879" s="159"/>
      <c r="E1879" s="159"/>
      <c r="F1879" s="159"/>
      <c r="G1879" s="159"/>
      <c r="H1879" s="159"/>
      <c r="I1879" s="7">
        <f t="shared" si="159"/>
        <v>0</v>
      </c>
    </row>
    <row r="1880" spans="1:9" ht="15.75" x14ac:dyDescent="0.25">
      <c r="A1880" s="23">
        <v>1528</v>
      </c>
      <c r="B1880" s="6" t="str">
        <f>CADASTROS!$C$1220</f>
        <v>Lais Fonseca de Souza</v>
      </c>
      <c r="C1880" s="159"/>
      <c r="D1880" s="159">
        <v>19.5</v>
      </c>
      <c r="E1880" s="159">
        <v>15</v>
      </c>
      <c r="F1880" s="159"/>
      <c r="G1880" s="159">
        <v>35</v>
      </c>
      <c r="H1880" s="159"/>
      <c r="I1880" s="7">
        <f t="shared" si="159"/>
        <v>69.5</v>
      </c>
    </row>
    <row r="1881" spans="1:9" ht="15.75" x14ac:dyDescent="0.25">
      <c r="A1881" s="23">
        <v>1529</v>
      </c>
      <c r="B1881" s="6" t="str">
        <f>CADASTROS!$C$1221</f>
        <v>Fabiana O. Marciel</v>
      </c>
      <c r="C1881" s="159"/>
      <c r="D1881" s="159"/>
      <c r="E1881" s="159"/>
      <c r="F1881" s="159"/>
      <c r="G1881" s="159"/>
      <c r="H1881" s="159"/>
      <c r="I1881" s="7">
        <f t="shared" si="159"/>
        <v>0</v>
      </c>
    </row>
    <row r="1882" spans="1:9" ht="15.75" x14ac:dyDescent="0.25">
      <c r="A1882" s="23">
        <v>1530</v>
      </c>
      <c r="B1882" s="6" t="str">
        <f>CADASTROS!$C$1222</f>
        <v>Ione Ferreira de Souza</v>
      </c>
      <c r="C1882" s="159"/>
      <c r="D1882" s="159"/>
      <c r="E1882" s="159"/>
      <c r="F1882" s="159"/>
      <c r="G1882" s="159"/>
      <c r="H1882" s="159"/>
      <c r="I1882" s="7">
        <f t="shared" si="159"/>
        <v>0</v>
      </c>
    </row>
    <row r="1883" spans="1:9" ht="15.75" x14ac:dyDescent="0.25">
      <c r="A1883" s="23">
        <v>1531</v>
      </c>
      <c r="B1883" s="6" t="str">
        <f>CADASTROS!$C$1223</f>
        <v>Ana Regina T. Machado</v>
      </c>
      <c r="C1883" s="159"/>
      <c r="D1883" s="159"/>
      <c r="E1883" s="159"/>
      <c r="F1883" s="159"/>
      <c r="G1883" s="159"/>
      <c r="H1883" s="159"/>
      <c r="I1883" s="7">
        <f t="shared" si="159"/>
        <v>0</v>
      </c>
    </row>
    <row r="1884" spans="1:9" ht="15.75" x14ac:dyDescent="0.25">
      <c r="A1884" s="23">
        <v>1532</v>
      </c>
      <c r="B1884" s="6" t="str">
        <f>CADASTROS!$C$1224</f>
        <v>Marcia Silva dos Santos</v>
      </c>
      <c r="C1884" s="159"/>
      <c r="D1884" s="159"/>
      <c r="E1884" s="159"/>
      <c r="F1884" s="159"/>
      <c r="G1884" s="159"/>
      <c r="H1884" s="159"/>
      <c r="I1884" s="7">
        <f t="shared" si="159"/>
        <v>0</v>
      </c>
    </row>
    <row r="1885" spans="1:9" ht="15.75" x14ac:dyDescent="0.25">
      <c r="A1885" s="23">
        <v>1533</v>
      </c>
      <c r="B1885" s="6" t="str">
        <f>CADASTROS!$C$1225</f>
        <v>Paulo Sérgio S. Lessa</v>
      </c>
      <c r="C1885" s="159"/>
      <c r="D1885" s="159"/>
      <c r="E1885" s="159"/>
      <c r="F1885" s="159"/>
      <c r="G1885" s="159"/>
      <c r="H1885" s="159"/>
      <c r="I1885" s="7">
        <f t="shared" si="159"/>
        <v>0</v>
      </c>
    </row>
    <row r="1886" spans="1:9" ht="15.75" x14ac:dyDescent="0.25">
      <c r="A1886" s="23">
        <v>1534</v>
      </c>
      <c r="B1886" s="6" t="str">
        <f>CADASTROS!$C$1226</f>
        <v>Nivaldo Gonçalves da Silva</v>
      </c>
      <c r="C1886" s="159"/>
      <c r="D1886" s="159"/>
      <c r="E1886" s="159"/>
      <c r="F1886" s="159"/>
      <c r="G1886" s="159"/>
      <c r="H1886" s="159"/>
      <c r="I1886" s="7">
        <f t="shared" si="159"/>
        <v>0</v>
      </c>
    </row>
    <row r="1887" spans="1:9" ht="15.75" x14ac:dyDescent="0.25">
      <c r="A1887" s="23">
        <v>1535</v>
      </c>
      <c r="B1887" s="6" t="str">
        <f>CADASTROS!$C$1227</f>
        <v>Jeferson dos Santos</v>
      </c>
      <c r="C1887" s="159"/>
      <c r="D1887" s="159"/>
      <c r="E1887" s="159"/>
      <c r="F1887" s="159"/>
      <c r="G1887" s="159"/>
      <c r="H1887" s="159"/>
      <c r="I1887" s="7">
        <f t="shared" si="159"/>
        <v>0</v>
      </c>
    </row>
    <row r="1888" spans="1:9" ht="15.75" x14ac:dyDescent="0.25">
      <c r="A1888" s="23">
        <v>1536</v>
      </c>
      <c r="B1888" s="6" t="str">
        <f>CADASTROS!$C$1228</f>
        <v>Diego dos Santos Oliveira</v>
      </c>
      <c r="C1888" s="159"/>
      <c r="D1888" s="159"/>
      <c r="E1888" s="159"/>
      <c r="F1888" s="159"/>
      <c r="G1888" s="159"/>
      <c r="H1888" s="159"/>
      <c r="I1888" s="7">
        <f t="shared" si="159"/>
        <v>0</v>
      </c>
    </row>
    <row r="1889" spans="1:9" ht="15.75" x14ac:dyDescent="0.25">
      <c r="A1889" s="23">
        <v>1537</v>
      </c>
      <c r="B1889" s="6" t="str">
        <f>CADASTROS!$C$1229</f>
        <v>Valtecio Batista da Cruz</v>
      </c>
      <c r="C1889" s="159"/>
      <c r="D1889" s="159"/>
      <c r="E1889" s="159"/>
      <c r="F1889" s="159"/>
      <c r="G1889" s="159"/>
      <c r="H1889" s="159"/>
      <c r="I1889" s="7">
        <f t="shared" si="159"/>
        <v>0</v>
      </c>
    </row>
    <row r="1890" spans="1:9" ht="15.75" x14ac:dyDescent="0.25">
      <c r="A1890" s="23">
        <v>1538</v>
      </c>
      <c r="B1890" s="6" t="str">
        <f>CADASTROS!$C$1230</f>
        <v>Lucas Cruz Carvalho</v>
      </c>
      <c r="C1890" s="159"/>
      <c r="D1890" s="159"/>
      <c r="E1890" s="159"/>
      <c r="F1890" s="159"/>
      <c r="G1890" s="159"/>
      <c r="H1890" s="159"/>
      <c r="I1890" s="7">
        <f t="shared" si="159"/>
        <v>0</v>
      </c>
    </row>
    <row r="1891" spans="1:9" ht="15.75" x14ac:dyDescent="0.25">
      <c r="A1891" s="23">
        <v>1539</v>
      </c>
      <c r="B1891" s="6" t="str">
        <f>CADASTROS!$C$1231</f>
        <v xml:space="preserve">Gilmar V. de Assis/Maria E. de J. Santos </v>
      </c>
      <c r="C1891" s="159"/>
      <c r="D1891" s="159"/>
      <c r="E1891" s="159"/>
      <c r="F1891" s="159"/>
      <c r="G1891" s="159"/>
      <c r="H1891" s="159"/>
      <c r="I1891" s="7">
        <f t="shared" si="159"/>
        <v>0</v>
      </c>
    </row>
    <row r="1892" spans="1:9" ht="15.75" x14ac:dyDescent="0.25">
      <c r="A1892" s="23">
        <v>1540</v>
      </c>
      <c r="B1892" s="6" t="str">
        <f>CADASTROS!$C$1232</f>
        <v>Joelita de Jesus Souza</v>
      </c>
      <c r="C1892" s="159"/>
      <c r="D1892" s="159"/>
      <c r="E1892" s="159"/>
      <c r="F1892" s="159"/>
      <c r="G1892" s="159"/>
      <c r="H1892" s="159"/>
      <c r="I1892" s="7">
        <f t="shared" si="159"/>
        <v>0</v>
      </c>
    </row>
    <row r="1893" spans="1:9" ht="15.75" x14ac:dyDescent="0.25">
      <c r="A1893" s="23">
        <v>1541</v>
      </c>
      <c r="B1893" s="6" t="str">
        <f>CADASTROS!$C$1233</f>
        <v>Maria Aparecida de Jesus Souza</v>
      </c>
      <c r="C1893" s="159"/>
      <c r="D1893" s="159"/>
      <c r="E1893" s="159"/>
      <c r="F1893" s="159"/>
      <c r="G1893" s="159"/>
      <c r="H1893" s="159"/>
      <c r="I1893" s="7">
        <f t="shared" si="159"/>
        <v>0</v>
      </c>
    </row>
    <row r="1894" spans="1:9" ht="15.75" x14ac:dyDescent="0.25">
      <c r="A1894" s="23">
        <v>1542</v>
      </c>
      <c r="B1894" s="6" t="str">
        <f>CADASTROS!$C$1234</f>
        <v>Lucielma Paes da Silva</v>
      </c>
      <c r="C1894" s="159"/>
      <c r="D1894" s="159"/>
      <c r="E1894" s="159">
        <v>19.5</v>
      </c>
      <c r="F1894" s="159"/>
      <c r="G1894" s="159"/>
      <c r="H1894" s="159"/>
      <c r="I1894" s="7">
        <f t="shared" si="159"/>
        <v>19.5</v>
      </c>
    </row>
    <row r="1895" spans="1:9" ht="15.75" x14ac:dyDescent="0.25">
      <c r="A1895" s="23">
        <v>1543</v>
      </c>
      <c r="B1895" s="6" t="str">
        <f>CADASTROS!$C$1235</f>
        <v>Maria José de Souza Miranda</v>
      </c>
      <c r="C1895" s="159"/>
      <c r="D1895" s="159"/>
      <c r="E1895" s="159"/>
      <c r="F1895" s="159"/>
      <c r="G1895" s="159"/>
      <c r="H1895" s="159"/>
      <c r="I1895" s="7">
        <f t="shared" si="159"/>
        <v>0</v>
      </c>
    </row>
    <row r="1896" spans="1:9" ht="15.75" x14ac:dyDescent="0.25">
      <c r="A1896" s="23">
        <v>1544</v>
      </c>
      <c r="B1896" s="6" t="str">
        <f>CADASTROS!$C$1236</f>
        <v>Everaldo Santana de Jesus</v>
      </c>
      <c r="C1896" s="159"/>
      <c r="D1896" s="159"/>
      <c r="E1896" s="159"/>
      <c r="F1896" s="159"/>
      <c r="G1896" s="159"/>
      <c r="H1896" s="159"/>
      <c r="I1896" s="7">
        <f t="shared" si="159"/>
        <v>0</v>
      </c>
    </row>
    <row r="1897" spans="1:9" ht="15.75" x14ac:dyDescent="0.25">
      <c r="A1897" s="23">
        <v>1545</v>
      </c>
      <c r="B1897" s="6" t="str">
        <f>CADASTROS!$C$1237</f>
        <v>Silvanete Antônio de Souza</v>
      </c>
      <c r="C1897" s="159"/>
      <c r="D1897" s="159"/>
      <c r="E1897" s="159"/>
      <c r="F1897" s="159"/>
      <c r="G1897" s="159"/>
      <c r="H1897" s="159"/>
      <c r="I1897" s="7">
        <f t="shared" si="159"/>
        <v>0</v>
      </c>
    </row>
    <row r="1898" spans="1:9" ht="15.75" x14ac:dyDescent="0.25">
      <c r="A1898" s="23">
        <v>1546</v>
      </c>
      <c r="B1898" s="6" t="str">
        <f>CADASTROS!$C$1238</f>
        <v>Ana Sena Santos</v>
      </c>
      <c r="C1898" s="159"/>
      <c r="D1898" s="159"/>
      <c r="E1898" s="159"/>
      <c r="F1898" s="159"/>
      <c r="G1898" s="159"/>
      <c r="H1898" s="159"/>
      <c r="I1898" s="7">
        <f t="shared" si="159"/>
        <v>0</v>
      </c>
    </row>
    <row r="1899" spans="1:9" ht="15.75" x14ac:dyDescent="0.25">
      <c r="B1899" s="159" t="s">
        <v>4829</v>
      </c>
      <c r="C1899" s="159">
        <f>SUM(C1872:C1898)</f>
        <v>0</v>
      </c>
      <c r="D1899" s="159">
        <f t="shared" ref="D1899:H1899" si="160">SUM(D1872:D1898)</f>
        <v>19.5</v>
      </c>
      <c r="E1899" s="159">
        <f t="shared" si="160"/>
        <v>34.5</v>
      </c>
      <c r="F1899" s="159">
        <f t="shared" si="160"/>
        <v>0</v>
      </c>
      <c r="G1899" s="159">
        <f t="shared" si="160"/>
        <v>35</v>
      </c>
      <c r="H1899" s="159">
        <f t="shared" si="160"/>
        <v>0</v>
      </c>
      <c r="I1899" s="159">
        <f>SUM(I1872:I1898)</f>
        <v>89</v>
      </c>
    </row>
    <row r="1901" spans="1:9" ht="15.75" x14ac:dyDescent="0.25">
      <c r="B1901" s="8" t="s">
        <v>4830</v>
      </c>
      <c r="C1901" s="159"/>
      <c r="D1901" s="159"/>
      <c r="E1901" s="159"/>
      <c r="F1901" s="159"/>
      <c r="G1901" s="159"/>
      <c r="H1901" s="159"/>
      <c r="I1901" s="159">
        <f>SUM(C1901:H1901)</f>
        <v>0</v>
      </c>
    </row>
    <row r="1902" spans="1:9" x14ac:dyDescent="0.25">
      <c r="B1902" s="167"/>
    </row>
    <row r="1903" spans="1:9" ht="15.75" x14ac:dyDescent="0.25">
      <c r="B1903" s="8" t="s">
        <v>4831</v>
      </c>
      <c r="C1903" s="9" t="e">
        <f>C1899/C1901</f>
        <v>#DIV/0!</v>
      </c>
      <c r="D1903" s="9" t="e">
        <f t="shared" ref="D1903:H1903" si="161">D1899/D1901</f>
        <v>#DIV/0!</v>
      </c>
      <c r="E1903" s="9" t="e">
        <f t="shared" si="161"/>
        <v>#DIV/0!</v>
      </c>
      <c r="F1903" s="9" t="e">
        <f t="shared" si="161"/>
        <v>#DIV/0!</v>
      </c>
      <c r="G1903" s="9" t="e">
        <f t="shared" si="161"/>
        <v>#DIV/0!</v>
      </c>
      <c r="H1903" s="9" t="e">
        <f t="shared" si="161"/>
        <v>#DIV/0!</v>
      </c>
      <c r="I1903" s="9"/>
    </row>
    <row r="1904" spans="1:9" ht="15.75" x14ac:dyDescent="0.25">
      <c r="B1904" s="163"/>
      <c r="C1904" s="10"/>
      <c r="D1904" s="10"/>
      <c r="E1904" s="10"/>
      <c r="F1904" s="10"/>
      <c r="G1904" s="10"/>
      <c r="H1904" s="163"/>
      <c r="I1904" s="163"/>
    </row>
    <row r="1905" spans="1:9" ht="15.75" x14ac:dyDescent="0.25">
      <c r="B1905" s="8" t="s">
        <v>4832</v>
      </c>
      <c r="C1905" s="159"/>
      <c r="D1905" s="159"/>
      <c r="E1905" s="6"/>
      <c r="F1905" s="6"/>
      <c r="G1905" s="6"/>
      <c r="H1905" s="6"/>
      <c r="I1905" s="11"/>
    </row>
    <row r="1907" spans="1:9" ht="33.75" x14ac:dyDescent="0.25">
      <c r="B1907" s="187" t="s">
        <v>4842</v>
      </c>
      <c r="C1907" s="188"/>
      <c r="D1907" s="188"/>
      <c r="E1907" s="188"/>
      <c r="F1907" s="188"/>
      <c r="G1907" s="188"/>
      <c r="H1907" s="188"/>
      <c r="I1907" s="189"/>
    </row>
    <row r="1908" spans="1:9" ht="47.25" x14ac:dyDescent="0.25">
      <c r="A1908" s="155" t="s">
        <v>4819</v>
      </c>
      <c r="B1908" s="155" t="s">
        <v>4820</v>
      </c>
      <c r="C1908" s="4" t="s">
        <v>4821</v>
      </c>
      <c r="D1908" s="4" t="s">
        <v>4822</v>
      </c>
      <c r="E1908" s="88" t="s">
        <v>4823</v>
      </c>
      <c r="F1908" s="88" t="s">
        <v>4824</v>
      </c>
      <c r="G1908" s="88" t="s">
        <v>4825</v>
      </c>
      <c r="H1908" s="4" t="s">
        <v>4826</v>
      </c>
      <c r="I1908" s="29" t="s">
        <v>4827</v>
      </c>
    </row>
    <row r="1909" spans="1:9" ht="25.5" x14ac:dyDescent="0.25">
      <c r="A1909" s="156"/>
      <c r="B1909" s="156"/>
      <c r="C1909" s="13" t="s">
        <v>4828</v>
      </c>
      <c r="D1909" s="13" t="s">
        <v>4828</v>
      </c>
      <c r="E1909" s="13" t="s">
        <v>4828</v>
      </c>
      <c r="F1909" s="13" t="s">
        <v>4828</v>
      </c>
      <c r="G1909" s="13" t="s">
        <v>4828</v>
      </c>
      <c r="H1909" s="13" t="s">
        <v>4828</v>
      </c>
      <c r="I1909" s="30"/>
    </row>
    <row r="1910" spans="1:9" ht="15.75" x14ac:dyDescent="0.25">
      <c r="A1910" s="23">
        <v>1547</v>
      </c>
      <c r="B1910" s="6" t="str">
        <f>CADASTROS!$C$1239</f>
        <v>Eudice Paixão Maia</v>
      </c>
      <c r="C1910" s="159"/>
      <c r="D1910" s="159"/>
      <c r="E1910" s="159"/>
      <c r="F1910" s="159"/>
      <c r="G1910" s="159"/>
      <c r="H1910" s="159"/>
      <c r="I1910" s="7">
        <f>SUM(C1910+D1910+E1910+F1910+G1910+H1910)</f>
        <v>0</v>
      </c>
    </row>
    <row r="1911" spans="1:9" ht="15.75" x14ac:dyDescent="0.25">
      <c r="A1911" s="23">
        <v>1548</v>
      </c>
      <c r="B1911" s="6" t="str">
        <f>CADASTROS!$C$1240</f>
        <v>Clenilda Oliveira dos Santos</v>
      </c>
      <c r="C1911" s="159"/>
      <c r="D1911" s="159"/>
      <c r="E1911" s="159"/>
      <c r="F1911" s="159"/>
      <c r="G1911" s="159"/>
      <c r="H1911" s="159"/>
      <c r="I1911" s="7">
        <f>SUM(C1911+D1911+E1911+F1911+G1911+H1911)</f>
        <v>0</v>
      </c>
    </row>
    <row r="1912" spans="1:9" ht="15.75" x14ac:dyDescent="0.25">
      <c r="A1912" s="23">
        <v>1549</v>
      </c>
      <c r="B1912" s="6" t="str">
        <f>CADASTROS!$C$1241</f>
        <v>Luzinete Lima A. Santos</v>
      </c>
      <c r="C1912" s="159">
        <v>22</v>
      </c>
      <c r="D1912" s="159">
        <v>12</v>
      </c>
      <c r="E1912" s="159">
        <v>21</v>
      </c>
      <c r="F1912" s="159"/>
      <c r="G1912" s="159">
        <v>33.5</v>
      </c>
      <c r="H1912" s="159">
        <v>27.5</v>
      </c>
      <c r="I1912" s="7">
        <f t="shared" ref="I1912:I1936" si="162">SUM(C1912+D1912+E1912+F1912+G1912+H1912)</f>
        <v>116</v>
      </c>
    </row>
    <row r="1913" spans="1:9" ht="15.75" x14ac:dyDescent="0.25">
      <c r="A1913" s="23">
        <v>1550</v>
      </c>
      <c r="B1913" s="6" t="str">
        <f>CADASTROS!$C$1242</f>
        <v>Lucilene Maria de Oliveira</v>
      </c>
      <c r="C1913" s="159"/>
      <c r="D1913" s="159">
        <v>12.5</v>
      </c>
      <c r="E1913" s="159">
        <v>12</v>
      </c>
      <c r="F1913" s="159"/>
      <c r="G1913" s="159"/>
      <c r="H1913" s="159"/>
      <c r="I1913" s="7">
        <f t="shared" si="162"/>
        <v>24.5</v>
      </c>
    </row>
    <row r="1914" spans="1:9" ht="15.75" x14ac:dyDescent="0.25">
      <c r="A1914" s="23">
        <v>1551</v>
      </c>
      <c r="B1914" s="6" t="str">
        <f>CADASTROS!$C$1243</f>
        <v>Rosivania Madalena de Souza</v>
      </c>
      <c r="C1914" s="159"/>
      <c r="D1914" s="159"/>
      <c r="E1914" s="159"/>
      <c r="F1914" s="159"/>
      <c r="G1914" s="159"/>
      <c r="H1914" s="159"/>
      <c r="I1914" s="7">
        <f t="shared" si="162"/>
        <v>0</v>
      </c>
    </row>
    <row r="1915" spans="1:9" ht="15.75" x14ac:dyDescent="0.25">
      <c r="A1915" s="23">
        <v>1552</v>
      </c>
      <c r="B1915" s="6" t="str">
        <f>CADASTROS!$C$1244</f>
        <v>Tamires Lima de Jesus</v>
      </c>
      <c r="C1915" s="159"/>
      <c r="D1915" s="159"/>
      <c r="E1915" s="159"/>
      <c r="F1915" s="159"/>
      <c r="G1915" s="159"/>
      <c r="H1915" s="159"/>
      <c r="I1915" s="7">
        <f t="shared" si="162"/>
        <v>0</v>
      </c>
    </row>
    <row r="1916" spans="1:9" ht="15.75" x14ac:dyDescent="0.25">
      <c r="A1916" s="23">
        <v>1553</v>
      </c>
      <c r="B1916" s="6" t="str">
        <f>CADASTROS!$C$1245</f>
        <v>Leonice de Jesus Monteiro</v>
      </c>
      <c r="C1916" s="159"/>
      <c r="D1916" s="159"/>
      <c r="E1916" s="159"/>
      <c r="F1916" s="159"/>
      <c r="G1916" s="159"/>
      <c r="H1916" s="159"/>
      <c r="I1916" s="7">
        <f t="shared" si="162"/>
        <v>0</v>
      </c>
    </row>
    <row r="1917" spans="1:9" ht="15.75" x14ac:dyDescent="0.25">
      <c r="A1917" s="23">
        <v>1554</v>
      </c>
      <c r="B1917" s="6" t="str">
        <f>CADASTROS!$C$1246</f>
        <v>Raimunda Madalena de Souza</v>
      </c>
      <c r="C1917" s="159"/>
      <c r="D1917" s="159"/>
      <c r="E1917" s="159"/>
      <c r="F1917" s="159"/>
      <c r="G1917" s="159"/>
      <c r="H1917" s="159"/>
      <c r="I1917" s="7">
        <f t="shared" si="162"/>
        <v>0</v>
      </c>
    </row>
    <row r="1918" spans="1:9" ht="15.75" x14ac:dyDescent="0.25">
      <c r="A1918" s="23">
        <v>1555</v>
      </c>
      <c r="B1918" s="6" t="str">
        <f>CADASTROS!$C$1247</f>
        <v>Betania Maria de Jesus</v>
      </c>
      <c r="C1918" s="159">
        <v>16.5</v>
      </c>
      <c r="D1918" s="159">
        <v>15</v>
      </c>
      <c r="E1918" s="159">
        <v>18</v>
      </c>
      <c r="F1918" s="159"/>
      <c r="G1918" s="159"/>
      <c r="H1918" s="159"/>
      <c r="I1918" s="7">
        <f t="shared" si="162"/>
        <v>49.5</v>
      </c>
    </row>
    <row r="1919" spans="1:9" ht="15.75" x14ac:dyDescent="0.25">
      <c r="A1919" s="23">
        <v>1556</v>
      </c>
      <c r="B1919" s="6" t="str">
        <f>CADASTROS!$C$1248</f>
        <v>Eliana Rosa de Souza</v>
      </c>
      <c r="C1919" s="159"/>
      <c r="D1919" s="159"/>
      <c r="E1919" s="159"/>
      <c r="F1919" s="159"/>
      <c r="G1919" s="159">
        <v>16</v>
      </c>
      <c r="H1919" s="159">
        <v>12.5</v>
      </c>
      <c r="I1919" s="7">
        <f t="shared" si="162"/>
        <v>28.5</v>
      </c>
    </row>
    <row r="1920" spans="1:9" ht="15.75" x14ac:dyDescent="0.25">
      <c r="A1920" s="23">
        <v>1557</v>
      </c>
      <c r="B1920" s="6" t="str">
        <f>CADASTROS!$C$1249</f>
        <v>Elenir M. dos Anjos</v>
      </c>
      <c r="C1920" s="159"/>
      <c r="D1920" s="159">
        <v>36.5</v>
      </c>
      <c r="E1920" s="159"/>
      <c r="F1920" s="159"/>
      <c r="G1920" s="159">
        <v>16</v>
      </c>
      <c r="H1920" s="159">
        <v>11.5</v>
      </c>
      <c r="I1920" s="7">
        <f t="shared" si="162"/>
        <v>64</v>
      </c>
    </row>
    <row r="1921" spans="1:9" ht="15.75" x14ac:dyDescent="0.25">
      <c r="A1921" s="23">
        <v>1558</v>
      </c>
      <c r="B1921" s="6" t="str">
        <f>CADASTROS!$C$1250</f>
        <v>Isabel Lima da Silva Santos</v>
      </c>
      <c r="C1921" s="159"/>
      <c r="D1921" s="159">
        <v>26</v>
      </c>
      <c r="E1921" s="159">
        <v>31</v>
      </c>
      <c r="F1921" s="159"/>
      <c r="G1921" s="159"/>
      <c r="H1921" s="159"/>
      <c r="I1921" s="7">
        <f t="shared" si="162"/>
        <v>57</v>
      </c>
    </row>
    <row r="1922" spans="1:9" ht="15.75" x14ac:dyDescent="0.25">
      <c r="A1922" s="23">
        <v>1559</v>
      </c>
      <c r="B1922" s="6" t="str">
        <f>CADASTROS!$C$1251</f>
        <v>Jeferson Anjos Oliveira</v>
      </c>
      <c r="C1922" s="159"/>
      <c r="D1922" s="159"/>
      <c r="E1922" s="159"/>
      <c r="F1922" s="159"/>
      <c r="G1922" s="159"/>
      <c r="H1922" s="159"/>
      <c r="I1922" s="7">
        <f t="shared" si="162"/>
        <v>0</v>
      </c>
    </row>
    <row r="1923" spans="1:9" ht="15.75" x14ac:dyDescent="0.25">
      <c r="A1923" s="23">
        <v>1560</v>
      </c>
      <c r="B1923" s="6" t="str">
        <f>CADASTROS!$C$1252</f>
        <v>João Carlos N. Gomes</v>
      </c>
      <c r="C1923" s="159"/>
      <c r="D1923" s="159"/>
      <c r="E1923" s="159"/>
      <c r="F1923" s="159"/>
      <c r="G1923" s="159"/>
      <c r="H1923" s="159"/>
      <c r="I1923" s="7">
        <f t="shared" si="162"/>
        <v>0</v>
      </c>
    </row>
    <row r="1924" spans="1:9" ht="15.75" x14ac:dyDescent="0.25">
      <c r="A1924" s="23">
        <v>1561</v>
      </c>
      <c r="B1924" s="6" t="str">
        <f>CADASTROS!$C$1253</f>
        <v>Paulo Pereira dos Santos</v>
      </c>
      <c r="C1924" s="159">
        <v>27</v>
      </c>
      <c r="D1924" s="159">
        <v>20</v>
      </c>
      <c r="E1924" s="159">
        <v>18</v>
      </c>
      <c r="F1924" s="159"/>
      <c r="G1924" s="159">
        <v>22</v>
      </c>
      <c r="H1924" s="159">
        <v>14</v>
      </c>
      <c r="I1924" s="7">
        <f t="shared" si="162"/>
        <v>101</v>
      </c>
    </row>
    <row r="1925" spans="1:9" ht="15.75" x14ac:dyDescent="0.25">
      <c r="A1925" s="23">
        <v>1562</v>
      </c>
      <c r="B1925" s="6" t="str">
        <f>CADASTROS!$C$1254</f>
        <v>Maria Celes Ferreira Souza</v>
      </c>
      <c r="C1925" s="159"/>
      <c r="D1925" s="159"/>
      <c r="E1925" s="159"/>
      <c r="F1925" s="159"/>
      <c r="G1925" s="159"/>
      <c r="H1925" s="159"/>
      <c r="I1925" s="7">
        <f t="shared" si="162"/>
        <v>0</v>
      </c>
    </row>
    <row r="1926" spans="1:9" ht="15.75" x14ac:dyDescent="0.25">
      <c r="A1926" s="23">
        <v>1563</v>
      </c>
      <c r="B1926" s="6" t="str">
        <f>CADASTROS!$C$1255</f>
        <v>Carlisson dos R Mangab</v>
      </c>
      <c r="C1926" s="159"/>
      <c r="D1926" s="159"/>
      <c r="E1926" s="159"/>
      <c r="F1926" s="159"/>
      <c r="G1926" s="159"/>
      <c r="H1926" s="159"/>
      <c r="I1926" s="7">
        <f t="shared" si="162"/>
        <v>0</v>
      </c>
    </row>
    <row r="1927" spans="1:9" ht="15.75" x14ac:dyDescent="0.25">
      <c r="A1927" s="23">
        <v>1564</v>
      </c>
      <c r="B1927" s="6" t="str">
        <f>CADASTROS!$C$1256</f>
        <v>Roberio Ivan de Oliveira</v>
      </c>
      <c r="C1927" s="159"/>
      <c r="D1927" s="159"/>
      <c r="E1927" s="159"/>
      <c r="F1927" s="159"/>
      <c r="G1927" s="159"/>
      <c r="H1927" s="159"/>
      <c r="I1927" s="7">
        <f t="shared" si="162"/>
        <v>0</v>
      </c>
    </row>
    <row r="1928" spans="1:9" ht="15.75" x14ac:dyDescent="0.25">
      <c r="A1928" s="23">
        <v>1565</v>
      </c>
      <c r="B1928" s="6" t="str">
        <f>CADASTROS!$C$1257</f>
        <v>Sandra Euzébia dos Anjos</v>
      </c>
      <c r="C1928" s="159"/>
      <c r="D1928" s="159"/>
      <c r="E1928" s="159"/>
      <c r="F1928" s="159"/>
      <c r="G1928" s="159"/>
      <c r="H1928" s="159"/>
      <c r="I1928" s="7">
        <f t="shared" si="162"/>
        <v>0</v>
      </c>
    </row>
    <row r="1929" spans="1:9" ht="15.75" x14ac:dyDescent="0.25">
      <c r="A1929" s="23">
        <v>1566</v>
      </c>
      <c r="B1929" s="6" t="str">
        <f>CADASTROS!$C$1258</f>
        <v>Girleide Santana</v>
      </c>
      <c r="C1929" s="159"/>
      <c r="D1929" s="159"/>
      <c r="E1929" s="159"/>
      <c r="F1929" s="159"/>
      <c r="G1929" s="159">
        <v>32.5</v>
      </c>
      <c r="H1929" s="159"/>
      <c r="I1929" s="7">
        <f t="shared" si="162"/>
        <v>32.5</v>
      </c>
    </row>
    <row r="1930" spans="1:9" ht="15.75" x14ac:dyDescent="0.25">
      <c r="A1930" s="23">
        <v>1567</v>
      </c>
      <c r="B1930" s="6" t="str">
        <f>CADASTROS!$C$1259</f>
        <v>Cleber de Jesus Oliveira</v>
      </c>
      <c r="C1930" s="159"/>
      <c r="D1930" s="159">
        <v>19</v>
      </c>
      <c r="E1930" s="159">
        <v>17</v>
      </c>
      <c r="F1930" s="159"/>
      <c r="G1930" s="159"/>
      <c r="H1930" s="159"/>
      <c r="I1930" s="7">
        <f t="shared" si="162"/>
        <v>36</v>
      </c>
    </row>
    <row r="1931" spans="1:9" ht="15.75" x14ac:dyDescent="0.25">
      <c r="A1931" s="23">
        <v>1568</v>
      </c>
      <c r="B1931" s="6" t="str">
        <f>CADASTROS!$C$1260</f>
        <v>Elisangela Maria de Souza</v>
      </c>
      <c r="C1931" s="159">
        <v>16</v>
      </c>
      <c r="D1931" s="159">
        <v>14</v>
      </c>
      <c r="E1931" s="159">
        <v>11.5</v>
      </c>
      <c r="F1931" s="159"/>
      <c r="G1931" s="159">
        <v>23.5</v>
      </c>
      <c r="H1931" s="159">
        <v>14</v>
      </c>
      <c r="I1931" s="7">
        <f t="shared" si="162"/>
        <v>79</v>
      </c>
    </row>
    <row r="1932" spans="1:9" ht="15.75" x14ac:dyDescent="0.25">
      <c r="A1932" s="23">
        <v>1569</v>
      </c>
      <c r="B1932" s="6" t="str">
        <f>CADASTROS!$C$1261</f>
        <v>Miralva de Jesus Batista</v>
      </c>
      <c r="C1932" s="159"/>
      <c r="D1932" s="159"/>
      <c r="E1932" s="159"/>
      <c r="F1932" s="159"/>
      <c r="G1932" s="159"/>
      <c r="H1932" s="159"/>
      <c r="I1932" s="7">
        <f t="shared" si="162"/>
        <v>0</v>
      </c>
    </row>
    <row r="1933" spans="1:9" ht="15.75" x14ac:dyDescent="0.25">
      <c r="A1933" s="23">
        <v>1570</v>
      </c>
      <c r="B1933" s="6" t="str">
        <f>CADASTROS!$C$1262</f>
        <v>Joelma da Silva Pereira</v>
      </c>
      <c r="C1933" s="159"/>
      <c r="D1933" s="159"/>
      <c r="E1933" s="159"/>
      <c r="F1933" s="159"/>
      <c r="G1933" s="159"/>
      <c r="H1933" s="159"/>
      <c r="I1933" s="7">
        <f t="shared" si="162"/>
        <v>0</v>
      </c>
    </row>
    <row r="1934" spans="1:9" ht="15.75" x14ac:dyDescent="0.25">
      <c r="A1934" s="23">
        <v>1571</v>
      </c>
      <c r="B1934" s="6" t="str">
        <f>CADASTROS!$C$1263</f>
        <v>Erivalda Pereira Brito</v>
      </c>
      <c r="C1934" s="159"/>
      <c r="D1934" s="159"/>
      <c r="E1934" s="159"/>
      <c r="F1934" s="159"/>
      <c r="G1934" s="159"/>
      <c r="H1934" s="159"/>
      <c r="I1934" s="7">
        <f t="shared" si="162"/>
        <v>0</v>
      </c>
    </row>
    <row r="1935" spans="1:9" ht="15.75" x14ac:dyDescent="0.25">
      <c r="A1935" s="23">
        <v>1572</v>
      </c>
      <c r="B1935" s="6" t="str">
        <f>CADASTROS!$C$1264</f>
        <v>Antônio Alves dos Santos</v>
      </c>
      <c r="C1935" s="159"/>
      <c r="D1935" s="159"/>
      <c r="E1935" s="159"/>
      <c r="F1935" s="159"/>
      <c r="G1935" s="159"/>
      <c r="H1935" s="159"/>
      <c r="I1935" s="7">
        <f t="shared" si="162"/>
        <v>0</v>
      </c>
    </row>
    <row r="1936" spans="1:9" ht="15.75" x14ac:dyDescent="0.25">
      <c r="A1936" s="23">
        <v>1573</v>
      </c>
      <c r="B1936" s="6" t="str">
        <f>CADASTROS!$C$1265</f>
        <v>Rubia Oliveira Santos</v>
      </c>
      <c r="C1936" s="159">
        <v>13.5</v>
      </c>
      <c r="D1936" s="159">
        <v>12</v>
      </c>
      <c r="E1936" s="159">
        <v>26</v>
      </c>
      <c r="F1936" s="159"/>
      <c r="G1936" s="159">
        <v>10</v>
      </c>
      <c r="H1936" s="159"/>
      <c r="I1936" s="7">
        <f t="shared" si="162"/>
        <v>61.5</v>
      </c>
    </row>
    <row r="1937" spans="1:9" ht="15.75" x14ac:dyDescent="0.25">
      <c r="B1937" s="159" t="s">
        <v>4829</v>
      </c>
      <c r="C1937" s="159">
        <f>SUM(C1910:C1936)</f>
        <v>95</v>
      </c>
      <c r="D1937" s="159">
        <f t="shared" ref="D1937:H1937" si="163">SUM(D1910:D1936)</f>
        <v>167</v>
      </c>
      <c r="E1937" s="159">
        <f t="shared" si="163"/>
        <v>154.5</v>
      </c>
      <c r="F1937" s="159">
        <f t="shared" si="163"/>
        <v>0</v>
      </c>
      <c r="G1937" s="159">
        <f t="shared" si="163"/>
        <v>153.5</v>
      </c>
      <c r="H1937" s="159">
        <f t="shared" si="163"/>
        <v>79.5</v>
      </c>
      <c r="I1937" s="159">
        <f>SUM(I1910:I1936)</f>
        <v>649.5</v>
      </c>
    </row>
    <row r="1939" spans="1:9" ht="15.75" x14ac:dyDescent="0.25">
      <c r="B1939" s="8" t="s">
        <v>4830</v>
      </c>
      <c r="C1939" s="159"/>
      <c r="D1939" s="159"/>
      <c r="E1939" s="159"/>
      <c r="F1939" s="159"/>
      <c r="G1939" s="159"/>
      <c r="H1939" s="159"/>
      <c r="I1939" s="159">
        <f>SUM(C1939:H1939)</f>
        <v>0</v>
      </c>
    </row>
    <row r="1940" spans="1:9" x14ac:dyDescent="0.25">
      <c r="B1940" s="167"/>
    </row>
    <row r="1941" spans="1:9" ht="15.75" x14ac:dyDescent="0.25">
      <c r="B1941" s="8" t="s">
        <v>4831</v>
      </c>
      <c r="C1941" s="9" t="e">
        <f>C1937/C1939</f>
        <v>#DIV/0!</v>
      </c>
      <c r="D1941" s="9" t="e">
        <f t="shared" ref="D1941:H1941" si="164">D1937/D1939</f>
        <v>#DIV/0!</v>
      </c>
      <c r="E1941" s="9" t="e">
        <f t="shared" si="164"/>
        <v>#DIV/0!</v>
      </c>
      <c r="F1941" s="9" t="e">
        <f t="shared" si="164"/>
        <v>#DIV/0!</v>
      </c>
      <c r="G1941" s="9" t="e">
        <f t="shared" si="164"/>
        <v>#DIV/0!</v>
      </c>
      <c r="H1941" s="9" t="e">
        <f t="shared" si="164"/>
        <v>#DIV/0!</v>
      </c>
      <c r="I1941" s="9"/>
    </row>
    <row r="1942" spans="1:9" ht="15.75" x14ac:dyDescent="0.25">
      <c r="B1942" s="163"/>
      <c r="C1942" s="10"/>
      <c r="D1942" s="10"/>
      <c r="E1942" s="10"/>
      <c r="F1942" s="10"/>
      <c r="G1942" s="10"/>
      <c r="H1942" s="163"/>
      <c r="I1942" s="163"/>
    </row>
    <row r="1943" spans="1:9" ht="15.75" x14ac:dyDescent="0.25">
      <c r="B1943" s="8" t="s">
        <v>4832</v>
      </c>
      <c r="C1943" s="159"/>
      <c r="D1943" s="159"/>
      <c r="E1943" s="6"/>
      <c r="F1943" s="6"/>
      <c r="G1943" s="6"/>
      <c r="H1943" s="6"/>
      <c r="I1943" s="11"/>
    </row>
    <row r="1945" spans="1:9" ht="33.75" x14ac:dyDescent="0.25">
      <c r="B1945" s="187" t="s">
        <v>4842</v>
      </c>
      <c r="C1945" s="188"/>
      <c r="D1945" s="188"/>
      <c r="E1945" s="188"/>
      <c r="F1945" s="188"/>
      <c r="G1945" s="188"/>
      <c r="H1945" s="188"/>
      <c r="I1945" s="189"/>
    </row>
    <row r="1946" spans="1:9" ht="47.25" x14ac:dyDescent="0.25">
      <c r="A1946" s="155" t="s">
        <v>4819</v>
      </c>
      <c r="B1946" s="155" t="s">
        <v>4820</v>
      </c>
      <c r="C1946" s="4" t="s">
        <v>4821</v>
      </c>
      <c r="D1946" s="4" t="s">
        <v>4822</v>
      </c>
      <c r="E1946" s="88" t="s">
        <v>4823</v>
      </c>
      <c r="F1946" s="88" t="s">
        <v>4824</v>
      </c>
      <c r="G1946" s="88" t="s">
        <v>4825</v>
      </c>
      <c r="H1946" s="4" t="s">
        <v>4826</v>
      </c>
      <c r="I1946" s="29" t="s">
        <v>4827</v>
      </c>
    </row>
    <row r="1947" spans="1:9" ht="25.5" x14ac:dyDescent="0.25">
      <c r="A1947" s="156"/>
      <c r="B1947" s="156"/>
      <c r="C1947" s="13" t="s">
        <v>4828</v>
      </c>
      <c r="D1947" s="13" t="s">
        <v>4828</v>
      </c>
      <c r="E1947" s="13" t="s">
        <v>4828</v>
      </c>
      <c r="F1947" s="13" t="s">
        <v>4828</v>
      </c>
      <c r="G1947" s="13" t="s">
        <v>4828</v>
      </c>
      <c r="H1947" s="13" t="s">
        <v>4828</v>
      </c>
      <c r="I1947" s="30"/>
    </row>
    <row r="1948" spans="1:9" ht="15.75" x14ac:dyDescent="0.25">
      <c r="A1948" s="23">
        <v>1574</v>
      </c>
      <c r="B1948" s="6" t="str">
        <f>CADASTROS!$C$1266</f>
        <v>José Carlos Ferreira</v>
      </c>
      <c r="C1948" s="159"/>
      <c r="D1948" s="159"/>
      <c r="E1948" s="159"/>
      <c r="F1948" s="159"/>
      <c r="G1948" s="159"/>
      <c r="H1948" s="159"/>
      <c r="I1948" s="7">
        <f>SUM(C1948+D1948+E1948+F1948+G1948+H1948)</f>
        <v>0</v>
      </c>
    </row>
    <row r="1949" spans="1:9" ht="15.75" x14ac:dyDescent="0.25">
      <c r="A1949" s="23">
        <v>1575</v>
      </c>
      <c r="B1949" s="6" t="str">
        <f>CADASTROS!$C$1267</f>
        <v>Emerson Alves de Jesus</v>
      </c>
      <c r="C1949" s="159"/>
      <c r="D1949" s="159"/>
      <c r="E1949" s="159"/>
      <c r="F1949" s="159"/>
      <c r="G1949" s="159"/>
      <c r="H1949" s="159"/>
      <c r="I1949" s="7">
        <f>SUM(C1949+D1949+E1949+F1949+G1949+H1949)</f>
        <v>0</v>
      </c>
    </row>
    <row r="1950" spans="1:9" ht="15.75" x14ac:dyDescent="0.25">
      <c r="A1950" s="23">
        <v>1576</v>
      </c>
      <c r="B1950" s="6" t="str">
        <f>CADASTROS!$C$1268</f>
        <v>Mônica Viana Anjos</v>
      </c>
      <c r="C1950" s="159"/>
      <c r="D1950" s="159"/>
      <c r="E1950" s="159"/>
      <c r="F1950" s="159"/>
      <c r="G1950" s="159"/>
      <c r="H1950" s="159"/>
      <c r="I1950" s="7">
        <f t="shared" ref="I1950:I1974" si="165">SUM(C1950+D1950+E1950+F1950+G1950+H1950)</f>
        <v>0</v>
      </c>
    </row>
    <row r="1951" spans="1:9" ht="15.75" x14ac:dyDescent="0.25">
      <c r="A1951" s="23">
        <v>1577</v>
      </c>
      <c r="B1951" s="6" t="str">
        <f>CADASTROS!$C$1269</f>
        <v>Leandro de Andrade Souza</v>
      </c>
      <c r="C1951" s="159"/>
      <c r="D1951" s="159"/>
      <c r="E1951" s="159"/>
      <c r="F1951" s="159"/>
      <c r="G1951" s="159"/>
      <c r="H1951" s="159"/>
      <c r="I1951" s="7">
        <f t="shared" si="165"/>
        <v>0</v>
      </c>
    </row>
    <row r="1952" spans="1:9" ht="15.75" x14ac:dyDescent="0.25">
      <c r="A1952" s="23">
        <v>1578</v>
      </c>
      <c r="B1952" s="6" t="str">
        <f>CADASTROS!$C$1270</f>
        <v>Nilton Rodrigues Pires</v>
      </c>
      <c r="C1952" s="159">
        <v>14.5</v>
      </c>
      <c r="D1952" s="159">
        <v>15</v>
      </c>
      <c r="E1952" s="159">
        <v>15</v>
      </c>
      <c r="F1952" s="159"/>
      <c r="G1952" s="159">
        <v>12.5</v>
      </c>
      <c r="H1952" s="159"/>
      <c r="I1952" s="7">
        <f t="shared" si="165"/>
        <v>57</v>
      </c>
    </row>
    <row r="1953" spans="1:9" ht="15.75" x14ac:dyDescent="0.25">
      <c r="A1953" s="23">
        <v>1579</v>
      </c>
      <c r="B1953" s="6" t="str">
        <f>CADASTROS!$C$1271</f>
        <v>Joane Jesus dos Santos</v>
      </c>
      <c r="C1953" s="159"/>
      <c r="D1953" s="159"/>
      <c r="E1953" s="159"/>
      <c r="F1953" s="159"/>
      <c r="G1953" s="159"/>
      <c r="H1953" s="159"/>
      <c r="I1953" s="7">
        <f t="shared" si="165"/>
        <v>0</v>
      </c>
    </row>
    <row r="1954" spans="1:9" ht="15.75" x14ac:dyDescent="0.25">
      <c r="A1954" s="23">
        <v>1580</v>
      </c>
      <c r="B1954" s="6" t="str">
        <f>CADASTROS!$C$1272</f>
        <v>Romário Nascimento Santos</v>
      </c>
      <c r="C1954" s="159"/>
      <c r="D1954" s="159"/>
      <c r="E1954" s="159"/>
      <c r="F1954" s="159"/>
      <c r="G1954" s="159"/>
      <c r="H1954" s="159"/>
      <c r="I1954" s="7">
        <f t="shared" si="165"/>
        <v>0</v>
      </c>
    </row>
    <row r="1955" spans="1:9" ht="15.75" x14ac:dyDescent="0.25">
      <c r="A1955" s="23">
        <v>1581</v>
      </c>
      <c r="B1955" s="6" t="str">
        <f>CADASTROS!$C$1273</f>
        <v>Adão Xavier de Souza</v>
      </c>
      <c r="C1955" s="159"/>
      <c r="D1955" s="159">
        <v>30</v>
      </c>
      <c r="E1955" s="159">
        <v>15.5</v>
      </c>
      <c r="F1955" s="159"/>
      <c r="G1955" s="159"/>
      <c r="H1955" s="159"/>
      <c r="I1955" s="7">
        <f t="shared" si="165"/>
        <v>45.5</v>
      </c>
    </row>
    <row r="1956" spans="1:9" ht="15.75" x14ac:dyDescent="0.25">
      <c r="A1956" s="23">
        <v>1582</v>
      </c>
      <c r="B1956" s="6" t="str">
        <f>CADASTROS!$C$1274</f>
        <v>Erenilza de Jesus Oliveira</v>
      </c>
      <c r="C1956" s="159"/>
      <c r="D1956" s="159"/>
      <c r="E1956" s="159"/>
      <c r="F1956" s="159"/>
      <c r="G1956" s="159"/>
      <c r="H1956" s="159"/>
      <c r="I1956" s="7">
        <f t="shared" si="165"/>
        <v>0</v>
      </c>
    </row>
    <row r="1957" spans="1:9" ht="15.75" x14ac:dyDescent="0.25">
      <c r="A1957" s="23">
        <v>1583</v>
      </c>
      <c r="B1957" s="6" t="str">
        <f>CADASTROS!$C$1275</f>
        <v>Maria Amoza P. de Jesus</v>
      </c>
      <c r="C1957" s="159"/>
      <c r="D1957" s="159"/>
      <c r="E1957" s="159"/>
      <c r="F1957" s="159"/>
      <c r="G1957" s="159"/>
      <c r="H1957" s="159"/>
      <c r="I1957" s="7">
        <f t="shared" si="165"/>
        <v>0</v>
      </c>
    </row>
    <row r="1958" spans="1:9" ht="15.75" x14ac:dyDescent="0.25">
      <c r="A1958" s="23">
        <v>1584</v>
      </c>
      <c r="B1958" s="6" t="str">
        <f>CADASTROS!$C$1276</f>
        <v>Gildevan Mendes de Morais</v>
      </c>
      <c r="C1958" s="159"/>
      <c r="D1958" s="159"/>
      <c r="E1958" s="159"/>
      <c r="F1958" s="159"/>
      <c r="G1958" s="159"/>
      <c r="H1958" s="159"/>
      <c r="I1958" s="7">
        <f t="shared" si="165"/>
        <v>0</v>
      </c>
    </row>
    <row r="1959" spans="1:9" ht="15.75" x14ac:dyDescent="0.25">
      <c r="A1959" s="23">
        <v>1585</v>
      </c>
      <c r="B1959" s="6" t="str">
        <f>CADASTROS!$C$1277</f>
        <v>Alessandro S dos Santos</v>
      </c>
      <c r="C1959" s="159"/>
      <c r="D1959" s="159"/>
      <c r="E1959" s="159"/>
      <c r="F1959" s="159"/>
      <c r="G1959" s="159"/>
      <c r="H1959" s="159"/>
      <c r="I1959" s="7">
        <f t="shared" si="165"/>
        <v>0</v>
      </c>
    </row>
    <row r="1960" spans="1:9" ht="15.75" x14ac:dyDescent="0.25">
      <c r="A1960" s="23">
        <v>1586</v>
      </c>
      <c r="B1960" s="6" t="str">
        <f>CADASTROS!$C$1278</f>
        <v>Paulo Augusto de Souza</v>
      </c>
      <c r="C1960" s="159"/>
      <c r="D1960" s="159"/>
      <c r="E1960" s="159"/>
      <c r="F1960" s="159"/>
      <c r="G1960" s="159"/>
      <c r="H1960" s="159"/>
      <c r="I1960" s="7">
        <f t="shared" si="165"/>
        <v>0</v>
      </c>
    </row>
    <row r="1961" spans="1:9" ht="15.75" x14ac:dyDescent="0.25">
      <c r="A1961" s="23">
        <v>1587</v>
      </c>
      <c r="B1961" s="6" t="str">
        <f>CADASTROS!$C$1279</f>
        <v>Paulo Sérgio de Jesus Cruz</v>
      </c>
      <c r="C1961" s="159"/>
      <c r="D1961" s="159"/>
      <c r="E1961" s="159"/>
      <c r="F1961" s="159"/>
      <c r="G1961" s="159"/>
      <c r="H1961" s="159"/>
      <c r="I1961" s="7">
        <f t="shared" si="165"/>
        <v>0</v>
      </c>
    </row>
    <row r="1962" spans="1:9" ht="15.75" x14ac:dyDescent="0.25">
      <c r="A1962" s="23">
        <v>1588</v>
      </c>
      <c r="B1962" s="6" t="str">
        <f>CADASTROS!$C$1280</f>
        <v>Gilvania de Jesus Brito</v>
      </c>
      <c r="C1962" s="159"/>
      <c r="D1962" s="159"/>
      <c r="E1962" s="159"/>
      <c r="F1962" s="159"/>
      <c r="G1962" s="159"/>
      <c r="H1962" s="159"/>
      <c r="I1962" s="7">
        <f t="shared" si="165"/>
        <v>0</v>
      </c>
    </row>
    <row r="1963" spans="1:9" ht="15.75" x14ac:dyDescent="0.25">
      <c r="A1963" s="23">
        <v>1589</v>
      </c>
      <c r="B1963" s="6" t="str">
        <f>CADASTROS!$C$1281</f>
        <v>Sacha Bispo da Silva</v>
      </c>
      <c r="C1963" s="159"/>
      <c r="D1963" s="159"/>
      <c r="E1963" s="159"/>
      <c r="F1963" s="159"/>
      <c r="G1963" s="159"/>
      <c r="H1963" s="159"/>
      <c r="I1963" s="7">
        <f t="shared" si="165"/>
        <v>0</v>
      </c>
    </row>
    <row r="1964" spans="1:9" ht="15.75" x14ac:dyDescent="0.25">
      <c r="A1964" s="23">
        <v>1590</v>
      </c>
      <c r="B1964" s="6" t="str">
        <f>CADASTROS!$C$1282</f>
        <v>Marinalva F Evangelista</v>
      </c>
      <c r="C1964" s="159"/>
      <c r="D1964" s="159"/>
      <c r="E1964" s="159"/>
      <c r="F1964" s="159"/>
      <c r="G1964" s="159"/>
      <c r="H1964" s="159"/>
      <c r="I1964" s="7">
        <f t="shared" si="165"/>
        <v>0</v>
      </c>
    </row>
    <row r="1965" spans="1:9" ht="15.75" x14ac:dyDescent="0.25">
      <c r="A1965" s="23">
        <v>1591</v>
      </c>
      <c r="B1965" s="6" t="str">
        <f>CADASTROS!$C$1283</f>
        <v>Livia Ferreira Martins</v>
      </c>
      <c r="C1965" s="159"/>
      <c r="D1965" s="159"/>
      <c r="E1965" s="159"/>
      <c r="F1965" s="159"/>
      <c r="G1965" s="159"/>
      <c r="H1965" s="159"/>
      <c r="I1965" s="7">
        <f t="shared" si="165"/>
        <v>0</v>
      </c>
    </row>
    <row r="1966" spans="1:9" ht="15.75" x14ac:dyDescent="0.25">
      <c r="A1966" s="23">
        <v>1592</v>
      </c>
      <c r="B1966" s="6" t="str">
        <f>CADASTROS!$C$1284</f>
        <v>Morivaldo Oliveira Bispo</v>
      </c>
      <c r="C1966" s="159"/>
      <c r="D1966" s="159"/>
      <c r="E1966" s="159"/>
      <c r="F1966" s="159"/>
      <c r="G1966" s="159"/>
      <c r="H1966" s="159"/>
      <c r="I1966" s="7">
        <f t="shared" si="165"/>
        <v>0</v>
      </c>
    </row>
    <row r="1967" spans="1:9" ht="15.75" x14ac:dyDescent="0.25">
      <c r="A1967" s="23">
        <v>1593</v>
      </c>
      <c r="B1967" s="89" t="str">
        <f>CADASTROS!$C$1285</f>
        <v>Edineia Martins da Silva</v>
      </c>
      <c r="C1967" s="159"/>
      <c r="D1967" s="159"/>
      <c r="E1967" s="159"/>
      <c r="F1967" s="159"/>
      <c r="G1967" s="159"/>
      <c r="H1967" s="159"/>
      <c r="I1967" s="7">
        <f t="shared" si="165"/>
        <v>0</v>
      </c>
    </row>
    <row r="1968" spans="1:9" ht="15.75" x14ac:dyDescent="0.25">
      <c r="A1968" s="23">
        <v>1594</v>
      </c>
      <c r="B1968" s="89" t="str">
        <f>CADASTROS!$C$1286</f>
        <v>Danilo Teles Marciel</v>
      </c>
      <c r="C1968" s="159"/>
      <c r="D1968" s="159">
        <v>15.5</v>
      </c>
      <c r="E1968" s="159">
        <v>11.5</v>
      </c>
      <c r="F1968" s="159"/>
      <c r="G1968" s="159"/>
      <c r="H1968" s="159"/>
      <c r="I1968" s="7">
        <f t="shared" si="165"/>
        <v>27</v>
      </c>
    </row>
    <row r="1969" spans="1:9" ht="15.75" x14ac:dyDescent="0.25">
      <c r="A1969" s="23">
        <v>1595</v>
      </c>
      <c r="B1969" s="89" t="str">
        <f>CADASTROS!$C$1287</f>
        <v>Camila Santos Lima</v>
      </c>
      <c r="C1969" s="159"/>
      <c r="D1969" s="159"/>
      <c r="E1969" s="159"/>
      <c r="F1969" s="159"/>
      <c r="G1969" s="159"/>
      <c r="H1969" s="159"/>
      <c r="I1969" s="7">
        <f t="shared" si="165"/>
        <v>0</v>
      </c>
    </row>
    <row r="1970" spans="1:9" ht="15.75" x14ac:dyDescent="0.25">
      <c r="A1970" s="23">
        <v>1596</v>
      </c>
      <c r="B1970" s="89" t="str">
        <f>CADASTROS!$C$1288</f>
        <v>Silvania da Silva Santos</v>
      </c>
      <c r="C1970" s="159"/>
      <c r="D1970" s="159"/>
      <c r="E1970" s="159"/>
      <c r="F1970" s="159"/>
      <c r="G1970" s="159"/>
      <c r="H1970" s="159"/>
      <c r="I1970" s="7">
        <f t="shared" si="165"/>
        <v>0</v>
      </c>
    </row>
    <row r="1971" spans="1:9" ht="15.75" x14ac:dyDescent="0.25">
      <c r="A1971" s="23">
        <v>1597</v>
      </c>
      <c r="B1971" s="89" t="str">
        <f>CADASTROS!$C$1289</f>
        <v>Erionice Jesus da Silva</v>
      </c>
      <c r="C1971" s="159"/>
      <c r="D1971" s="159"/>
      <c r="E1971" s="159"/>
      <c r="F1971" s="159"/>
      <c r="G1971" s="159"/>
      <c r="H1971" s="159"/>
      <c r="I1971" s="7">
        <f t="shared" si="165"/>
        <v>0</v>
      </c>
    </row>
    <row r="1972" spans="1:9" ht="15.75" x14ac:dyDescent="0.25">
      <c r="A1972" s="23">
        <v>1598</v>
      </c>
      <c r="B1972" s="89" t="str">
        <f>CADASTROS!$C$1290</f>
        <v>Luzia Santos da Silva</v>
      </c>
      <c r="C1972" s="159"/>
      <c r="D1972" s="159"/>
      <c r="E1972" s="159"/>
      <c r="F1972" s="159"/>
      <c r="G1972" s="159"/>
      <c r="H1972" s="159"/>
      <c r="I1972" s="7">
        <f t="shared" si="165"/>
        <v>0</v>
      </c>
    </row>
    <row r="1973" spans="1:9" ht="15.75" x14ac:dyDescent="0.25">
      <c r="A1973" s="23">
        <v>1599</v>
      </c>
      <c r="B1973" s="89" t="str">
        <f>CADASTROS!$C$1291</f>
        <v>João Francisco da Silva</v>
      </c>
      <c r="C1973" s="159"/>
      <c r="D1973" s="159"/>
      <c r="E1973" s="159"/>
      <c r="F1973" s="159"/>
      <c r="G1973" s="159"/>
      <c r="H1973" s="159"/>
      <c r="I1973" s="7">
        <f t="shared" si="165"/>
        <v>0</v>
      </c>
    </row>
    <row r="1974" spans="1:9" ht="15.75" x14ac:dyDescent="0.25">
      <c r="A1974" s="23">
        <v>1600</v>
      </c>
      <c r="B1974" s="89" t="str">
        <f>CADASTROS!$C$1292</f>
        <v>Gilvandia Silva Alves</v>
      </c>
      <c r="C1974" s="159"/>
      <c r="D1974" s="159"/>
      <c r="E1974" s="159"/>
      <c r="F1974" s="159"/>
      <c r="G1974" s="159"/>
      <c r="H1974" s="159"/>
      <c r="I1974" s="7">
        <f t="shared" si="165"/>
        <v>0</v>
      </c>
    </row>
    <row r="1975" spans="1:9" ht="15.75" x14ac:dyDescent="0.25">
      <c r="B1975" s="159" t="s">
        <v>4829</v>
      </c>
      <c r="C1975" s="159">
        <f>SUM(C1948:C1974)</f>
        <v>14.5</v>
      </c>
      <c r="D1975" s="159">
        <f t="shared" ref="D1975:H1975" si="166">SUM(D1948:D1974)</f>
        <v>60.5</v>
      </c>
      <c r="E1975" s="159">
        <f t="shared" si="166"/>
        <v>42</v>
      </c>
      <c r="F1975" s="159">
        <f t="shared" si="166"/>
        <v>0</v>
      </c>
      <c r="G1975" s="159">
        <f t="shared" si="166"/>
        <v>12.5</v>
      </c>
      <c r="H1975" s="159">
        <f t="shared" si="166"/>
        <v>0</v>
      </c>
      <c r="I1975" s="159">
        <f>SUM(I1948:I1974)</f>
        <v>129.5</v>
      </c>
    </row>
    <row r="1977" spans="1:9" ht="15.75" x14ac:dyDescent="0.25">
      <c r="B1977" s="8" t="s">
        <v>4830</v>
      </c>
      <c r="C1977" s="159"/>
      <c r="D1977" s="159"/>
      <c r="E1977" s="159"/>
      <c r="F1977" s="159"/>
      <c r="G1977" s="159"/>
      <c r="H1977" s="159"/>
      <c r="I1977" s="159">
        <f>SUM(C1977:H1977)</f>
        <v>0</v>
      </c>
    </row>
    <row r="1978" spans="1:9" x14ac:dyDescent="0.25">
      <c r="B1978" s="167"/>
    </row>
    <row r="1979" spans="1:9" ht="15.75" x14ac:dyDescent="0.25">
      <c r="B1979" s="8" t="s">
        <v>4831</v>
      </c>
      <c r="C1979" s="9" t="e">
        <f>C1975/C1977</f>
        <v>#DIV/0!</v>
      </c>
      <c r="D1979" s="9" t="e">
        <f t="shared" ref="D1979:H1979" si="167">D1975/D1977</f>
        <v>#DIV/0!</v>
      </c>
      <c r="E1979" s="9" t="e">
        <f t="shared" si="167"/>
        <v>#DIV/0!</v>
      </c>
      <c r="F1979" s="9" t="e">
        <f t="shared" si="167"/>
        <v>#DIV/0!</v>
      </c>
      <c r="G1979" s="9" t="e">
        <f t="shared" si="167"/>
        <v>#DIV/0!</v>
      </c>
      <c r="H1979" s="9" t="e">
        <f t="shared" si="167"/>
        <v>#DIV/0!</v>
      </c>
      <c r="I1979" s="9"/>
    </row>
    <row r="1980" spans="1:9" ht="15.75" x14ac:dyDescent="0.25">
      <c r="B1980" s="163"/>
      <c r="C1980" s="10"/>
      <c r="D1980" s="10"/>
      <c r="E1980" s="10"/>
      <c r="F1980" s="10"/>
      <c r="G1980" s="10"/>
      <c r="H1980" s="163"/>
      <c r="I1980" s="163"/>
    </row>
    <row r="1981" spans="1:9" ht="15.75" x14ac:dyDescent="0.25">
      <c r="B1981" s="8" t="s">
        <v>4832</v>
      </c>
      <c r="C1981" s="159"/>
      <c r="D1981" s="159"/>
      <c r="E1981" s="6"/>
      <c r="F1981" s="6"/>
      <c r="G1981" s="6"/>
      <c r="H1981" s="6"/>
      <c r="I1981" s="11"/>
    </row>
    <row r="1983" spans="1:9" ht="33.75" x14ac:dyDescent="0.25">
      <c r="B1983" s="187" t="s">
        <v>4842</v>
      </c>
      <c r="C1983" s="188"/>
      <c r="D1983" s="188"/>
      <c r="E1983" s="188"/>
      <c r="F1983" s="188"/>
      <c r="G1983" s="188"/>
      <c r="H1983" s="188"/>
      <c r="I1983" s="189"/>
    </row>
    <row r="1984" spans="1:9" ht="47.25" x14ac:dyDescent="0.25">
      <c r="A1984" s="155" t="s">
        <v>4819</v>
      </c>
      <c r="B1984" s="155" t="s">
        <v>4820</v>
      </c>
      <c r="C1984" s="4" t="s">
        <v>4821</v>
      </c>
      <c r="D1984" s="4" t="s">
        <v>4822</v>
      </c>
      <c r="E1984" s="88" t="s">
        <v>4823</v>
      </c>
      <c r="F1984" s="88" t="s">
        <v>4824</v>
      </c>
      <c r="G1984" s="88" t="s">
        <v>4825</v>
      </c>
      <c r="H1984" s="4" t="s">
        <v>4826</v>
      </c>
      <c r="I1984" s="190" t="s">
        <v>4827</v>
      </c>
    </row>
    <row r="1985" spans="1:15" ht="25.5" x14ac:dyDescent="0.25">
      <c r="A1985" s="156"/>
      <c r="B1985" s="156"/>
      <c r="C1985" s="13" t="s">
        <v>4828</v>
      </c>
      <c r="D1985" s="13" t="s">
        <v>4828</v>
      </c>
      <c r="E1985" s="13" t="s">
        <v>4828</v>
      </c>
      <c r="F1985" s="13" t="s">
        <v>4828</v>
      </c>
      <c r="G1985" s="13" t="s">
        <v>4828</v>
      </c>
      <c r="H1985" s="13" t="s">
        <v>4828</v>
      </c>
      <c r="I1985" s="191"/>
      <c r="J1985" s="93"/>
      <c r="K1985" s="93"/>
      <c r="L1985" s="94"/>
      <c r="M1985" s="94"/>
      <c r="N1985" s="93"/>
      <c r="O1985" s="93"/>
    </row>
    <row r="1986" spans="1:15" ht="15.75" x14ac:dyDescent="0.25">
      <c r="A1986" s="23">
        <v>1601</v>
      </c>
      <c r="B1986" s="89" t="str">
        <f>CADASTROS!$C$1293</f>
        <v>Gilson da Silva Pereira</v>
      </c>
      <c r="C1986" s="159"/>
      <c r="D1986" s="159"/>
      <c r="E1986" s="159"/>
      <c r="F1986" s="159"/>
      <c r="G1986" s="159"/>
      <c r="H1986" s="159"/>
      <c r="I1986" s="7">
        <f>SUM(C1986+D1986+E1986+F1986+G1986+H1986)</f>
        <v>0</v>
      </c>
    </row>
    <row r="1987" spans="1:15" ht="15.75" x14ac:dyDescent="0.25">
      <c r="A1987" s="23">
        <v>1602</v>
      </c>
      <c r="B1987" s="89" t="str">
        <f>CADASTROS!$C$1294</f>
        <v>Reinilson Oliveira Souza</v>
      </c>
      <c r="C1987" s="159"/>
      <c r="D1987" s="159"/>
      <c r="E1987" s="159"/>
      <c r="F1987" s="159"/>
      <c r="G1987" s="159"/>
      <c r="H1987" s="159"/>
      <c r="I1987" s="7">
        <f>SUM(C1987+D1987+E1987+F1987+G1987+H1987)</f>
        <v>0</v>
      </c>
    </row>
    <row r="1988" spans="1:15" ht="15.75" x14ac:dyDescent="0.25">
      <c r="A1988" s="23">
        <v>1603</v>
      </c>
      <c r="B1988" s="89" t="str">
        <f>CADASTROS!$C$1295</f>
        <v>Isaque Rosa de Souza</v>
      </c>
      <c r="C1988" s="159"/>
      <c r="D1988" s="159"/>
      <c r="E1988" s="159"/>
      <c r="F1988" s="159"/>
      <c r="G1988" s="159"/>
      <c r="H1988" s="159"/>
      <c r="I1988" s="7">
        <f t="shared" ref="I1988:I2012" si="168">SUM(C1988+D1988+E1988+F1988+G1988+H1988)</f>
        <v>0</v>
      </c>
    </row>
    <row r="1989" spans="1:15" ht="15.75" x14ac:dyDescent="0.25">
      <c r="A1989" s="23">
        <v>1604</v>
      </c>
      <c r="B1989" s="89" t="str">
        <f>CADASTROS!$C$1296</f>
        <v>Marlene Gaspar de Souza</v>
      </c>
      <c r="C1989" s="159">
        <v>10.5</v>
      </c>
      <c r="D1989" s="159"/>
      <c r="E1989" s="159">
        <v>14.5</v>
      </c>
      <c r="F1989" s="159"/>
      <c r="G1989" s="159">
        <v>11.5</v>
      </c>
      <c r="H1989" s="159"/>
      <c r="I1989" s="7">
        <f t="shared" si="168"/>
        <v>36.5</v>
      </c>
    </row>
    <row r="1990" spans="1:15" ht="15.75" x14ac:dyDescent="0.25">
      <c r="A1990" s="23">
        <v>1605</v>
      </c>
      <c r="B1990" s="89" t="str">
        <f>CADASTROS!$C$1297</f>
        <v>Clesia Souza Santos</v>
      </c>
      <c r="C1990" s="159"/>
      <c r="D1990" s="159"/>
      <c r="E1990" s="159"/>
      <c r="F1990" s="159"/>
      <c r="G1990" s="159"/>
      <c r="H1990" s="159"/>
      <c r="I1990" s="7">
        <f t="shared" si="168"/>
        <v>0</v>
      </c>
    </row>
    <row r="1991" spans="1:15" ht="15.75" x14ac:dyDescent="0.25">
      <c r="A1991" s="23">
        <v>1606</v>
      </c>
      <c r="B1991" s="89" t="str">
        <f>CADASTROS!$C$1298</f>
        <v>Narina Santana Machado</v>
      </c>
      <c r="C1991" s="159"/>
      <c r="D1991" s="159"/>
      <c r="E1991" s="159"/>
      <c r="F1991" s="159"/>
      <c r="G1991" s="159"/>
      <c r="H1991" s="159"/>
      <c r="I1991" s="7">
        <f t="shared" si="168"/>
        <v>0</v>
      </c>
    </row>
    <row r="1992" spans="1:15" ht="15.75" x14ac:dyDescent="0.25">
      <c r="A1992" s="23">
        <v>1607</v>
      </c>
      <c r="B1992" s="89" t="str">
        <f>CADASTROS!$C$1299</f>
        <v>Cleide Silva Santos</v>
      </c>
      <c r="C1992" s="159"/>
      <c r="D1992" s="159"/>
      <c r="E1992" s="159"/>
      <c r="F1992" s="159"/>
      <c r="G1992" s="159"/>
      <c r="H1992" s="159"/>
      <c r="I1992" s="7">
        <f t="shared" si="168"/>
        <v>0</v>
      </c>
    </row>
    <row r="1993" spans="1:15" ht="15.75" x14ac:dyDescent="0.25">
      <c r="A1993" s="23">
        <v>1608</v>
      </c>
      <c r="B1993" s="89" t="str">
        <f>CADASTROS!$C$1300</f>
        <v>José Carlos Araújo Gomes</v>
      </c>
      <c r="C1993" s="159"/>
      <c r="D1993" s="159"/>
      <c r="E1993" s="159"/>
      <c r="F1993" s="159"/>
      <c r="G1993" s="159"/>
      <c r="H1993" s="159"/>
      <c r="I1993" s="7">
        <f t="shared" si="168"/>
        <v>0</v>
      </c>
    </row>
    <row r="1994" spans="1:15" ht="15.75" x14ac:dyDescent="0.25">
      <c r="A1994" s="23">
        <v>1609</v>
      </c>
      <c r="B1994" s="89" t="str">
        <f>CADASTROS!$C$1301</f>
        <v>Paulo Ricardo J. Santos</v>
      </c>
      <c r="C1994" s="159"/>
      <c r="D1994" s="159"/>
      <c r="E1994" s="159"/>
      <c r="F1994" s="159"/>
      <c r="G1994" s="159"/>
      <c r="H1994" s="159"/>
      <c r="I1994" s="7">
        <f t="shared" si="168"/>
        <v>0</v>
      </c>
    </row>
    <row r="1995" spans="1:15" ht="15.75" x14ac:dyDescent="0.25">
      <c r="A1995" s="23">
        <v>1610</v>
      </c>
      <c r="B1995" s="89" t="str">
        <f>CADASTROS!$C$1302</f>
        <v>Tamires Pereira de Souza</v>
      </c>
      <c r="C1995" s="159"/>
      <c r="D1995" s="159"/>
      <c r="E1995" s="159"/>
      <c r="F1995" s="159"/>
      <c r="G1995" s="159"/>
      <c r="H1995" s="159"/>
      <c r="I1995" s="7">
        <f t="shared" si="168"/>
        <v>0</v>
      </c>
    </row>
    <row r="1996" spans="1:15" ht="15.75" x14ac:dyDescent="0.25">
      <c r="A1996" s="23">
        <v>1611</v>
      </c>
      <c r="B1996" s="89" t="str">
        <f>CADASTROS!$C$1303</f>
        <v>Sandra Gonçalves Alves</v>
      </c>
      <c r="C1996" s="159"/>
      <c r="D1996" s="159"/>
      <c r="E1996" s="159"/>
      <c r="F1996" s="159"/>
      <c r="G1996" s="159">
        <v>11.5</v>
      </c>
      <c r="H1996" s="159"/>
      <c r="I1996" s="7">
        <f t="shared" si="168"/>
        <v>11.5</v>
      </c>
    </row>
    <row r="1997" spans="1:15" ht="15.75" x14ac:dyDescent="0.25">
      <c r="A1997" s="23">
        <v>1612</v>
      </c>
      <c r="B1997" s="89" t="str">
        <f>CADASTROS!$C$1304</f>
        <v>Robson de Souza Santos</v>
      </c>
      <c r="C1997" s="159"/>
      <c r="D1997" s="159"/>
      <c r="E1997" s="159"/>
      <c r="F1997" s="159"/>
      <c r="G1997" s="159"/>
      <c r="H1997" s="159"/>
      <c r="I1997" s="7">
        <f t="shared" si="168"/>
        <v>0</v>
      </c>
    </row>
    <row r="1998" spans="1:15" ht="15.75" x14ac:dyDescent="0.25">
      <c r="A1998" s="23">
        <v>1613</v>
      </c>
      <c r="B1998" s="89" t="str">
        <f>CADASTROS!$C$1305</f>
        <v>Sara Alves de Brito</v>
      </c>
      <c r="C1998" s="159"/>
      <c r="D1998" s="159"/>
      <c r="E1998" s="159"/>
      <c r="F1998" s="159"/>
      <c r="G1998" s="159"/>
      <c r="H1998" s="159"/>
      <c r="I1998" s="7">
        <f t="shared" si="168"/>
        <v>0</v>
      </c>
    </row>
    <row r="1999" spans="1:15" ht="15.75" x14ac:dyDescent="0.25">
      <c r="A1999" s="23">
        <v>1614</v>
      </c>
      <c r="B1999" s="89" t="str">
        <f>CADASTROS!$C$1306</f>
        <v>Romário A. Santos</v>
      </c>
      <c r="C1999" s="159"/>
      <c r="D1999" s="159"/>
      <c r="E1999" s="159"/>
      <c r="F1999" s="159"/>
      <c r="G1999" s="159"/>
      <c r="H1999" s="159"/>
      <c r="I1999" s="7">
        <f t="shared" si="168"/>
        <v>0</v>
      </c>
    </row>
    <row r="2000" spans="1:15" ht="15.75" x14ac:dyDescent="0.25">
      <c r="A2000" s="23">
        <v>1615</v>
      </c>
      <c r="B2000" s="89" t="str">
        <f>CADASTROS!$C$1307</f>
        <v>Raimunda O. Anjos</v>
      </c>
      <c r="C2000" s="159"/>
      <c r="D2000" s="159"/>
      <c r="E2000" s="159"/>
      <c r="F2000" s="159"/>
      <c r="G2000" s="159"/>
      <c r="H2000" s="159"/>
      <c r="I2000" s="7">
        <f t="shared" si="168"/>
        <v>0</v>
      </c>
    </row>
    <row r="2001" spans="1:9" ht="15.75" x14ac:dyDescent="0.25">
      <c r="A2001" s="23">
        <v>1616</v>
      </c>
      <c r="B2001" s="89" t="str">
        <f>CADASTROS!$C$1308</f>
        <v>Virlene Bispo Mercês</v>
      </c>
      <c r="C2001" s="159"/>
      <c r="D2001" s="159"/>
      <c r="E2001" s="159"/>
      <c r="F2001" s="159"/>
      <c r="G2001" s="159"/>
      <c r="H2001" s="159"/>
      <c r="I2001" s="7">
        <f t="shared" si="168"/>
        <v>0</v>
      </c>
    </row>
    <row r="2002" spans="1:9" ht="15.75" x14ac:dyDescent="0.25">
      <c r="A2002" s="23">
        <v>1617</v>
      </c>
      <c r="B2002" s="89" t="str">
        <f>CADASTROS!$C$1309</f>
        <v>Jilson Barbosa Oliveira</v>
      </c>
      <c r="C2002" s="159"/>
      <c r="D2002" s="159">
        <v>14</v>
      </c>
      <c r="E2002" s="159"/>
      <c r="F2002" s="159"/>
      <c r="G2002" s="159"/>
      <c r="H2002" s="159"/>
      <c r="I2002" s="7">
        <f t="shared" si="168"/>
        <v>14</v>
      </c>
    </row>
    <row r="2003" spans="1:9" ht="15.75" x14ac:dyDescent="0.25">
      <c r="A2003" s="23">
        <v>1618</v>
      </c>
      <c r="B2003" s="89" t="str">
        <f>CADASTROS!$C$1310</f>
        <v>Marinalva Gonçalves Silva</v>
      </c>
      <c r="C2003" s="159"/>
      <c r="D2003" s="159"/>
      <c r="E2003" s="159"/>
      <c r="F2003" s="159"/>
      <c r="G2003" s="159"/>
      <c r="H2003" s="159"/>
      <c r="I2003" s="7">
        <f t="shared" si="168"/>
        <v>0</v>
      </c>
    </row>
    <row r="2004" spans="1:9" ht="15.75" x14ac:dyDescent="0.25">
      <c r="A2004" s="23">
        <v>1619</v>
      </c>
      <c r="B2004" s="89" t="str">
        <f>CADASTROS!$C$1311</f>
        <v>Lourito Ferreira de Novais</v>
      </c>
      <c r="C2004" s="159"/>
      <c r="D2004" s="159"/>
      <c r="E2004" s="159"/>
      <c r="F2004" s="159"/>
      <c r="G2004" s="159"/>
      <c r="H2004" s="159"/>
      <c r="I2004" s="7">
        <f t="shared" si="168"/>
        <v>0</v>
      </c>
    </row>
    <row r="2005" spans="1:9" ht="15.75" x14ac:dyDescent="0.25">
      <c r="A2005" s="23">
        <v>1620</v>
      </c>
      <c r="B2005" s="89" t="str">
        <f>CADASTROS!$C$1312</f>
        <v>Vera Lúcia Francisca de Souza</v>
      </c>
      <c r="C2005" s="159"/>
      <c r="D2005" s="159"/>
      <c r="E2005" s="159"/>
      <c r="F2005" s="159"/>
      <c r="G2005" s="159"/>
      <c r="H2005" s="159"/>
      <c r="I2005" s="7">
        <f t="shared" si="168"/>
        <v>0</v>
      </c>
    </row>
    <row r="2006" spans="1:9" ht="15.75" x14ac:dyDescent="0.25">
      <c r="A2006" s="23">
        <v>1621</v>
      </c>
      <c r="B2006" s="89" t="str">
        <f>CADASTROS!$C$1313</f>
        <v>Tereza Emília de Novais</v>
      </c>
      <c r="C2006" s="159"/>
      <c r="D2006" s="159"/>
      <c r="E2006" s="159"/>
      <c r="F2006" s="159"/>
      <c r="G2006" s="159"/>
      <c r="H2006" s="159"/>
      <c r="I2006" s="7">
        <f t="shared" si="168"/>
        <v>0</v>
      </c>
    </row>
    <row r="2007" spans="1:9" ht="15.75" x14ac:dyDescent="0.25">
      <c r="A2007" s="23">
        <v>1622</v>
      </c>
      <c r="B2007" s="89" t="str">
        <f>CADASTROS!$C$1314</f>
        <v>Taciara Cruz Alves</v>
      </c>
      <c r="C2007" s="159"/>
      <c r="D2007" s="159"/>
      <c r="E2007" s="159"/>
      <c r="F2007" s="159"/>
      <c r="G2007" s="159"/>
      <c r="H2007" s="159"/>
      <c r="I2007" s="7">
        <f t="shared" si="168"/>
        <v>0</v>
      </c>
    </row>
    <row r="2008" spans="1:9" ht="15.75" x14ac:dyDescent="0.25">
      <c r="A2008" s="23">
        <v>1623</v>
      </c>
      <c r="B2008" s="89" t="str">
        <f>CADASTROS!$C$1315</f>
        <v>Edileuza Cordeiro Paula</v>
      </c>
      <c r="C2008" s="159"/>
      <c r="D2008" s="159"/>
      <c r="E2008" s="159"/>
      <c r="F2008" s="159"/>
      <c r="G2008" s="159"/>
      <c r="H2008" s="159"/>
      <c r="I2008" s="7">
        <f t="shared" si="168"/>
        <v>0</v>
      </c>
    </row>
    <row r="2009" spans="1:9" ht="15.75" x14ac:dyDescent="0.25">
      <c r="A2009" s="23">
        <v>1624</v>
      </c>
      <c r="B2009" s="89" t="str">
        <f>CADASTROS!$C$1316</f>
        <v>Tamires Dourado de Oliveira</v>
      </c>
      <c r="C2009" s="159"/>
      <c r="D2009" s="159"/>
      <c r="E2009" s="159"/>
      <c r="F2009" s="159"/>
      <c r="G2009" s="159"/>
      <c r="H2009" s="159"/>
      <c r="I2009" s="7">
        <f t="shared" si="168"/>
        <v>0</v>
      </c>
    </row>
    <row r="2010" spans="1:9" ht="15.75" x14ac:dyDescent="0.25">
      <c r="A2010" s="23">
        <v>1625</v>
      </c>
      <c r="B2010" s="89" t="str">
        <f>CADASTROS!$C$1317</f>
        <v>Simone Almeida Oliveira</v>
      </c>
      <c r="C2010" s="159"/>
      <c r="D2010" s="159"/>
      <c r="E2010" s="159"/>
      <c r="F2010" s="159"/>
      <c r="G2010" s="159"/>
      <c r="H2010" s="159"/>
      <c r="I2010" s="7">
        <f t="shared" si="168"/>
        <v>0</v>
      </c>
    </row>
    <row r="2011" spans="1:9" ht="15.75" x14ac:dyDescent="0.25">
      <c r="A2011" s="23">
        <v>1626</v>
      </c>
      <c r="B2011" s="89" t="str">
        <f>CADASTROS!$C$1318</f>
        <v>Claudio O. Ferreira</v>
      </c>
      <c r="C2011" s="159"/>
      <c r="D2011" s="159"/>
      <c r="E2011" s="159"/>
      <c r="F2011" s="159"/>
      <c r="G2011" s="159"/>
      <c r="H2011" s="159"/>
      <c r="I2011" s="7">
        <f t="shared" si="168"/>
        <v>0</v>
      </c>
    </row>
    <row r="2012" spans="1:9" ht="15.75" x14ac:dyDescent="0.25">
      <c r="A2012" s="23">
        <v>1627</v>
      </c>
      <c r="B2012" s="89" t="str">
        <f>CADASTROS!$C$1319</f>
        <v>Raimundo da Silva</v>
      </c>
      <c r="C2012" s="159">
        <v>18</v>
      </c>
      <c r="D2012" s="159">
        <v>15.5</v>
      </c>
      <c r="E2012" s="159">
        <v>13</v>
      </c>
      <c r="F2012" s="159"/>
      <c r="G2012" s="159">
        <v>22.5</v>
      </c>
      <c r="H2012" s="159">
        <v>20.5</v>
      </c>
      <c r="I2012" s="7">
        <f t="shared" si="168"/>
        <v>89.5</v>
      </c>
    </row>
    <row r="2013" spans="1:9" ht="15.75" x14ac:dyDescent="0.25">
      <c r="B2013" s="159" t="s">
        <v>4829</v>
      </c>
      <c r="C2013" s="159">
        <f>SUM(C1986:C2012)</f>
        <v>28.5</v>
      </c>
      <c r="D2013" s="159">
        <f t="shared" ref="D2013:H2013" si="169">SUM(D1986:D2012)</f>
        <v>29.5</v>
      </c>
      <c r="E2013" s="159">
        <f t="shared" si="169"/>
        <v>27.5</v>
      </c>
      <c r="F2013" s="159">
        <f t="shared" si="169"/>
        <v>0</v>
      </c>
      <c r="G2013" s="159">
        <f t="shared" si="169"/>
        <v>45.5</v>
      </c>
      <c r="H2013" s="159">
        <f t="shared" si="169"/>
        <v>20.5</v>
      </c>
      <c r="I2013" s="159">
        <f>SUM(I1986:I2012)</f>
        <v>151.5</v>
      </c>
    </row>
    <row r="2015" spans="1:9" ht="15.75" x14ac:dyDescent="0.25">
      <c r="B2015" s="8" t="s">
        <v>4830</v>
      </c>
      <c r="C2015" s="159"/>
      <c r="D2015" s="159"/>
      <c r="E2015" s="159"/>
      <c r="F2015" s="159"/>
      <c r="G2015" s="159"/>
      <c r="H2015" s="159"/>
      <c r="I2015" s="159">
        <f>SUM(C2015:H2015)</f>
        <v>0</v>
      </c>
    </row>
    <row r="2016" spans="1:9" x14ac:dyDescent="0.25">
      <c r="B2016" s="167"/>
    </row>
    <row r="2017" spans="1:9" ht="15.75" x14ac:dyDescent="0.25">
      <c r="B2017" s="8" t="s">
        <v>4831</v>
      </c>
      <c r="C2017" s="9" t="e">
        <f>C2013/C2015</f>
        <v>#DIV/0!</v>
      </c>
      <c r="D2017" s="9" t="e">
        <f t="shared" ref="D2017:H2017" si="170">D2013/D2015</f>
        <v>#DIV/0!</v>
      </c>
      <c r="E2017" s="9" t="e">
        <f t="shared" si="170"/>
        <v>#DIV/0!</v>
      </c>
      <c r="F2017" s="9" t="e">
        <f t="shared" si="170"/>
        <v>#DIV/0!</v>
      </c>
      <c r="G2017" s="9" t="e">
        <f t="shared" si="170"/>
        <v>#DIV/0!</v>
      </c>
      <c r="H2017" s="9" t="e">
        <f t="shared" si="170"/>
        <v>#DIV/0!</v>
      </c>
      <c r="I2017" s="9"/>
    </row>
    <row r="2018" spans="1:9" ht="15.75" x14ac:dyDescent="0.25">
      <c r="B2018" s="163"/>
      <c r="C2018" s="10"/>
      <c r="D2018" s="10"/>
      <c r="E2018" s="10"/>
      <c r="F2018" s="10"/>
      <c r="G2018" s="10"/>
      <c r="H2018" s="163"/>
      <c r="I2018" s="163"/>
    </row>
    <row r="2019" spans="1:9" ht="15.75" x14ac:dyDescent="0.25">
      <c r="B2019" s="8" t="s">
        <v>4832</v>
      </c>
      <c r="C2019" s="159"/>
      <c r="D2019" s="159"/>
      <c r="E2019" s="6"/>
      <c r="F2019" s="6"/>
      <c r="G2019" s="6"/>
      <c r="H2019" s="6"/>
      <c r="I2019" s="11"/>
    </row>
    <row r="2021" spans="1:9" ht="33" customHeight="1" x14ac:dyDescent="0.25">
      <c r="B2021" s="187" t="s">
        <v>4842</v>
      </c>
      <c r="C2021" s="188"/>
      <c r="D2021" s="188"/>
      <c r="E2021" s="188"/>
      <c r="F2021" s="188"/>
      <c r="G2021" s="188"/>
      <c r="H2021" s="188"/>
      <c r="I2021" s="189"/>
    </row>
    <row r="2022" spans="1:9" ht="47.25" x14ac:dyDescent="0.25">
      <c r="A2022" s="155" t="s">
        <v>4819</v>
      </c>
      <c r="B2022" s="155" t="s">
        <v>4820</v>
      </c>
      <c r="C2022" s="4" t="s">
        <v>4821</v>
      </c>
      <c r="D2022" s="4" t="s">
        <v>4822</v>
      </c>
      <c r="E2022" s="88" t="s">
        <v>4823</v>
      </c>
      <c r="F2022" s="88" t="s">
        <v>4824</v>
      </c>
      <c r="G2022" s="88" t="s">
        <v>4825</v>
      </c>
      <c r="H2022" s="4" t="s">
        <v>4826</v>
      </c>
      <c r="I2022" s="29" t="s">
        <v>4827</v>
      </c>
    </row>
    <row r="2023" spans="1:9" ht="26.1" customHeight="1" x14ac:dyDescent="0.25">
      <c r="A2023" s="156"/>
      <c r="B2023" s="156"/>
      <c r="C2023" s="13" t="s">
        <v>4828</v>
      </c>
      <c r="D2023" s="13" t="s">
        <v>4828</v>
      </c>
      <c r="E2023" s="13" t="s">
        <v>4828</v>
      </c>
      <c r="F2023" s="13" t="s">
        <v>4828</v>
      </c>
      <c r="G2023" s="13" t="s">
        <v>4828</v>
      </c>
      <c r="H2023" s="13" t="s">
        <v>4828</v>
      </c>
      <c r="I2023" s="30"/>
    </row>
    <row r="2024" spans="1:9" ht="15.75" x14ac:dyDescent="0.25">
      <c r="A2024" s="23">
        <v>1628</v>
      </c>
      <c r="B2024" s="89" t="str">
        <f>CADASTROS!$C$1320</f>
        <v>Daniela dos Anjos Souza</v>
      </c>
      <c r="C2024" s="159"/>
      <c r="D2024" s="159"/>
      <c r="E2024" s="159"/>
      <c r="F2024" s="159"/>
      <c r="G2024" s="159"/>
      <c r="H2024" s="159"/>
      <c r="I2024" s="7">
        <f>SUM(C2024+D2024+E2024+F2024+G2024+H2024)</f>
        <v>0</v>
      </c>
    </row>
    <row r="2025" spans="1:9" ht="15.75" x14ac:dyDescent="0.25">
      <c r="A2025" s="23">
        <v>1629</v>
      </c>
      <c r="B2025" s="89" t="str">
        <f>CADASTROS!$C$1321</f>
        <v>Vanessa Sampaio Santiago</v>
      </c>
      <c r="C2025" s="159"/>
      <c r="D2025" s="159"/>
      <c r="E2025" s="159"/>
      <c r="F2025" s="159"/>
      <c r="G2025" s="159"/>
      <c r="H2025" s="159"/>
      <c r="I2025" s="7">
        <f>SUM(C2025+D2025+E2025+F2025+G2025+H2025)</f>
        <v>0</v>
      </c>
    </row>
    <row r="2026" spans="1:9" ht="15.75" x14ac:dyDescent="0.25">
      <c r="A2026" s="23">
        <v>1630</v>
      </c>
      <c r="B2026" s="89" t="str">
        <f>CADASTROS!$C$1322</f>
        <v>Elizabete Sa Teles Sena</v>
      </c>
      <c r="C2026" s="159"/>
      <c r="D2026" s="159"/>
      <c r="E2026" s="159"/>
      <c r="F2026" s="159"/>
      <c r="G2026" s="159"/>
      <c r="H2026" s="159"/>
      <c r="I2026" s="7">
        <f t="shared" ref="I2026:I2050" si="171">SUM(C2026+D2026+E2026+F2026+G2026+H2026)</f>
        <v>0</v>
      </c>
    </row>
    <row r="2027" spans="1:9" ht="15.75" x14ac:dyDescent="0.25">
      <c r="A2027" s="23">
        <v>1631</v>
      </c>
      <c r="B2027" s="89" t="str">
        <f>CADASTROS!$C$1323</f>
        <v>Valdeque Teles Santos</v>
      </c>
      <c r="C2027" s="159"/>
      <c r="D2027" s="159"/>
      <c r="E2027" s="159"/>
      <c r="F2027" s="159"/>
      <c r="G2027" s="159"/>
      <c r="H2027" s="159"/>
      <c r="I2027" s="7">
        <f t="shared" si="171"/>
        <v>0</v>
      </c>
    </row>
    <row r="2028" spans="1:9" ht="15.75" x14ac:dyDescent="0.25">
      <c r="A2028" s="23">
        <v>1632</v>
      </c>
      <c r="B2028" s="89" t="str">
        <f>CADASTROS!$C$1324</f>
        <v>Ivanilda Morais de Sousa</v>
      </c>
      <c r="C2028" s="159"/>
      <c r="D2028" s="159"/>
      <c r="E2028" s="159"/>
      <c r="F2028" s="159"/>
      <c r="G2028" s="159"/>
      <c r="H2028" s="159"/>
      <c r="I2028" s="7">
        <f t="shared" si="171"/>
        <v>0</v>
      </c>
    </row>
    <row r="2029" spans="1:9" ht="15.75" x14ac:dyDescent="0.25">
      <c r="A2029" s="23">
        <v>1633</v>
      </c>
      <c r="B2029" s="89" t="str">
        <f>CADASTROS!$C$1325</f>
        <v>Marcia Silva dos Santos</v>
      </c>
      <c r="C2029" s="159">
        <v>13</v>
      </c>
      <c r="D2029" s="159">
        <v>14</v>
      </c>
      <c r="E2029" s="159">
        <v>11.5</v>
      </c>
      <c r="F2029" s="159"/>
      <c r="G2029" s="159">
        <v>26</v>
      </c>
      <c r="H2029" s="159">
        <v>21</v>
      </c>
      <c r="I2029" s="7">
        <f t="shared" si="171"/>
        <v>85.5</v>
      </c>
    </row>
    <row r="2030" spans="1:9" ht="15.75" x14ac:dyDescent="0.25">
      <c r="A2030" s="23">
        <v>1634</v>
      </c>
      <c r="B2030" s="89" t="str">
        <f>CADASTROS!$C$1326</f>
        <v>Solange Barbosa da Silva</v>
      </c>
      <c r="C2030" s="159"/>
      <c r="D2030" s="159">
        <v>11</v>
      </c>
      <c r="E2030" s="159"/>
      <c r="F2030" s="159"/>
      <c r="G2030" s="159"/>
      <c r="H2030" s="159"/>
      <c r="I2030" s="7">
        <f t="shared" si="171"/>
        <v>11</v>
      </c>
    </row>
    <row r="2031" spans="1:9" ht="15.75" x14ac:dyDescent="0.25">
      <c r="A2031" s="23">
        <v>1635</v>
      </c>
      <c r="B2031" s="89" t="str">
        <f>CADASTROS!$C$1327</f>
        <v>Valéria de Jesus Bispo</v>
      </c>
      <c r="C2031" s="159"/>
      <c r="D2031" s="159"/>
      <c r="E2031" s="159"/>
      <c r="F2031" s="159"/>
      <c r="G2031" s="159"/>
      <c r="H2031" s="159"/>
      <c r="I2031" s="7">
        <f t="shared" si="171"/>
        <v>0</v>
      </c>
    </row>
    <row r="2032" spans="1:9" ht="15.75" x14ac:dyDescent="0.25">
      <c r="A2032" s="23">
        <v>1636</v>
      </c>
      <c r="B2032" s="89" t="str">
        <f>CADASTROS!$C$1328</f>
        <v>Natália dos Santos Araújo</v>
      </c>
      <c r="C2032" s="159"/>
      <c r="D2032" s="159"/>
      <c r="E2032" s="159"/>
      <c r="F2032" s="159"/>
      <c r="G2032" s="159"/>
      <c r="H2032" s="159"/>
      <c r="I2032" s="7">
        <f t="shared" si="171"/>
        <v>0</v>
      </c>
    </row>
    <row r="2033" spans="1:9" ht="15.75" x14ac:dyDescent="0.25">
      <c r="A2033" s="23">
        <v>1637</v>
      </c>
      <c r="B2033" s="89" t="str">
        <f>CADASTROS!$C$1329</f>
        <v>Hildeni Alves Araujo</v>
      </c>
      <c r="C2033" s="159"/>
      <c r="D2033" s="159"/>
      <c r="E2033" s="159"/>
      <c r="F2033" s="159"/>
      <c r="G2033" s="159"/>
      <c r="H2033" s="159"/>
      <c r="I2033" s="7">
        <f t="shared" si="171"/>
        <v>0</v>
      </c>
    </row>
    <row r="2034" spans="1:9" ht="15.75" x14ac:dyDescent="0.25">
      <c r="A2034" s="23">
        <v>1638</v>
      </c>
      <c r="B2034" s="89" t="str">
        <f>CADASTROS!$C$1330</f>
        <v>Gisselia Santos da Silva</v>
      </c>
      <c r="C2034" s="159"/>
      <c r="D2034" s="159"/>
      <c r="E2034" s="159"/>
      <c r="F2034" s="159"/>
      <c r="G2034" s="159"/>
      <c r="H2034" s="159"/>
      <c r="I2034" s="7">
        <f t="shared" si="171"/>
        <v>0</v>
      </c>
    </row>
    <row r="2035" spans="1:9" ht="15.75" x14ac:dyDescent="0.25">
      <c r="A2035" s="23">
        <v>1639</v>
      </c>
      <c r="B2035" s="89" t="str">
        <f>CADASTROS!$C$1331</f>
        <v>José Leandro Alves Costa</v>
      </c>
      <c r="C2035" s="159"/>
      <c r="D2035" s="159"/>
      <c r="E2035" s="159"/>
      <c r="F2035" s="159"/>
      <c r="G2035" s="159"/>
      <c r="H2035" s="159"/>
      <c r="I2035" s="7">
        <f t="shared" si="171"/>
        <v>0</v>
      </c>
    </row>
    <row r="2036" spans="1:9" ht="15.75" x14ac:dyDescent="0.25">
      <c r="A2036" s="23">
        <v>1640</v>
      </c>
      <c r="B2036" s="89" t="str">
        <f>CADASTROS!$C$1332</f>
        <v>Robenilson da Cruz Silva</v>
      </c>
      <c r="C2036" s="159"/>
      <c r="D2036" s="159"/>
      <c r="E2036" s="159"/>
      <c r="F2036" s="159"/>
      <c r="G2036" s="159"/>
      <c r="H2036" s="159"/>
      <c r="I2036" s="7">
        <f t="shared" si="171"/>
        <v>0</v>
      </c>
    </row>
    <row r="2037" spans="1:9" ht="15.75" x14ac:dyDescent="0.25">
      <c r="A2037" s="23">
        <v>1641</v>
      </c>
      <c r="B2037" s="89" t="str">
        <f>CADASTROS!$C$1333</f>
        <v>Marilene do Rosário da Conceição</v>
      </c>
      <c r="C2037" s="159">
        <v>17</v>
      </c>
      <c r="D2037" s="159">
        <v>19</v>
      </c>
      <c r="E2037" s="159">
        <v>17</v>
      </c>
      <c r="F2037" s="159"/>
      <c r="G2037" s="159"/>
      <c r="H2037" s="159"/>
      <c r="I2037" s="7">
        <f t="shared" si="171"/>
        <v>53</v>
      </c>
    </row>
    <row r="2038" spans="1:9" ht="15.75" x14ac:dyDescent="0.25">
      <c r="A2038" s="23">
        <v>1642</v>
      </c>
      <c r="B2038" s="89" t="str">
        <f>CADASTROS!$C$1334</f>
        <v>Milton Rosa de Souza</v>
      </c>
      <c r="C2038" s="159"/>
      <c r="D2038" s="159"/>
      <c r="E2038" s="159"/>
      <c r="F2038" s="159"/>
      <c r="G2038" s="159"/>
      <c r="H2038" s="159"/>
      <c r="I2038" s="7">
        <f t="shared" si="171"/>
        <v>0</v>
      </c>
    </row>
    <row r="2039" spans="1:9" ht="15.75" x14ac:dyDescent="0.25">
      <c r="A2039" s="23">
        <v>1643</v>
      </c>
      <c r="B2039" s="89" t="str">
        <f>CADASTROS!$C$1335</f>
        <v>Natália Ribeiro de Souza</v>
      </c>
      <c r="C2039" s="159"/>
      <c r="D2039" s="159"/>
      <c r="E2039" s="159"/>
      <c r="F2039" s="159"/>
      <c r="G2039" s="159"/>
      <c r="H2039" s="159"/>
      <c r="I2039" s="7">
        <f t="shared" si="171"/>
        <v>0</v>
      </c>
    </row>
    <row r="2040" spans="1:9" ht="15.75" x14ac:dyDescent="0.25">
      <c r="A2040" s="23">
        <v>1644</v>
      </c>
      <c r="B2040" s="89" t="str">
        <f>CADASTROS!$C$1336</f>
        <v>Edicleide Barbosa de Oliveira</v>
      </c>
      <c r="C2040" s="159"/>
      <c r="D2040" s="159"/>
      <c r="E2040" s="159"/>
      <c r="F2040" s="159"/>
      <c r="G2040" s="159"/>
      <c r="H2040" s="159"/>
      <c r="I2040" s="7">
        <f t="shared" si="171"/>
        <v>0</v>
      </c>
    </row>
    <row r="2041" spans="1:9" ht="15.75" x14ac:dyDescent="0.25">
      <c r="A2041" s="23">
        <v>1645</v>
      </c>
      <c r="B2041" s="89" t="str">
        <f>CADASTROS!$C$1337</f>
        <v>Dionei J. dos Anjos</v>
      </c>
      <c r="C2041" s="159"/>
      <c r="D2041" s="159"/>
      <c r="E2041" s="159"/>
      <c r="F2041" s="159"/>
      <c r="G2041" s="159">
        <v>23</v>
      </c>
      <c r="H2041" s="159">
        <v>3</v>
      </c>
      <c r="I2041" s="7">
        <f t="shared" si="171"/>
        <v>26</v>
      </c>
    </row>
    <row r="2042" spans="1:9" ht="15.75" x14ac:dyDescent="0.25">
      <c r="A2042" s="23">
        <v>1646</v>
      </c>
      <c r="B2042" s="89" t="str">
        <f>CADASTROS!$C$1338</f>
        <v>Gabriel Sa Teles de Sousa</v>
      </c>
      <c r="C2042" s="159"/>
      <c r="D2042" s="159"/>
      <c r="E2042" s="159"/>
      <c r="F2042" s="159"/>
      <c r="G2042" s="159"/>
      <c r="H2042" s="159"/>
      <c r="I2042" s="7">
        <f t="shared" si="171"/>
        <v>0</v>
      </c>
    </row>
    <row r="2043" spans="1:9" ht="15.75" x14ac:dyDescent="0.25">
      <c r="A2043" s="23">
        <v>1647</v>
      </c>
      <c r="B2043" s="89" t="str">
        <f>CADASTROS!$C$1339</f>
        <v>Jildecir Martins Sampaio</v>
      </c>
      <c r="C2043" s="159">
        <v>50.5</v>
      </c>
      <c r="D2043" s="159">
        <v>55</v>
      </c>
      <c r="E2043" s="159">
        <v>40</v>
      </c>
      <c r="F2043" s="159"/>
      <c r="G2043" s="159">
        <v>14.5</v>
      </c>
      <c r="H2043" s="159">
        <v>30</v>
      </c>
      <c r="I2043" s="7">
        <f t="shared" si="171"/>
        <v>190</v>
      </c>
    </row>
    <row r="2044" spans="1:9" ht="15.75" x14ac:dyDescent="0.25">
      <c r="A2044" s="23">
        <v>1648</v>
      </c>
      <c r="B2044" s="89" t="str">
        <f>CADASTROS!$C$1340</f>
        <v>Antônio Carlos Peixoto</v>
      </c>
      <c r="C2044" s="159">
        <v>63.5</v>
      </c>
      <c r="D2044" s="159">
        <v>74.5</v>
      </c>
      <c r="E2044" s="159">
        <v>31</v>
      </c>
      <c r="F2044" s="159"/>
      <c r="G2044" s="159">
        <v>16</v>
      </c>
      <c r="H2044" s="159"/>
      <c r="I2044" s="7">
        <f t="shared" si="171"/>
        <v>185</v>
      </c>
    </row>
    <row r="2045" spans="1:9" ht="15.75" x14ac:dyDescent="0.25">
      <c r="A2045" s="23">
        <v>1649</v>
      </c>
      <c r="B2045" s="89" t="str">
        <f>CADASTROS!$C$1341</f>
        <v>Edison Brito da Silva</v>
      </c>
      <c r="C2045" s="159"/>
      <c r="D2045" s="159"/>
      <c r="E2045" s="159"/>
      <c r="F2045" s="159"/>
      <c r="G2045" s="159">
        <v>9</v>
      </c>
      <c r="H2045" s="159"/>
      <c r="I2045" s="7">
        <f t="shared" si="171"/>
        <v>9</v>
      </c>
    </row>
    <row r="2046" spans="1:9" ht="15.75" x14ac:dyDescent="0.25">
      <c r="A2046" s="23">
        <v>1650</v>
      </c>
      <c r="B2046" s="89" t="str">
        <f>CADASTROS!$C$1342</f>
        <v>Gilmar Ferreira de Plinio</v>
      </c>
      <c r="C2046" s="159">
        <v>16.5</v>
      </c>
      <c r="D2046" s="159">
        <v>13</v>
      </c>
      <c r="E2046" s="159">
        <v>13.5</v>
      </c>
      <c r="F2046" s="159"/>
      <c r="G2046" s="159"/>
      <c r="H2046" s="159"/>
      <c r="I2046" s="7">
        <f t="shared" si="171"/>
        <v>43</v>
      </c>
    </row>
    <row r="2047" spans="1:9" ht="15.75" x14ac:dyDescent="0.25">
      <c r="A2047" s="23">
        <v>1651</v>
      </c>
      <c r="B2047" s="89" t="str">
        <f>CADASTROS!$C$1343</f>
        <v>Mariana Silva Nunes</v>
      </c>
      <c r="C2047" s="159"/>
      <c r="D2047" s="159"/>
      <c r="E2047" s="159"/>
      <c r="F2047" s="159"/>
      <c r="G2047" s="159"/>
      <c r="H2047" s="159"/>
      <c r="I2047" s="7">
        <f t="shared" si="171"/>
        <v>0</v>
      </c>
    </row>
    <row r="2048" spans="1:9" ht="15.75" x14ac:dyDescent="0.25">
      <c r="A2048" s="23">
        <v>1652</v>
      </c>
      <c r="B2048" s="89" t="str">
        <f>CADASTROS!$C$1344</f>
        <v>Celene Alves M de Matos</v>
      </c>
      <c r="C2048" s="159"/>
      <c r="D2048" s="159"/>
      <c r="E2048" s="159"/>
      <c r="F2048" s="159"/>
      <c r="G2048" s="159"/>
      <c r="H2048" s="159"/>
      <c r="I2048" s="7">
        <f t="shared" si="171"/>
        <v>0</v>
      </c>
    </row>
    <row r="2049" spans="1:9" ht="15.75" x14ac:dyDescent="0.25">
      <c r="A2049" s="23">
        <v>1653</v>
      </c>
      <c r="B2049" s="89" t="str">
        <f>CADASTROS!$C$1345</f>
        <v>Jerferson Andrade de Lima</v>
      </c>
      <c r="C2049" s="159"/>
      <c r="D2049" s="159"/>
      <c r="E2049" s="159"/>
      <c r="F2049" s="159"/>
      <c r="G2049" s="159"/>
      <c r="H2049" s="159"/>
      <c r="I2049" s="7">
        <f t="shared" si="171"/>
        <v>0</v>
      </c>
    </row>
    <row r="2050" spans="1:9" ht="15.75" x14ac:dyDescent="0.25">
      <c r="A2050" s="23">
        <v>1654</v>
      </c>
      <c r="B2050" s="89" t="str">
        <f>CADASTROS!$C$1346</f>
        <v>Ediene Lima Soares</v>
      </c>
      <c r="C2050" s="159">
        <v>19</v>
      </c>
      <c r="D2050" s="159">
        <v>34.5</v>
      </c>
      <c r="E2050" s="159">
        <v>26.5</v>
      </c>
      <c r="F2050" s="159"/>
      <c r="G2050" s="159">
        <v>46.5</v>
      </c>
      <c r="H2050" s="159">
        <v>31.5</v>
      </c>
      <c r="I2050" s="7">
        <f t="shared" si="171"/>
        <v>158</v>
      </c>
    </row>
    <row r="2051" spans="1:9" ht="15.75" x14ac:dyDescent="0.25">
      <c r="B2051" s="159" t="s">
        <v>4829</v>
      </c>
      <c r="C2051" s="159">
        <f>SUM(C2024:C2050)</f>
        <v>179.5</v>
      </c>
      <c r="D2051" s="159">
        <f t="shared" ref="D2051:H2051" si="172">SUM(D2024:D2050)</f>
        <v>221</v>
      </c>
      <c r="E2051" s="159">
        <f t="shared" si="172"/>
        <v>139.5</v>
      </c>
      <c r="F2051" s="159">
        <f t="shared" si="172"/>
        <v>0</v>
      </c>
      <c r="G2051" s="159">
        <f t="shared" si="172"/>
        <v>135</v>
      </c>
      <c r="H2051" s="159">
        <f t="shared" si="172"/>
        <v>85.5</v>
      </c>
      <c r="I2051" s="159">
        <f>SUM(I2024:I2050)</f>
        <v>760.5</v>
      </c>
    </row>
    <row r="2053" spans="1:9" ht="15.75" x14ac:dyDescent="0.25">
      <c r="B2053" s="8" t="s">
        <v>4830</v>
      </c>
      <c r="C2053" s="159"/>
      <c r="D2053" s="159"/>
      <c r="E2053" s="159"/>
      <c r="F2053" s="159"/>
      <c r="G2053" s="159"/>
      <c r="H2053" s="159"/>
      <c r="I2053" s="159">
        <f>SUM(C2053:H2053)</f>
        <v>0</v>
      </c>
    </row>
    <row r="2054" spans="1:9" x14ac:dyDescent="0.25">
      <c r="B2054" s="167"/>
    </row>
    <row r="2055" spans="1:9" ht="15.75" x14ac:dyDescent="0.25">
      <c r="B2055" s="8" t="s">
        <v>4831</v>
      </c>
      <c r="C2055" s="9" t="e">
        <f>C2051/C2053</f>
        <v>#DIV/0!</v>
      </c>
      <c r="D2055" s="9" t="e">
        <f t="shared" ref="D2055:H2055" si="173">D2051/D2053</f>
        <v>#DIV/0!</v>
      </c>
      <c r="E2055" s="9" t="e">
        <f t="shared" si="173"/>
        <v>#DIV/0!</v>
      </c>
      <c r="F2055" s="9" t="e">
        <f t="shared" si="173"/>
        <v>#DIV/0!</v>
      </c>
      <c r="G2055" s="9" t="e">
        <f t="shared" si="173"/>
        <v>#DIV/0!</v>
      </c>
      <c r="H2055" s="9" t="e">
        <f t="shared" si="173"/>
        <v>#DIV/0!</v>
      </c>
      <c r="I2055" s="9"/>
    </row>
    <row r="2056" spans="1:9" ht="15.75" x14ac:dyDescent="0.25">
      <c r="B2056" s="163"/>
      <c r="C2056" s="10"/>
      <c r="D2056" s="10"/>
      <c r="E2056" s="10"/>
      <c r="F2056" s="10"/>
      <c r="G2056" s="10"/>
      <c r="H2056" s="163"/>
      <c r="I2056" s="163"/>
    </row>
    <row r="2057" spans="1:9" ht="15.75" x14ac:dyDescent="0.25">
      <c r="B2057" s="8" t="s">
        <v>4832</v>
      </c>
      <c r="C2057" s="159"/>
      <c r="D2057" s="159"/>
      <c r="E2057" s="6"/>
      <c r="F2057" s="6"/>
      <c r="G2057" s="6"/>
      <c r="H2057" s="6"/>
      <c r="I2057" s="11"/>
    </row>
    <row r="2059" spans="1:9" ht="33.75" x14ac:dyDescent="0.25">
      <c r="B2059" s="187" t="s">
        <v>4842</v>
      </c>
      <c r="C2059" s="188"/>
      <c r="D2059" s="188"/>
      <c r="E2059" s="188"/>
      <c r="F2059" s="188"/>
      <c r="G2059" s="188"/>
      <c r="H2059" s="188"/>
      <c r="I2059" s="189"/>
    </row>
    <row r="2060" spans="1:9" ht="47.25" x14ac:dyDescent="0.25">
      <c r="A2060" s="155" t="s">
        <v>4819</v>
      </c>
      <c r="B2060" s="155" t="s">
        <v>4820</v>
      </c>
      <c r="C2060" s="4" t="s">
        <v>4821</v>
      </c>
      <c r="D2060" s="4" t="s">
        <v>4822</v>
      </c>
      <c r="E2060" s="88" t="s">
        <v>4823</v>
      </c>
      <c r="F2060" s="88" t="s">
        <v>4824</v>
      </c>
      <c r="G2060" s="88" t="s">
        <v>4825</v>
      </c>
      <c r="H2060" s="4" t="s">
        <v>4826</v>
      </c>
      <c r="I2060" s="29" t="s">
        <v>4827</v>
      </c>
    </row>
    <row r="2061" spans="1:9" ht="25.5" x14ac:dyDescent="0.25">
      <c r="A2061" s="156"/>
      <c r="B2061" s="156"/>
      <c r="C2061" s="13" t="s">
        <v>4828</v>
      </c>
      <c r="D2061" s="13" t="s">
        <v>4828</v>
      </c>
      <c r="E2061" s="13" t="s">
        <v>4828</v>
      </c>
      <c r="F2061" s="13" t="s">
        <v>4828</v>
      </c>
      <c r="G2061" s="13" t="s">
        <v>4828</v>
      </c>
      <c r="H2061" s="13" t="s">
        <v>4828</v>
      </c>
      <c r="I2061" s="30"/>
    </row>
    <row r="2062" spans="1:9" ht="15.75" x14ac:dyDescent="0.25">
      <c r="A2062" s="23">
        <v>1655</v>
      </c>
      <c r="B2062" s="89" t="str">
        <f>CADASTROS!$C$1347</f>
        <v>Lucineide de Souza Santos</v>
      </c>
      <c r="C2062" s="159">
        <v>10.5</v>
      </c>
      <c r="D2062" s="159">
        <v>21</v>
      </c>
      <c r="E2062" s="159">
        <v>20</v>
      </c>
      <c r="F2062" s="159"/>
      <c r="G2062" s="159"/>
      <c r="H2062" s="159">
        <v>50.5</v>
      </c>
      <c r="I2062" s="7">
        <f>SUM(C2062+D2062+E2062+F2062+G2062+H2062)</f>
        <v>102</v>
      </c>
    </row>
    <row r="2063" spans="1:9" ht="15.75" x14ac:dyDescent="0.25">
      <c r="A2063" s="23">
        <v>1656</v>
      </c>
      <c r="B2063" s="89" t="str">
        <f>CADASTROS!$C$1348</f>
        <v>Terezinha S. Santos</v>
      </c>
      <c r="C2063" s="159"/>
      <c r="D2063" s="159">
        <v>26.5</v>
      </c>
      <c r="E2063" s="159">
        <v>42.5</v>
      </c>
      <c r="F2063" s="159"/>
      <c r="G2063" s="159"/>
      <c r="H2063" s="159"/>
      <c r="I2063" s="7">
        <f>SUM(C2063+D2063+E2063+F2063+G2063+H2063)</f>
        <v>69</v>
      </c>
    </row>
    <row r="2064" spans="1:9" ht="15.75" x14ac:dyDescent="0.25">
      <c r="A2064" s="23">
        <v>1657</v>
      </c>
      <c r="B2064" s="89" t="str">
        <f>CADASTROS!$C$1349</f>
        <v>Poliana Nunes dos Santos</v>
      </c>
      <c r="C2064" s="159">
        <v>17</v>
      </c>
      <c r="D2064" s="159">
        <v>10</v>
      </c>
      <c r="E2064" s="159">
        <v>20</v>
      </c>
      <c r="F2064" s="159"/>
      <c r="G2064" s="159">
        <v>14</v>
      </c>
      <c r="H2064" s="159"/>
      <c r="I2064" s="7">
        <f t="shared" ref="I2064:I2088" si="174">SUM(C2064+D2064+E2064+F2064+G2064+H2064)</f>
        <v>61</v>
      </c>
    </row>
    <row r="2065" spans="1:9" ht="15.75" x14ac:dyDescent="0.25">
      <c r="A2065" s="23">
        <v>1658</v>
      </c>
      <c r="B2065" s="89" t="str">
        <f>CADASTROS!$C$1350</f>
        <v>Jose Nilton P. dos Santos</v>
      </c>
      <c r="C2065" s="159">
        <v>8</v>
      </c>
      <c r="D2065" s="159">
        <v>6</v>
      </c>
      <c r="E2065" s="159">
        <v>4.5</v>
      </c>
      <c r="F2065" s="159"/>
      <c r="G2065" s="159">
        <v>5.5</v>
      </c>
      <c r="H2065" s="159"/>
      <c r="I2065" s="7">
        <f t="shared" si="174"/>
        <v>24</v>
      </c>
    </row>
    <row r="2066" spans="1:9" ht="15.75" x14ac:dyDescent="0.25">
      <c r="A2066" s="23">
        <v>1659</v>
      </c>
      <c r="B2066" s="89" t="str">
        <f>CADASTROS!$C$1351</f>
        <v>Antônio Selmo N. Marques</v>
      </c>
      <c r="C2066" s="159"/>
      <c r="D2066" s="159">
        <v>13.5</v>
      </c>
      <c r="E2066" s="159">
        <v>14</v>
      </c>
      <c r="F2066" s="159"/>
      <c r="G2066" s="159">
        <v>13.5</v>
      </c>
      <c r="H2066" s="159"/>
      <c r="I2066" s="7">
        <f t="shared" si="174"/>
        <v>41</v>
      </c>
    </row>
    <row r="2067" spans="1:9" ht="15.75" x14ac:dyDescent="0.25">
      <c r="A2067" s="23">
        <v>1660</v>
      </c>
      <c r="B2067" s="89" t="str">
        <f>CADASTROS!$C$1352</f>
        <v>Edilson Ribeiro</v>
      </c>
      <c r="C2067" s="159"/>
      <c r="D2067" s="159"/>
      <c r="E2067" s="159"/>
      <c r="F2067" s="159"/>
      <c r="G2067" s="159"/>
      <c r="H2067" s="159"/>
      <c r="I2067" s="7">
        <f t="shared" si="174"/>
        <v>0</v>
      </c>
    </row>
    <row r="2068" spans="1:9" ht="15.75" x14ac:dyDescent="0.25">
      <c r="A2068" s="23">
        <v>1661</v>
      </c>
      <c r="B2068" s="89" t="str">
        <f>CADASTROS!$C$1353</f>
        <v>Ivonete Euzébio dos Anjos</v>
      </c>
      <c r="C2068" s="159"/>
      <c r="D2068" s="159"/>
      <c r="E2068" s="159"/>
      <c r="F2068" s="159"/>
      <c r="G2068" s="159"/>
      <c r="H2068" s="159"/>
      <c r="I2068" s="7">
        <f t="shared" si="174"/>
        <v>0</v>
      </c>
    </row>
    <row r="2069" spans="1:9" ht="15.75" x14ac:dyDescent="0.25">
      <c r="A2069" s="23">
        <v>1662</v>
      </c>
      <c r="B2069" s="89" t="str">
        <f>CADASTROS!$C$1354</f>
        <v>Fernando Sá Teles Santana</v>
      </c>
      <c r="C2069" s="159"/>
      <c r="D2069" s="159"/>
      <c r="E2069" s="159"/>
      <c r="F2069" s="159"/>
      <c r="G2069" s="159"/>
      <c r="H2069" s="159"/>
      <c r="I2069" s="7">
        <f t="shared" si="174"/>
        <v>0</v>
      </c>
    </row>
    <row r="2070" spans="1:9" ht="15.75" x14ac:dyDescent="0.25">
      <c r="A2070" s="23">
        <v>1663</v>
      </c>
      <c r="B2070" s="89" t="str">
        <f>CADASTROS!$C$1355</f>
        <v>Laisa Mendes Araújo</v>
      </c>
      <c r="C2070" s="159"/>
      <c r="D2070" s="159"/>
      <c r="E2070" s="159"/>
      <c r="F2070" s="159"/>
      <c r="G2070" s="159"/>
      <c r="H2070" s="159"/>
      <c r="I2070" s="7">
        <f t="shared" si="174"/>
        <v>0</v>
      </c>
    </row>
    <row r="2071" spans="1:9" ht="15.75" x14ac:dyDescent="0.25">
      <c r="A2071" s="23">
        <v>1664</v>
      </c>
      <c r="B2071" s="89" t="str">
        <f>CADASTROS!$C$1356</f>
        <v>Gilderlandia Maria de Oliveira</v>
      </c>
      <c r="C2071" s="159"/>
      <c r="D2071" s="159"/>
      <c r="E2071" s="159"/>
      <c r="F2071" s="159"/>
      <c r="G2071" s="159"/>
      <c r="H2071" s="159"/>
      <c r="I2071" s="7">
        <f t="shared" si="174"/>
        <v>0</v>
      </c>
    </row>
    <row r="2072" spans="1:9" ht="15.75" x14ac:dyDescent="0.25">
      <c r="A2072" s="23">
        <v>1665</v>
      </c>
      <c r="B2072" s="89" t="str">
        <f>CADASTROS!$C$1357</f>
        <v>Marineide de Jesus Moreira</v>
      </c>
      <c r="C2072" s="159"/>
      <c r="D2072" s="159"/>
      <c r="E2072" s="159"/>
      <c r="F2072" s="159"/>
      <c r="G2072" s="159"/>
      <c r="H2072" s="159"/>
      <c r="I2072" s="7">
        <f t="shared" si="174"/>
        <v>0</v>
      </c>
    </row>
    <row r="2073" spans="1:9" ht="15.75" x14ac:dyDescent="0.25">
      <c r="A2073" s="23">
        <v>1666</v>
      </c>
      <c r="B2073" s="89" t="str">
        <f>CADASTROS!$C$1358</f>
        <v>Marineide Cristina Alves</v>
      </c>
      <c r="C2073" s="159"/>
      <c r="D2073" s="159"/>
      <c r="E2073" s="159"/>
      <c r="F2073" s="159"/>
      <c r="G2073" s="159"/>
      <c r="H2073" s="159"/>
      <c r="I2073" s="7">
        <f t="shared" si="174"/>
        <v>0</v>
      </c>
    </row>
    <row r="2074" spans="1:9" ht="15.75" x14ac:dyDescent="0.25">
      <c r="A2074" s="23">
        <v>1667</v>
      </c>
      <c r="B2074" s="89" t="str">
        <f>CADASTROS!$C$1359</f>
        <v>Wellington N. Ferreira</v>
      </c>
      <c r="C2074" s="159"/>
      <c r="D2074" s="159"/>
      <c r="E2074" s="159"/>
      <c r="F2074" s="159"/>
      <c r="G2074" s="159"/>
      <c r="H2074" s="159"/>
      <c r="I2074" s="7">
        <f t="shared" si="174"/>
        <v>0</v>
      </c>
    </row>
    <row r="2075" spans="1:9" ht="15.75" x14ac:dyDescent="0.25">
      <c r="A2075" s="23">
        <v>1668</v>
      </c>
      <c r="B2075" s="89" t="str">
        <f>CADASTROS!$C$1360</f>
        <v>Adriana Evangelica</v>
      </c>
      <c r="C2075" s="159"/>
      <c r="D2075" s="159"/>
      <c r="E2075" s="159">
        <v>7</v>
      </c>
      <c r="F2075" s="159"/>
      <c r="G2075" s="159"/>
      <c r="H2075" s="159"/>
      <c r="I2075" s="7">
        <f t="shared" si="174"/>
        <v>7</v>
      </c>
    </row>
    <row r="2076" spans="1:9" ht="15.75" x14ac:dyDescent="0.25">
      <c r="A2076" s="23">
        <v>1669</v>
      </c>
      <c r="B2076" s="89" t="str">
        <f>CADASTROS!$C$1361</f>
        <v>Joana F. da Conceição</v>
      </c>
      <c r="C2076" s="159"/>
      <c r="D2076" s="159"/>
      <c r="E2076" s="159"/>
      <c r="F2076" s="159"/>
      <c r="G2076" s="159"/>
      <c r="H2076" s="159"/>
      <c r="I2076" s="7">
        <f t="shared" si="174"/>
        <v>0</v>
      </c>
    </row>
    <row r="2077" spans="1:9" ht="15.75" x14ac:dyDescent="0.25">
      <c r="A2077" s="23">
        <v>1670</v>
      </c>
      <c r="B2077" s="89" t="str">
        <f>CADASTROS!$C$1362</f>
        <v>Mario Sergio Reis da Silva</v>
      </c>
      <c r="C2077" s="159"/>
      <c r="D2077" s="159"/>
      <c r="E2077" s="159">
        <v>6</v>
      </c>
      <c r="F2077" s="159"/>
      <c r="G2077" s="159">
        <v>7</v>
      </c>
      <c r="H2077" s="159"/>
      <c r="I2077" s="7">
        <f t="shared" si="174"/>
        <v>13</v>
      </c>
    </row>
    <row r="2078" spans="1:9" ht="15.75" x14ac:dyDescent="0.25">
      <c r="A2078" s="23">
        <v>1671</v>
      </c>
      <c r="B2078" s="89" t="str">
        <f>CADASTROS!$C$1363</f>
        <v>Adelmo Pinto Santana</v>
      </c>
      <c r="C2078" s="159"/>
      <c r="D2078" s="159"/>
      <c r="E2078" s="159">
        <v>13</v>
      </c>
      <c r="F2078" s="159"/>
      <c r="G2078" s="159"/>
      <c r="H2078" s="159"/>
      <c r="I2078" s="7">
        <f t="shared" si="174"/>
        <v>13</v>
      </c>
    </row>
    <row r="2079" spans="1:9" ht="15.75" x14ac:dyDescent="0.25">
      <c r="A2079" s="23">
        <v>1672</v>
      </c>
      <c r="B2079" s="89" t="str">
        <f>CADASTROS!$C$1364</f>
        <v>Priscila Oliveira de Jesus</v>
      </c>
      <c r="C2079" s="159"/>
      <c r="D2079" s="159"/>
      <c r="E2079" s="159"/>
      <c r="F2079" s="159"/>
      <c r="G2079" s="159"/>
      <c r="H2079" s="159"/>
      <c r="I2079" s="7">
        <f t="shared" si="174"/>
        <v>0</v>
      </c>
    </row>
    <row r="2080" spans="1:9" ht="15.75" x14ac:dyDescent="0.25">
      <c r="A2080" s="23">
        <v>1673</v>
      </c>
      <c r="B2080" s="89" t="str">
        <f>CADASTROS!$C$1365</f>
        <v>Jaelson Miranda de Souza</v>
      </c>
      <c r="C2080" s="159"/>
      <c r="D2080" s="159"/>
      <c r="E2080" s="159"/>
      <c r="F2080" s="159"/>
      <c r="G2080" s="159"/>
      <c r="H2080" s="159"/>
      <c r="I2080" s="7">
        <f t="shared" si="174"/>
        <v>0</v>
      </c>
    </row>
    <row r="2081" spans="1:9" ht="15.75" x14ac:dyDescent="0.25">
      <c r="A2081" s="23">
        <v>1674</v>
      </c>
      <c r="B2081" s="89" t="str">
        <f>CADASTROS!$C$1366</f>
        <v>Jailton Souza de Jesus</v>
      </c>
      <c r="C2081" s="159"/>
      <c r="D2081" s="159"/>
      <c r="E2081" s="159"/>
      <c r="F2081" s="159"/>
      <c r="G2081" s="159"/>
      <c r="H2081" s="159"/>
      <c r="I2081" s="7">
        <f t="shared" si="174"/>
        <v>0</v>
      </c>
    </row>
    <row r="2082" spans="1:9" ht="15.75" x14ac:dyDescent="0.25">
      <c r="A2082" s="23">
        <v>1675</v>
      </c>
      <c r="B2082" s="89" t="str">
        <f>CADASTROS!$C$1367</f>
        <v>Rafael O. Alves</v>
      </c>
      <c r="C2082" s="159">
        <v>14</v>
      </c>
      <c r="D2082" s="159">
        <v>14.5</v>
      </c>
      <c r="E2082" s="159">
        <v>14.5</v>
      </c>
      <c r="F2082" s="159"/>
      <c r="G2082" s="159">
        <v>12</v>
      </c>
      <c r="H2082" s="159">
        <v>15</v>
      </c>
      <c r="I2082" s="7">
        <f t="shared" si="174"/>
        <v>70</v>
      </c>
    </row>
    <row r="2083" spans="1:9" ht="15.75" x14ac:dyDescent="0.25">
      <c r="A2083" s="23">
        <v>1676</v>
      </c>
      <c r="B2083" s="89" t="str">
        <f>CADASTROS!$C$1368</f>
        <v>Crislaine Andrade Martins</v>
      </c>
      <c r="C2083" s="159"/>
      <c r="D2083" s="159"/>
      <c r="E2083" s="159"/>
      <c r="F2083" s="159"/>
      <c r="G2083" s="159">
        <v>10</v>
      </c>
      <c r="H2083" s="159"/>
      <c r="I2083" s="7">
        <f t="shared" si="174"/>
        <v>10</v>
      </c>
    </row>
    <row r="2084" spans="1:9" ht="15.75" x14ac:dyDescent="0.25">
      <c r="A2084" s="23">
        <v>1677</v>
      </c>
      <c r="B2084" s="89" t="str">
        <f>CADASTROS!$C$1369</f>
        <v>Marineide Santos Santana</v>
      </c>
      <c r="C2084" s="159"/>
      <c r="D2084" s="159"/>
      <c r="E2084" s="159"/>
      <c r="F2084" s="159"/>
      <c r="G2084" s="159"/>
      <c r="H2084" s="159"/>
      <c r="I2084" s="7">
        <f t="shared" si="174"/>
        <v>0</v>
      </c>
    </row>
    <row r="2085" spans="1:9" ht="15.75" x14ac:dyDescent="0.25">
      <c r="A2085" s="23">
        <v>1678</v>
      </c>
      <c r="B2085" s="89" t="str">
        <f>CADASTROS!$C$1370</f>
        <v>Valtonio Alves da Silva</v>
      </c>
      <c r="C2085" s="159">
        <v>13.5</v>
      </c>
      <c r="D2085" s="159">
        <v>18</v>
      </c>
      <c r="E2085" s="159">
        <v>17</v>
      </c>
      <c r="F2085" s="159"/>
      <c r="G2085" s="159"/>
      <c r="H2085" s="159"/>
      <c r="I2085" s="7">
        <f t="shared" si="174"/>
        <v>48.5</v>
      </c>
    </row>
    <row r="2086" spans="1:9" ht="15.75" x14ac:dyDescent="0.25">
      <c r="A2086" s="23">
        <v>1679</v>
      </c>
      <c r="B2086" s="89" t="str">
        <f>CADASTROS!$C$1371</f>
        <v>Silvanete Antonio de Souza</v>
      </c>
      <c r="C2086" s="159">
        <v>20.5</v>
      </c>
      <c r="D2086" s="159">
        <v>30.5</v>
      </c>
      <c r="E2086" s="159">
        <v>26</v>
      </c>
      <c r="F2086" s="159"/>
      <c r="G2086" s="159">
        <v>25.5</v>
      </c>
      <c r="H2086" s="159">
        <v>30.5</v>
      </c>
      <c r="I2086" s="7">
        <f t="shared" si="174"/>
        <v>133</v>
      </c>
    </row>
    <row r="2087" spans="1:9" ht="15.75" x14ac:dyDescent="0.25">
      <c r="A2087" s="23">
        <v>1680</v>
      </c>
      <c r="B2087" s="89" t="str">
        <f>CADASTROS!$C$1372</f>
        <v>Natália Meira de Jesus</v>
      </c>
      <c r="C2087" s="159"/>
      <c r="D2087" s="159">
        <v>12</v>
      </c>
      <c r="E2087" s="159"/>
      <c r="F2087" s="159"/>
      <c r="G2087" s="159"/>
      <c r="H2087" s="159"/>
      <c r="I2087" s="7">
        <f t="shared" si="174"/>
        <v>12</v>
      </c>
    </row>
    <row r="2088" spans="1:9" ht="15.75" x14ac:dyDescent="0.25">
      <c r="A2088" s="23">
        <v>1681</v>
      </c>
      <c r="B2088" s="89" t="str">
        <f>CADASTROS!$C$1373</f>
        <v>Jacson de Jesus Moreira</v>
      </c>
      <c r="C2088" s="159">
        <v>15</v>
      </c>
      <c r="D2088" s="159">
        <v>14</v>
      </c>
      <c r="E2088" s="159"/>
      <c r="F2088" s="159"/>
      <c r="G2088" s="159">
        <v>13.5</v>
      </c>
      <c r="H2088" s="159"/>
      <c r="I2088" s="7">
        <f t="shared" si="174"/>
        <v>42.5</v>
      </c>
    </row>
    <row r="2089" spans="1:9" ht="15.75" x14ac:dyDescent="0.25">
      <c r="B2089" s="159" t="s">
        <v>4829</v>
      </c>
      <c r="C2089" s="159">
        <f>SUM(C2062:C2088)</f>
        <v>98.5</v>
      </c>
      <c r="D2089" s="159">
        <f t="shared" ref="D2089:H2089" si="175">SUM(D2062:D2088)</f>
        <v>166</v>
      </c>
      <c r="E2089" s="159">
        <f t="shared" si="175"/>
        <v>184.5</v>
      </c>
      <c r="F2089" s="159">
        <f t="shared" si="175"/>
        <v>0</v>
      </c>
      <c r="G2089" s="159">
        <f t="shared" si="175"/>
        <v>101</v>
      </c>
      <c r="H2089" s="159">
        <f t="shared" si="175"/>
        <v>96</v>
      </c>
      <c r="I2089" s="159">
        <f>SUM(I2062:I2088)</f>
        <v>646</v>
      </c>
    </row>
    <row r="2091" spans="1:9" ht="15.75" x14ac:dyDescent="0.25">
      <c r="B2091" s="8" t="s">
        <v>4830</v>
      </c>
      <c r="C2091" s="159"/>
      <c r="D2091" s="159"/>
      <c r="E2091" s="159"/>
      <c r="F2091" s="159"/>
      <c r="G2091" s="159"/>
      <c r="H2091" s="159"/>
      <c r="I2091" s="159">
        <f>SUM(C2091:H2091)</f>
        <v>0</v>
      </c>
    </row>
    <row r="2092" spans="1:9" x14ac:dyDescent="0.25">
      <c r="B2092" s="167"/>
    </row>
    <row r="2093" spans="1:9" ht="15.75" x14ac:dyDescent="0.25">
      <c r="B2093" s="8" t="s">
        <v>4831</v>
      </c>
      <c r="C2093" s="9" t="e">
        <f>C2089/C2091</f>
        <v>#DIV/0!</v>
      </c>
      <c r="D2093" s="9" t="e">
        <f t="shared" ref="D2093:H2093" si="176">D2089/D2091</f>
        <v>#DIV/0!</v>
      </c>
      <c r="E2093" s="9" t="e">
        <f t="shared" si="176"/>
        <v>#DIV/0!</v>
      </c>
      <c r="F2093" s="9" t="e">
        <f t="shared" si="176"/>
        <v>#DIV/0!</v>
      </c>
      <c r="G2093" s="9" t="e">
        <f t="shared" si="176"/>
        <v>#DIV/0!</v>
      </c>
      <c r="H2093" s="9" t="e">
        <f t="shared" si="176"/>
        <v>#DIV/0!</v>
      </c>
      <c r="I2093" s="9"/>
    </row>
    <row r="2094" spans="1:9" ht="15.75" x14ac:dyDescent="0.25">
      <c r="B2094" s="163"/>
      <c r="C2094" s="10"/>
      <c r="D2094" s="10"/>
      <c r="E2094" s="10"/>
      <c r="F2094" s="10"/>
      <c r="G2094" s="10"/>
      <c r="H2094" s="163"/>
      <c r="I2094" s="163"/>
    </row>
    <row r="2095" spans="1:9" ht="15.75" x14ac:dyDescent="0.25">
      <c r="B2095" s="8" t="s">
        <v>4832</v>
      </c>
      <c r="C2095" s="159"/>
      <c r="D2095" s="159"/>
      <c r="E2095" s="6"/>
      <c r="F2095" s="6"/>
      <c r="G2095" s="6"/>
      <c r="H2095" s="6"/>
      <c r="I2095" s="11"/>
    </row>
    <row r="2097" spans="1:9" ht="33.75" x14ac:dyDescent="0.25">
      <c r="B2097" s="187" t="s">
        <v>4842</v>
      </c>
      <c r="C2097" s="188"/>
      <c r="D2097" s="188"/>
      <c r="E2097" s="188"/>
      <c r="F2097" s="188"/>
      <c r="G2097" s="188"/>
      <c r="H2097" s="188"/>
      <c r="I2097" s="189"/>
    </row>
    <row r="2098" spans="1:9" ht="47.25" x14ac:dyDescent="0.25">
      <c r="A2098" s="155" t="s">
        <v>4819</v>
      </c>
      <c r="B2098" s="155" t="s">
        <v>4820</v>
      </c>
      <c r="C2098" s="4" t="s">
        <v>4821</v>
      </c>
      <c r="D2098" s="4" t="s">
        <v>4822</v>
      </c>
      <c r="E2098" s="88" t="s">
        <v>4823</v>
      </c>
      <c r="F2098" s="88" t="s">
        <v>4824</v>
      </c>
      <c r="G2098" s="88" t="s">
        <v>4825</v>
      </c>
      <c r="H2098" s="4" t="s">
        <v>4826</v>
      </c>
      <c r="I2098" s="29" t="s">
        <v>4827</v>
      </c>
    </row>
    <row r="2099" spans="1:9" ht="25.5" x14ac:dyDescent="0.25">
      <c r="A2099" s="156"/>
      <c r="B2099" s="156"/>
      <c r="C2099" s="13" t="s">
        <v>4828</v>
      </c>
      <c r="D2099" s="13" t="s">
        <v>4828</v>
      </c>
      <c r="E2099" s="13" t="s">
        <v>4828</v>
      </c>
      <c r="F2099" s="13" t="s">
        <v>4828</v>
      </c>
      <c r="G2099" s="13" t="s">
        <v>4828</v>
      </c>
      <c r="H2099" s="13" t="s">
        <v>4828</v>
      </c>
      <c r="I2099" s="30"/>
    </row>
    <row r="2100" spans="1:9" ht="15.75" x14ac:dyDescent="0.25">
      <c r="A2100" s="23">
        <v>1682</v>
      </c>
      <c r="B2100" s="89" t="str">
        <f>CADASTROS!$C$1374</f>
        <v>Vanderlucia Santana Souza</v>
      </c>
      <c r="C2100" s="159"/>
      <c r="D2100" s="159"/>
      <c r="E2100" s="159"/>
      <c r="F2100" s="159"/>
      <c r="G2100" s="159"/>
      <c r="H2100" s="159"/>
      <c r="I2100" s="7">
        <f>SUM(C2100+D2100+E2100+F2100+G2100+H2100)</f>
        <v>0</v>
      </c>
    </row>
    <row r="2101" spans="1:9" ht="15.75" x14ac:dyDescent="0.25">
      <c r="A2101" s="23">
        <v>1683</v>
      </c>
      <c r="B2101" s="89" t="str">
        <f>CADASTROS!$C$1375</f>
        <v>Robério Silva Oliveira</v>
      </c>
      <c r="C2101" s="159">
        <v>19</v>
      </c>
      <c r="D2101" s="159">
        <v>21.5</v>
      </c>
      <c r="E2101" s="159">
        <v>21.5</v>
      </c>
      <c r="F2101" s="159"/>
      <c r="G2101" s="159"/>
      <c r="H2101" s="159"/>
      <c r="I2101" s="7">
        <f>SUM(C2101+D2101+E2101+F2101+G2101+H2101)</f>
        <v>62</v>
      </c>
    </row>
    <row r="2102" spans="1:9" ht="15.75" x14ac:dyDescent="0.25">
      <c r="A2102" s="23">
        <v>1684</v>
      </c>
      <c r="B2102" s="89" t="str">
        <f>CADASTROS!$C$1376</f>
        <v>Laede Andrade Reis</v>
      </c>
      <c r="C2102" s="159">
        <v>19</v>
      </c>
      <c r="D2102" s="159">
        <v>29</v>
      </c>
      <c r="E2102" s="159">
        <v>35</v>
      </c>
      <c r="F2102" s="159"/>
      <c r="G2102" s="159">
        <v>24</v>
      </c>
      <c r="H2102" s="159"/>
      <c r="I2102" s="7">
        <f t="shared" ref="I2102:I2126" si="177">SUM(C2102+D2102+E2102+F2102+G2102+H2102)</f>
        <v>107</v>
      </c>
    </row>
    <row r="2103" spans="1:9" ht="15.75" x14ac:dyDescent="0.25">
      <c r="A2103" s="23">
        <v>1685</v>
      </c>
      <c r="B2103" s="89" t="str">
        <f>CADASTROS!$C$1377</f>
        <v>Edineusa Maria de Brito</v>
      </c>
      <c r="C2103" s="159"/>
      <c r="D2103" s="159"/>
      <c r="E2103" s="159"/>
      <c r="F2103" s="159"/>
      <c r="G2103" s="159"/>
      <c r="H2103" s="159"/>
      <c r="I2103" s="7">
        <f t="shared" si="177"/>
        <v>0</v>
      </c>
    </row>
    <row r="2104" spans="1:9" ht="15.75" x14ac:dyDescent="0.25">
      <c r="A2104" s="23">
        <v>1686</v>
      </c>
      <c r="B2104" s="89" t="str">
        <f>CADASTROS!$C$1378</f>
        <v>Célia dos Santos Souza</v>
      </c>
      <c r="C2104" s="159"/>
      <c r="D2104" s="159">
        <v>12</v>
      </c>
      <c r="E2104" s="159">
        <v>9.5</v>
      </c>
      <c r="F2104" s="159"/>
      <c r="G2104" s="159"/>
      <c r="H2104" s="159"/>
      <c r="I2104" s="7">
        <f t="shared" si="177"/>
        <v>21.5</v>
      </c>
    </row>
    <row r="2105" spans="1:9" ht="15.75" x14ac:dyDescent="0.25">
      <c r="A2105" s="23">
        <v>1687</v>
      </c>
      <c r="B2105" s="89" t="str">
        <f>CADASTROS!$C$1379</f>
        <v>Abenailton Oliveira Costa</v>
      </c>
      <c r="C2105" s="159">
        <v>21</v>
      </c>
      <c r="D2105" s="159">
        <v>22</v>
      </c>
      <c r="E2105" s="159">
        <v>23</v>
      </c>
      <c r="F2105" s="159"/>
      <c r="G2105" s="159">
        <v>12</v>
      </c>
      <c r="H2105" s="159"/>
      <c r="I2105" s="7">
        <f t="shared" si="177"/>
        <v>78</v>
      </c>
    </row>
    <row r="2106" spans="1:9" ht="15.75" x14ac:dyDescent="0.25">
      <c r="A2106" s="23">
        <v>1688</v>
      </c>
      <c r="B2106" s="89" t="str">
        <f>CADASTROS!$C$1380</f>
        <v>Genival Gomes Carmo</v>
      </c>
      <c r="C2106" s="159"/>
      <c r="D2106" s="159"/>
      <c r="E2106" s="159"/>
      <c r="F2106" s="159"/>
      <c r="G2106" s="159"/>
      <c r="H2106" s="159"/>
      <c r="I2106" s="7">
        <f t="shared" si="177"/>
        <v>0</v>
      </c>
    </row>
    <row r="2107" spans="1:9" ht="15.75" x14ac:dyDescent="0.25">
      <c r="A2107" s="23">
        <v>1689</v>
      </c>
      <c r="B2107" s="89" t="str">
        <f>CADASTROS!$C$1381</f>
        <v>Iolanda Oliveira Ribeiro</v>
      </c>
      <c r="C2107" s="159"/>
      <c r="D2107" s="159"/>
      <c r="E2107" s="159"/>
      <c r="F2107" s="159"/>
      <c r="G2107" s="159"/>
      <c r="H2107" s="159"/>
      <c r="I2107" s="7">
        <f t="shared" si="177"/>
        <v>0</v>
      </c>
    </row>
    <row r="2108" spans="1:9" ht="15.75" x14ac:dyDescent="0.25">
      <c r="A2108" s="23">
        <v>1690</v>
      </c>
      <c r="B2108" s="89" t="str">
        <f>CADASTROS!$C$1382</f>
        <v>Leonardo Louginho Souza</v>
      </c>
      <c r="C2108" s="159"/>
      <c r="D2108" s="159"/>
      <c r="E2108" s="159"/>
      <c r="F2108" s="159"/>
      <c r="G2108" s="159">
        <v>33.5</v>
      </c>
      <c r="H2108" s="159"/>
      <c r="I2108" s="7">
        <f t="shared" si="177"/>
        <v>33.5</v>
      </c>
    </row>
    <row r="2109" spans="1:9" ht="15.75" x14ac:dyDescent="0.25">
      <c r="A2109" s="23">
        <v>1691</v>
      </c>
      <c r="B2109" s="89" t="str">
        <f>CADASTROS!$C$1383</f>
        <v>Tiago Silva de Oliveira</v>
      </c>
      <c r="C2109" s="159"/>
      <c r="D2109" s="159"/>
      <c r="E2109" s="159"/>
      <c r="F2109" s="159"/>
      <c r="G2109" s="159"/>
      <c r="H2109" s="159"/>
      <c r="I2109" s="7">
        <f t="shared" si="177"/>
        <v>0</v>
      </c>
    </row>
    <row r="2110" spans="1:9" ht="15.75" x14ac:dyDescent="0.25">
      <c r="A2110" s="23">
        <v>1692</v>
      </c>
      <c r="B2110" s="89" t="str">
        <f>CADASTROS!$C$1384</f>
        <v>Genesson A. de Souza</v>
      </c>
      <c r="C2110" s="159"/>
      <c r="D2110" s="159"/>
      <c r="E2110" s="159"/>
      <c r="F2110" s="159"/>
      <c r="G2110" s="159"/>
      <c r="H2110" s="159"/>
      <c r="I2110" s="7">
        <f t="shared" si="177"/>
        <v>0</v>
      </c>
    </row>
    <row r="2111" spans="1:9" ht="15.75" x14ac:dyDescent="0.25">
      <c r="A2111" s="23">
        <v>1693</v>
      </c>
      <c r="B2111" s="89" t="str">
        <f>CADASTROS!$C$1385</f>
        <v>Geniclevia Ferreira da Silva</v>
      </c>
      <c r="C2111" s="159">
        <v>23.5</v>
      </c>
      <c r="D2111" s="159">
        <v>24.5</v>
      </c>
      <c r="E2111" s="159">
        <v>9.5</v>
      </c>
      <c r="F2111" s="159"/>
      <c r="G2111" s="159"/>
      <c r="H2111" s="159"/>
      <c r="I2111" s="7">
        <f t="shared" si="177"/>
        <v>57.5</v>
      </c>
    </row>
    <row r="2112" spans="1:9" ht="15.75" x14ac:dyDescent="0.25">
      <c r="A2112" s="23">
        <v>1694</v>
      </c>
      <c r="B2112" s="89" t="str">
        <f>CADASTROS!$C$1386</f>
        <v>Janice Santana dos Santos</v>
      </c>
      <c r="C2112" s="159">
        <v>51</v>
      </c>
      <c r="D2112" s="159">
        <v>59</v>
      </c>
      <c r="E2112" s="159">
        <v>47</v>
      </c>
      <c r="F2112" s="159"/>
      <c r="G2112" s="159">
        <v>17</v>
      </c>
      <c r="H2112" s="159"/>
      <c r="I2112" s="7">
        <f t="shared" si="177"/>
        <v>174</v>
      </c>
    </row>
    <row r="2113" spans="1:9" ht="15.75" x14ac:dyDescent="0.25">
      <c r="A2113" s="23">
        <v>1695</v>
      </c>
      <c r="B2113" s="89" t="str">
        <f>CADASTROS!$C$1387</f>
        <v>Jessica Soares Oliveira</v>
      </c>
      <c r="C2113" s="159"/>
      <c r="D2113" s="159"/>
      <c r="E2113" s="159"/>
      <c r="F2113" s="159"/>
      <c r="G2113" s="159"/>
      <c r="H2113" s="159"/>
      <c r="I2113" s="7">
        <f t="shared" si="177"/>
        <v>0</v>
      </c>
    </row>
    <row r="2114" spans="1:9" ht="15.75" x14ac:dyDescent="0.25">
      <c r="A2114" s="23">
        <v>1696</v>
      </c>
      <c r="B2114" s="89" t="str">
        <f>CADASTROS!$C$1388</f>
        <v>Valdir Ferreira Pinto</v>
      </c>
      <c r="C2114" s="159"/>
      <c r="D2114" s="159">
        <v>12.5</v>
      </c>
      <c r="E2114" s="159">
        <v>14</v>
      </c>
      <c r="F2114" s="159"/>
      <c r="G2114" s="159"/>
      <c r="H2114" s="159"/>
      <c r="I2114" s="7">
        <f t="shared" si="177"/>
        <v>26.5</v>
      </c>
    </row>
    <row r="2115" spans="1:9" ht="15.75" x14ac:dyDescent="0.25">
      <c r="A2115" s="23">
        <v>1697</v>
      </c>
      <c r="B2115" s="89" t="str">
        <f>CADASTROS!$C$1389</f>
        <v>Daelcio Oliveira</v>
      </c>
      <c r="C2115" s="159">
        <v>27</v>
      </c>
      <c r="D2115" s="159">
        <v>25</v>
      </c>
      <c r="E2115" s="159">
        <v>21</v>
      </c>
      <c r="F2115" s="159"/>
      <c r="G2115" s="159">
        <v>20</v>
      </c>
      <c r="H2115" s="159"/>
      <c r="I2115" s="7">
        <f t="shared" si="177"/>
        <v>93</v>
      </c>
    </row>
    <row r="2116" spans="1:9" ht="15.75" x14ac:dyDescent="0.25">
      <c r="A2116" s="23">
        <v>1698</v>
      </c>
      <c r="B2116" s="89" t="str">
        <f>CADASTROS!$C$1390</f>
        <v>Gleito E. S. Souza</v>
      </c>
      <c r="C2116" s="159">
        <v>30</v>
      </c>
      <c r="D2116" s="159">
        <v>36</v>
      </c>
      <c r="E2116" s="159">
        <v>27</v>
      </c>
      <c r="F2116" s="159"/>
      <c r="G2116" s="159"/>
      <c r="H2116" s="159"/>
      <c r="I2116" s="7">
        <f t="shared" si="177"/>
        <v>93</v>
      </c>
    </row>
    <row r="2117" spans="1:9" ht="15.75" x14ac:dyDescent="0.25">
      <c r="A2117" s="23">
        <v>1699</v>
      </c>
      <c r="B2117" s="89" t="str">
        <f>CADASTROS!$C$1391</f>
        <v>Ana N. Santos Soares</v>
      </c>
      <c r="C2117" s="159">
        <v>32</v>
      </c>
      <c r="D2117" s="159">
        <v>32.5</v>
      </c>
      <c r="E2117" s="159">
        <v>67.5</v>
      </c>
      <c r="F2117" s="159"/>
      <c r="G2117" s="159">
        <v>13</v>
      </c>
      <c r="H2117" s="159">
        <v>19</v>
      </c>
      <c r="I2117" s="7">
        <f t="shared" si="177"/>
        <v>164</v>
      </c>
    </row>
    <row r="2118" spans="1:9" ht="15.75" x14ac:dyDescent="0.25">
      <c r="A2118" s="23">
        <v>1700</v>
      </c>
      <c r="B2118" s="89" t="str">
        <f>CADASTROS!$C$1392</f>
        <v>Dermivania de Souza Cedro</v>
      </c>
      <c r="C2118" s="159"/>
      <c r="D2118" s="159"/>
      <c r="E2118" s="159"/>
      <c r="F2118" s="159"/>
      <c r="G2118" s="159"/>
      <c r="H2118" s="159"/>
      <c r="I2118" s="7">
        <f t="shared" si="177"/>
        <v>0</v>
      </c>
    </row>
    <row r="2119" spans="1:9" ht="15.75" x14ac:dyDescent="0.25">
      <c r="A2119" s="23">
        <v>1701</v>
      </c>
      <c r="B2119" s="89" t="str">
        <f>CADASTROS!$C$1393</f>
        <v>Elisangela Marciana de Souza</v>
      </c>
      <c r="C2119" s="159">
        <v>10.5</v>
      </c>
      <c r="D2119" s="159"/>
      <c r="E2119" s="159">
        <v>10.5</v>
      </c>
      <c r="F2119" s="159"/>
      <c r="G2119" s="159"/>
      <c r="H2119" s="159"/>
      <c r="I2119" s="7">
        <f t="shared" si="177"/>
        <v>21</v>
      </c>
    </row>
    <row r="2120" spans="1:9" ht="15.75" x14ac:dyDescent="0.25">
      <c r="A2120" s="23">
        <v>1702</v>
      </c>
      <c r="B2120" s="89" t="str">
        <f>CADASTROS!$C$1394</f>
        <v>Manelito Silva A. Souza</v>
      </c>
      <c r="C2120" s="159">
        <v>8.5</v>
      </c>
      <c r="D2120" s="159">
        <v>10.5</v>
      </c>
      <c r="E2120" s="159">
        <v>9</v>
      </c>
      <c r="F2120" s="159"/>
      <c r="G2120" s="159"/>
      <c r="H2120" s="159"/>
      <c r="I2120" s="7">
        <f t="shared" si="177"/>
        <v>28</v>
      </c>
    </row>
    <row r="2121" spans="1:9" ht="15.75" x14ac:dyDescent="0.25">
      <c r="A2121" s="23">
        <v>1703</v>
      </c>
      <c r="B2121" s="89" t="str">
        <f>CADASTROS!$C$1395</f>
        <v>Lívia Sousa Gonçalves</v>
      </c>
      <c r="C2121" s="159">
        <v>14.5</v>
      </c>
      <c r="D2121" s="159">
        <v>13</v>
      </c>
      <c r="E2121" s="159">
        <v>13</v>
      </c>
      <c r="F2121" s="159"/>
      <c r="G2121" s="159"/>
      <c r="H2121" s="159"/>
      <c r="I2121" s="7">
        <f t="shared" si="177"/>
        <v>40.5</v>
      </c>
    </row>
    <row r="2122" spans="1:9" ht="15.75" x14ac:dyDescent="0.25">
      <c r="A2122" s="23">
        <v>1704</v>
      </c>
      <c r="B2122" s="89" t="str">
        <f>CADASTROS!$C$1396</f>
        <v>Poliana Nunes dos Santos</v>
      </c>
      <c r="C2122" s="159"/>
      <c r="D2122" s="159"/>
      <c r="E2122" s="159"/>
      <c r="F2122" s="159"/>
      <c r="G2122" s="159"/>
      <c r="H2122" s="159"/>
      <c r="I2122" s="7">
        <f t="shared" si="177"/>
        <v>0</v>
      </c>
    </row>
    <row r="2123" spans="1:9" ht="15.75" x14ac:dyDescent="0.25">
      <c r="A2123" s="23">
        <v>1705</v>
      </c>
      <c r="B2123" s="89" t="str">
        <f>CADASTROS!$C$1397</f>
        <v>Ivonaldo Sousa Silva</v>
      </c>
      <c r="C2123" s="159">
        <v>15.5</v>
      </c>
      <c r="D2123" s="159">
        <v>22.5</v>
      </c>
      <c r="E2123" s="159">
        <v>22</v>
      </c>
      <c r="F2123" s="159"/>
      <c r="G2123" s="159"/>
      <c r="H2123" s="159"/>
      <c r="I2123" s="7">
        <f t="shared" si="177"/>
        <v>60</v>
      </c>
    </row>
    <row r="2124" spans="1:9" ht="15.75" x14ac:dyDescent="0.25">
      <c r="A2124" s="23">
        <v>1706</v>
      </c>
      <c r="B2124" s="89" t="str">
        <f>CADASTROS!$C$1398</f>
        <v>Anderson de Sousa Pereira</v>
      </c>
      <c r="C2124" s="159"/>
      <c r="D2124" s="159">
        <v>13.5</v>
      </c>
      <c r="E2124" s="159">
        <v>13.5</v>
      </c>
      <c r="F2124" s="159"/>
      <c r="G2124" s="159"/>
      <c r="H2124" s="159"/>
      <c r="I2124" s="7">
        <f t="shared" si="177"/>
        <v>27</v>
      </c>
    </row>
    <row r="2125" spans="1:9" ht="15.75" x14ac:dyDescent="0.25">
      <c r="A2125" s="23">
        <v>1707</v>
      </c>
      <c r="B2125" s="89" t="str">
        <f>CADASTROS!$C$1399</f>
        <v>Flávia de S. Cedro</v>
      </c>
      <c r="C2125" s="159"/>
      <c r="D2125" s="159"/>
      <c r="E2125" s="159"/>
      <c r="F2125" s="159"/>
      <c r="G2125" s="159"/>
      <c r="H2125" s="159"/>
      <c r="I2125" s="7">
        <f t="shared" si="177"/>
        <v>0</v>
      </c>
    </row>
    <row r="2126" spans="1:9" ht="15.75" x14ac:dyDescent="0.25">
      <c r="A2126" s="23">
        <v>1708</v>
      </c>
      <c r="B2126" s="89" t="str">
        <f>CADASTROS!$C$1400</f>
        <v>Mª de Lourdes M. Oliveira</v>
      </c>
      <c r="C2126" s="159">
        <v>29.5</v>
      </c>
      <c r="D2126" s="159">
        <v>9</v>
      </c>
      <c r="E2126" s="159"/>
      <c r="F2126" s="159"/>
      <c r="G2126" s="159">
        <v>12</v>
      </c>
      <c r="H2126" s="159"/>
      <c r="I2126" s="7">
        <f t="shared" si="177"/>
        <v>50.5</v>
      </c>
    </row>
    <row r="2127" spans="1:9" ht="15.75" x14ac:dyDescent="0.25">
      <c r="B2127" s="159" t="s">
        <v>4829</v>
      </c>
      <c r="C2127" s="159">
        <f>SUM(C2100:C2126)</f>
        <v>301</v>
      </c>
      <c r="D2127" s="159">
        <f t="shared" ref="D2127:H2127" si="178">SUM(D2100:D2126)</f>
        <v>342.5</v>
      </c>
      <c r="E2127" s="159">
        <f t="shared" si="178"/>
        <v>343</v>
      </c>
      <c r="F2127" s="159">
        <f t="shared" si="178"/>
        <v>0</v>
      </c>
      <c r="G2127" s="159">
        <f t="shared" si="178"/>
        <v>131.5</v>
      </c>
      <c r="H2127" s="159">
        <f t="shared" si="178"/>
        <v>19</v>
      </c>
      <c r="I2127" s="159">
        <f>SUM(I2100:I2126)</f>
        <v>1137</v>
      </c>
    </row>
    <row r="2129" spans="1:9" ht="15.75" x14ac:dyDescent="0.25">
      <c r="B2129" s="8" t="s">
        <v>4830</v>
      </c>
      <c r="C2129" s="159"/>
      <c r="D2129" s="159"/>
      <c r="E2129" s="159"/>
      <c r="F2129" s="159"/>
      <c r="G2129" s="159"/>
      <c r="H2129" s="159"/>
      <c r="I2129" s="159">
        <f>SUM(C2129:H2129)</f>
        <v>0</v>
      </c>
    </row>
    <row r="2130" spans="1:9" x14ac:dyDescent="0.25">
      <c r="B2130" s="167"/>
    </row>
    <row r="2131" spans="1:9" ht="15.75" x14ac:dyDescent="0.25">
      <c r="B2131" s="8" t="s">
        <v>4831</v>
      </c>
      <c r="C2131" s="9" t="e">
        <f>C2127/C2129</f>
        <v>#DIV/0!</v>
      </c>
      <c r="D2131" s="9" t="e">
        <f t="shared" ref="D2131:H2131" si="179">D2127/D2129</f>
        <v>#DIV/0!</v>
      </c>
      <c r="E2131" s="9" t="e">
        <f t="shared" si="179"/>
        <v>#DIV/0!</v>
      </c>
      <c r="F2131" s="9" t="e">
        <f t="shared" si="179"/>
        <v>#DIV/0!</v>
      </c>
      <c r="G2131" s="9" t="e">
        <f t="shared" si="179"/>
        <v>#DIV/0!</v>
      </c>
      <c r="H2131" s="9" t="e">
        <f t="shared" si="179"/>
        <v>#DIV/0!</v>
      </c>
      <c r="I2131" s="9"/>
    </row>
    <row r="2132" spans="1:9" ht="15.75" x14ac:dyDescent="0.25">
      <c r="B2132" s="163"/>
      <c r="C2132" s="10"/>
      <c r="D2132" s="10"/>
      <c r="E2132" s="10"/>
      <c r="F2132" s="10"/>
      <c r="G2132" s="10"/>
      <c r="H2132" s="163"/>
      <c r="I2132" s="163"/>
    </row>
    <row r="2133" spans="1:9" ht="15.75" x14ac:dyDescent="0.25">
      <c r="B2133" s="8" t="s">
        <v>4832</v>
      </c>
      <c r="C2133" s="159"/>
      <c r="D2133" s="159"/>
      <c r="E2133" s="6"/>
      <c r="F2133" s="6"/>
      <c r="G2133" s="6"/>
      <c r="H2133" s="6"/>
      <c r="I2133" s="11"/>
    </row>
    <row r="2135" spans="1:9" ht="33.75" x14ac:dyDescent="0.25">
      <c r="B2135" s="187" t="s">
        <v>4842</v>
      </c>
      <c r="C2135" s="188"/>
      <c r="D2135" s="188"/>
      <c r="E2135" s="188"/>
      <c r="F2135" s="188"/>
      <c r="G2135" s="188"/>
      <c r="H2135" s="188"/>
      <c r="I2135" s="189"/>
    </row>
    <row r="2136" spans="1:9" ht="47.25" x14ac:dyDescent="0.25">
      <c r="A2136" s="155" t="s">
        <v>4819</v>
      </c>
      <c r="B2136" s="155" t="s">
        <v>4820</v>
      </c>
      <c r="C2136" s="4" t="s">
        <v>4821</v>
      </c>
      <c r="D2136" s="4" t="s">
        <v>4822</v>
      </c>
      <c r="E2136" s="88" t="s">
        <v>4823</v>
      </c>
      <c r="F2136" s="88" t="s">
        <v>4824</v>
      </c>
      <c r="G2136" s="88" t="s">
        <v>4825</v>
      </c>
      <c r="H2136" s="4" t="s">
        <v>4826</v>
      </c>
      <c r="I2136" s="29" t="s">
        <v>4827</v>
      </c>
    </row>
    <row r="2137" spans="1:9" ht="25.5" x14ac:dyDescent="0.25">
      <c r="A2137" s="156"/>
      <c r="B2137" s="156"/>
      <c r="C2137" s="13" t="s">
        <v>4828</v>
      </c>
      <c r="D2137" s="13" t="s">
        <v>4828</v>
      </c>
      <c r="E2137" s="13" t="s">
        <v>4828</v>
      </c>
      <c r="F2137" s="13" t="s">
        <v>4828</v>
      </c>
      <c r="G2137" s="13" t="s">
        <v>4828</v>
      </c>
      <c r="H2137" s="13" t="s">
        <v>4828</v>
      </c>
      <c r="I2137" s="30"/>
    </row>
    <row r="2138" spans="1:9" ht="15.75" x14ac:dyDescent="0.25">
      <c r="A2138" s="23">
        <v>1709</v>
      </c>
      <c r="B2138" s="89" t="str">
        <f>CADASTROS!$C$1401</f>
        <v>Leidiane Souza dos Santos</v>
      </c>
      <c r="C2138" s="159"/>
      <c r="D2138" s="159"/>
      <c r="E2138" s="159"/>
      <c r="F2138" s="159"/>
      <c r="G2138" s="159"/>
      <c r="H2138" s="159"/>
      <c r="I2138" s="7">
        <f>SUM(C2138+D2138+E2138+F2138+G2138+H2138)</f>
        <v>0</v>
      </c>
    </row>
    <row r="2139" spans="1:9" ht="15.75" x14ac:dyDescent="0.25">
      <c r="A2139" s="23">
        <v>1710</v>
      </c>
      <c r="B2139" s="89" t="str">
        <f>CADASTROS!$C$1402</f>
        <v>Janilson Francisco dos Santos</v>
      </c>
      <c r="C2139" s="159"/>
      <c r="D2139" s="159"/>
      <c r="E2139" s="159"/>
      <c r="F2139" s="159"/>
      <c r="G2139" s="159"/>
      <c r="H2139" s="159"/>
      <c r="I2139" s="7">
        <f>SUM(C2139+D2139+E2139+F2139+G2139+H2139)</f>
        <v>0</v>
      </c>
    </row>
    <row r="2140" spans="1:9" ht="15.75" x14ac:dyDescent="0.25">
      <c r="A2140" s="23">
        <v>1711</v>
      </c>
      <c r="B2140" s="89" t="str">
        <f>CADASTROS!$C$1403</f>
        <v>Marivania Teles Oliveira</v>
      </c>
      <c r="C2140" s="159"/>
      <c r="D2140" s="159"/>
      <c r="E2140" s="159"/>
      <c r="F2140" s="159"/>
      <c r="G2140" s="159"/>
      <c r="H2140" s="159"/>
      <c r="I2140" s="7">
        <f t="shared" ref="I2140:I2164" si="180">SUM(C2140+D2140+E2140+F2140+G2140+H2140)</f>
        <v>0</v>
      </c>
    </row>
    <row r="2141" spans="1:9" ht="15.75" x14ac:dyDescent="0.25">
      <c r="A2141" s="23">
        <v>1712</v>
      </c>
      <c r="B2141" s="89" t="str">
        <f>CADASTROS!$C$1404</f>
        <v>Roseli Lima de Oliveira</v>
      </c>
      <c r="C2141" s="159">
        <v>12</v>
      </c>
      <c r="D2141" s="159">
        <v>18.5</v>
      </c>
      <c r="E2141" s="159">
        <v>14</v>
      </c>
      <c r="F2141" s="159"/>
      <c r="G2141" s="159"/>
      <c r="H2141" s="159"/>
      <c r="I2141" s="7">
        <f t="shared" si="180"/>
        <v>44.5</v>
      </c>
    </row>
    <row r="2142" spans="1:9" ht="15.75" x14ac:dyDescent="0.25">
      <c r="A2142" s="23">
        <v>1713</v>
      </c>
      <c r="B2142" s="89" t="str">
        <f>CADASTROS!$C$1405</f>
        <v>Lindinalva Rosa dos Santos</v>
      </c>
      <c r="C2142" s="159"/>
      <c r="D2142" s="159"/>
      <c r="E2142" s="159">
        <v>13</v>
      </c>
      <c r="F2142" s="159"/>
      <c r="G2142" s="159">
        <v>15.5</v>
      </c>
      <c r="H2142" s="159"/>
      <c r="I2142" s="7">
        <f t="shared" si="180"/>
        <v>28.5</v>
      </c>
    </row>
    <row r="2143" spans="1:9" ht="15.75" x14ac:dyDescent="0.25">
      <c r="A2143" s="23">
        <v>1714</v>
      </c>
      <c r="B2143" s="89" t="str">
        <f>CADASTROS!$C$1406</f>
        <v>Juliana Silva da Conceição</v>
      </c>
      <c r="C2143" s="159"/>
      <c r="D2143" s="159"/>
      <c r="E2143" s="159"/>
      <c r="F2143" s="159"/>
      <c r="G2143" s="159"/>
      <c r="H2143" s="159"/>
      <c r="I2143" s="7">
        <f t="shared" si="180"/>
        <v>0</v>
      </c>
    </row>
    <row r="2144" spans="1:9" ht="15.75" x14ac:dyDescent="0.25">
      <c r="A2144" s="23">
        <v>1715</v>
      </c>
      <c r="B2144" s="89" t="str">
        <f>CADASTROS!$C$1407</f>
        <v>Célia Pereira dos Santos</v>
      </c>
      <c r="C2144" s="159"/>
      <c r="D2144" s="159"/>
      <c r="E2144" s="159"/>
      <c r="F2144" s="159"/>
      <c r="G2144" s="159"/>
      <c r="H2144" s="159"/>
      <c r="I2144" s="7">
        <f t="shared" si="180"/>
        <v>0</v>
      </c>
    </row>
    <row r="2145" spans="1:9" ht="15.75" x14ac:dyDescent="0.25">
      <c r="A2145" s="23">
        <v>1716</v>
      </c>
      <c r="B2145" s="89" t="str">
        <f>CADASTROS!$C$1408</f>
        <v>Eloisa Santana Guimarães</v>
      </c>
      <c r="C2145" s="159">
        <v>14</v>
      </c>
      <c r="D2145" s="159"/>
      <c r="E2145" s="159">
        <v>15.5</v>
      </c>
      <c r="F2145" s="159"/>
      <c r="G2145" s="159">
        <v>16.5</v>
      </c>
      <c r="H2145" s="159"/>
      <c r="I2145" s="7">
        <f t="shared" si="180"/>
        <v>46</v>
      </c>
    </row>
    <row r="2146" spans="1:9" ht="15.75" x14ac:dyDescent="0.25">
      <c r="A2146" s="23">
        <v>1717</v>
      </c>
      <c r="B2146" s="89" t="str">
        <f>CADASTROS!$C$1409</f>
        <v>Luana Conceição Santos</v>
      </c>
      <c r="C2146" s="159"/>
      <c r="D2146" s="159"/>
      <c r="E2146" s="159"/>
      <c r="F2146" s="159"/>
      <c r="G2146" s="159"/>
      <c r="H2146" s="159"/>
      <c r="I2146" s="7">
        <f t="shared" si="180"/>
        <v>0</v>
      </c>
    </row>
    <row r="2147" spans="1:9" ht="15.75" x14ac:dyDescent="0.25">
      <c r="A2147" s="23">
        <v>1718</v>
      </c>
      <c r="B2147" s="89" t="str">
        <f>CADASTROS!$C$1410</f>
        <v>Euciléia Santos</v>
      </c>
      <c r="C2147" s="159"/>
      <c r="D2147" s="159"/>
      <c r="E2147" s="159"/>
      <c r="F2147" s="159"/>
      <c r="G2147" s="159"/>
      <c r="H2147" s="159"/>
      <c r="I2147" s="7">
        <f t="shared" si="180"/>
        <v>0</v>
      </c>
    </row>
    <row r="2148" spans="1:9" ht="15.75" x14ac:dyDescent="0.25">
      <c r="A2148" s="23">
        <v>1719</v>
      </c>
      <c r="B2148" s="89" t="str">
        <f>CADASTROS!$C$1411</f>
        <v>Carine Souza de Jesus</v>
      </c>
      <c r="C2148" s="159"/>
      <c r="D2148" s="159"/>
      <c r="E2148" s="159">
        <v>7</v>
      </c>
      <c r="F2148" s="159"/>
      <c r="G2148" s="159"/>
      <c r="H2148" s="159"/>
      <c r="I2148" s="7">
        <f t="shared" si="180"/>
        <v>7</v>
      </c>
    </row>
    <row r="2149" spans="1:9" ht="15.75" x14ac:dyDescent="0.25">
      <c r="A2149" s="23">
        <v>1720</v>
      </c>
      <c r="B2149" s="89" t="str">
        <f>CADASTROS!$C$1412</f>
        <v>Vanilza Pereira de Souza</v>
      </c>
      <c r="C2149" s="159">
        <v>24</v>
      </c>
      <c r="D2149" s="159">
        <v>21</v>
      </c>
      <c r="E2149" s="159">
        <v>20.5</v>
      </c>
      <c r="F2149" s="159"/>
      <c r="G2149" s="159">
        <v>4</v>
      </c>
      <c r="H2149" s="159"/>
      <c r="I2149" s="7">
        <f t="shared" si="180"/>
        <v>69.5</v>
      </c>
    </row>
    <row r="2150" spans="1:9" ht="15.75" x14ac:dyDescent="0.25">
      <c r="A2150" s="23">
        <v>1721</v>
      </c>
      <c r="B2150" s="89" t="str">
        <f>CADASTROS!$C$1413</f>
        <v>Ediene Lima Soares</v>
      </c>
      <c r="C2150" s="159"/>
      <c r="D2150" s="159"/>
      <c r="E2150" s="159"/>
      <c r="F2150" s="159"/>
      <c r="G2150" s="159"/>
      <c r="H2150" s="159"/>
      <c r="I2150" s="7">
        <f t="shared" si="180"/>
        <v>0</v>
      </c>
    </row>
    <row r="2151" spans="1:9" ht="15.75" x14ac:dyDescent="0.25">
      <c r="A2151" s="23">
        <v>1722</v>
      </c>
      <c r="B2151" s="89" t="str">
        <f>CADASTROS!$C$1414</f>
        <v>Jilmaene Pereira de Souza</v>
      </c>
      <c r="C2151" s="159"/>
      <c r="D2151" s="159"/>
      <c r="E2151" s="159"/>
      <c r="F2151" s="159"/>
      <c r="G2151" s="159"/>
      <c r="H2151" s="159"/>
      <c r="I2151" s="7">
        <f t="shared" si="180"/>
        <v>0</v>
      </c>
    </row>
    <row r="2152" spans="1:9" ht="15.75" x14ac:dyDescent="0.25">
      <c r="A2152" s="23">
        <v>1723</v>
      </c>
      <c r="B2152" s="89" t="str">
        <f>CADASTROS!$C$1415</f>
        <v>Valcira Araújo  de Souza</v>
      </c>
      <c r="C2152" s="159">
        <v>51.5</v>
      </c>
      <c r="D2152" s="159">
        <v>57.5</v>
      </c>
      <c r="E2152" s="159">
        <v>61.5</v>
      </c>
      <c r="F2152" s="159"/>
      <c r="G2152" s="159">
        <v>27</v>
      </c>
      <c r="H2152" s="159">
        <v>16</v>
      </c>
      <c r="I2152" s="7">
        <f t="shared" si="180"/>
        <v>213.5</v>
      </c>
    </row>
    <row r="2153" spans="1:9" ht="15.75" x14ac:dyDescent="0.25">
      <c r="A2153" s="23">
        <v>1724</v>
      </c>
      <c r="B2153" s="89" t="str">
        <f>CADASTROS!$C$1416</f>
        <v>José Alves de Souza</v>
      </c>
      <c r="C2153" s="159">
        <v>14</v>
      </c>
      <c r="D2153" s="159"/>
      <c r="E2153" s="159"/>
      <c r="F2153" s="159"/>
      <c r="G2153" s="159"/>
      <c r="H2153" s="159"/>
      <c r="I2153" s="7">
        <f t="shared" si="180"/>
        <v>14</v>
      </c>
    </row>
    <row r="2154" spans="1:9" ht="15.75" x14ac:dyDescent="0.25">
      <c r="A2154" s="23">
        <v>1725</v>
      </c>
      <c r="B2154" s="89" t="str">
        <f>CADASTROS!$C$1417</f>
        <v>Cosme Almeida Santos</v>
      </c>
      <c r="C2154" s="159"/>
      <c r="D2154" s="159"/>
      <c r="E2154" s="159"/>
      <c r="F2154" s="159"/>
      <c r="G2154" s="159"/>
      <c r="H2154" s="159"/>
      <c r="I2154" s="7">
        <f t="shared" si="180"/>
        <v>0</v>
      </c>
    </row>
    <row r="2155" spans="1:9" ht="15.75" x14ac:dyDescent="0.25">
      <c r="A2155" s="23">
        <v>1726</v>
      </c>
      <c r="B2155" s="89" t="str">
        <f>CADASTROS!$C$1418</f>
        <v>Fabiana Ribeiro Costa</v>
      </c>
      <c r="C2155" s="159"/>
      <c r="D2155" s="159"/>
      <c r="E2155" s="159">
        <v>8</v>
      </c>
      <c r="F2155" s="159"/>
      <c r="G2155" s="159"/>
      <c r="H2155" s="159"/>
      <c r="I2155" s="7">
        <f t="shared" si="180"/>
        <v>8</v>
      </c>
    </row>
    <row r="2156" spans="1:9" ht="15.75" x14ac:dyDescent="0.25">
      <c r="A2156" s="23">
        <v>1727</v>
      </c>
      <c r="B2156" s="89" t="str">
        <f>CADASTROS!$C$1419</f>
        <v>Jaciara Santos Nascimento</v>
      </c>
      <c r="C2156" s="159"/>
      <c r="D2156" s="159">
        <v>14</v>
      </c>
      <c r="E2156" s="159">
        <v>16</v>
      </c>
      <c r="F2156" s="159"/>
      <c r="G2156" s="159"/>
      <c r="H2156" s="159"/>
      <c r="I2156" s="7">
        <f t="shared" si="180"/>
        <v>30</v>
      </c>
    </row>
    <row r="2157" spans="1:9" ht="15.75" x14ac:dyDescent="0.25">
      <c r="A2157" s="23">
        <v>1728</v>
      </c>
      <c r="B2157" s="89" t="str">
        <f>CADASTROS!$C$1420</f>
        <v>Jeane Silva dos Santos</v>
      </c>
      <c r="C2157" s="159">
        <v>12</v>
      </c>
      <c r="D2157" s="159">
        <v>10</v>
      </c>
      <c r="E2157" s="159">
        <v>8.5</v>
      </c>
      <c r="F2157" s="159"/>
      <c r="G2157" s="159">
        <v>21</v>
      </c>
      <c r="H2157" s="159"/>
      <c r="I2157" s="7">
        <f t="shared" si="180"/>
        <v>51.5</v>
      </c>
    </row>
    <row r="2158" spans="1:9" ht="15.75" x14ac:dyDescent="0.25">
      <c r="A2158" s="23">
        <v>1729</v>
      </c>
      <c r="B2158" s="89" t="str">
        <f>CADASTROS!$C$1421</f>
        <v>Gilmar dos Santos Alves</v>
      </c>
      <c r="C2158" s="159">
        <v>7</v>
      </c>
      <c r="D2158" s="159">
        <v>9</v>
      </c>
      <c r="E2158" s="159">
        <v>9</v>
      </c>
      <c r="F2158" s="159"/>
      <c r="G2158" s="159"/>
      <c r="H2158" s="159"/>
      <c r="I2158" s="7">
        <f t="shared" si="180"/>
        <v>25</v>
      </c>
    </row>
    <row r="2159" spans="1:9" ht="15.75" x14ac:dyDescent="0.25">
      <c r="A2159" s="23">
        <v>1730</v>
      </c>
      <c r="B2159" s="89" t="str">
        <f>CADASTROS!$C$1422</f>
        <v>Anaclecia Santos Lopes</v>
      </c>
      <c r="C2159" s="159">
        <v>26.5</v>
      </c>
      <c r="D2159" s="159">
        <v>17.5</v>
      </c>
      <c r="E2159" s="159">
        <v>14</v>
      </c>
      <c r="F2159" s="159"/>
      <c r="G2159" s="159"/>
      <c r="H2159" s="159"/>
      <c r="I2159" s="7">
        <f t="shared" si="180"/>
        <v>58</v>
      </c>
    </row>
    <row r="2160" spans="1:9" ht="15.75" x14ac:dyDescent="0.25">
      <c r="A2160" s="23">
        <v>1731</v>
      </c>
      <c r="B2160" s="89" t="str">
        <f>CADASTROS!$C$1423</f>
        <v>Edriana Costa dos Santos</v>
      </c>
      <c r="C2160" s="159"/>
      <c r="D2160" s="159"/>
      <c r="E2160" s="159"/>
      <c r="F2160" s="159"/>
      <c r="G2160" s="159"/>
      <c r="H2160" s="159"/>
      <c r="I2160" s="7">
        <f t="shared" si="180"/>
        <v>0</v>
      </c>
    </row>
    <row r="2161" spans="1:9" ht="15.75" x14ac:dyDescent="0.25">
      <c r="A2161" s="23">
        <v>1732</v>
      </c>
      <c r="B2161" s="89" t="str">
        <f>CADASTROS!$C$1424</f>
        <v>Lúcio de Jesus Souza</v>
      </c>
      <c r="C2161" s="159"/>
      <c r="D2161" s="159"/>
      <c r="E2161" s="159"/>
      <c r="F2161" s="159"/>
      <c r="G2161" s="159"/>
      <c r="H2161" s="159"/>
      <c r="I2161" s="7">
        <f t="shared" si="180"/>
        <v>0</v>
      </c>
    </row>
    <row r="2162" spans="1:9" ht="15.75" x14ac:dyDescent="0.25">
      <c r="A2162" s="23">
        <v>1733</v>
      </c>
      <c r="B2162" s="89" t="str">
        <f>CADASTROS!$C$1425</f>
        <v>Robenilson da Cruz Silva</v>
      </c>
      <c r="C2162" s="159"/>
      <c r="D2162" s="159"/>
      <c r="E2162" s="159"/>
      <c r="F2162" s="159"/>
      <c r="G2162" s="159">
        <v>9</v>
      </c>
      <c r="H2162" s="159"/>
      <c r="I2162" s="7">
        <f t="shared" si="180"/>
        <v>9</v>
      </c>
    </row>
    <row r="2163" spans="1:9" ht="15.75" x14ac:dyDescent="0.25">
      <c r="A2163" s="23">
        <v>1734</v>
      </c>
      <c r="B2163" s="89" t="str">
        <f>CADASTROS!$C$1426</f>
        <v>Jovania Santos da Cruz</v>
      </c>
      <c r="C2163" s="159"/>
      <c r="D2163" s="159"/>
      <c r="E2163" s="159"/>
      <c r="F2163" s="159"/>
      <c r="G2163" s="159"/>
      <c r="H2163" s="159"/>
      <c r="I2163" s="7">
        <f t="shared" si="180"/>
        <v>0</v>
      </c>
    </row>
    <row r="2164" spans="1:9" ht="15.75" x14ac:dyDescent="0.25">
      <c r="A2164" s="23">
        <v>1735</v>
      </c>
      <c r="B2164" s="89" t="str">
        <f>CADASTROS!$C$1427</f>
        <v>Almir de Jesus Carvalho</v>
      </c>
      <c r="C2164" s="159"/>
      <c r="D2164" s="159"/>
      <c r="E2164" s="159"/>
      <c r="F2164" s="159"/>
      <c r="G2164" s="159">
        <v>3</v>
      </c>
      <c r="H2164" s="159"/>
      <c r="I2164" s="7">
        <f t="shared" si="180"/>
        <v>3</v>
      </c>
    </row>
    <row r="2165" spans="1:9" ht="15.75" x14ac:dyDescent="0.25">
      <c r="B2165" s="159" t="s">
        <v>4829</v>
      </c>
      <c r="C2165" s="159">
        <f>SUM(C2138:C2164)</f>
        <v>161</v>
      </c>
      <c r="D2165" s="159">
        <f t="shared" ref="D2165:H2165" si="181">SUM(D2138:D2164)</f>
        <v>147.5</v>
      </c>
      <c r="E2165" s="159">
        <f t="shared" si="181"/>
        <v>187</v>
      </c>
      <c r="F2165" s="159">
        <f t="shared" si="181"/>
        <v>0</v>
      </c>
      <c r="G2165" s="159">
        <f t="shared" si="181"/>
        <v>96</v>
      </c>
      <c r="H2165" s="159">
        <f t="shared" si="181"/>
        <v>16</v>
      </c>
      <c r="I2165" s="159">
        <f>SUM(I2138:I2164)</f>
        <v>607.5</v>
      </c>
    </row>
    <row r="2167" spans="1:9" ht="15.75" x14ac:dyDescent="0.25">
      <c r="B2167" s="8" t="s">
        <v>4830</v>
      </c>
      <c r="C2167" s="159"/>
      <c r="D2167" s="159"/>
      <c r="E2167" s="159"/>
      <c r="F2167" s="159"/>
      <c r="G2167" s="159"/>
      <c r="H2167" s="159"/>
      <c r="I2167" s="159">
        <f>SUM(C2167:H2167)</f>
        <v>0</v>
      </c>
    </row>
    <row r="2168" spans="1:9" x14ac:dyDescent="0.25">
      <c r="B2168" s="167"/>
    </row>
    <row r="2169" spans="1:9" ht="15.75" x14ac:dyDescent="0.25">
      <c r="B2169" s="8" t="s">
        <v>4831</v>
      </c>
      <c r="C2169" s="9" t="e">
        <f>C2165/C2167</f>
        <v>#DIV/0!</v>
      </c>
      <c r="D2169" s="9" t="e">
        <f t="shared" ref="D2169:H2169" si="182">D2165/D2167</f>
        <v>#DIV/0!</v>
      </c>
      <c r="E2169" s="9" t="e">
        <f t="shared" si="182"/>
        <v>#DIV/0!</v>
      </c>
      <c r="F2169" s="9" t="e">
        <f t="shared" si="182"/>
        <v>#DIV/0!</v>
      </c>
      <c r="G2169" s="9" t="e">
        <f t="shared" si="182"/>
        <v>#DIV/0!</v>
      </c>
      <c r="H2169" s="9" t="e">
        <f t="shared" si="182"/>
        <v>#DIV/0!</v>
      </c>
      <c r="I2169" s="9"/>
    </row>
    <row r="2170" spans="1:9" ht="15.75" x14ac:dyDescent="0.25">
      <c r="B2170" s="163"/>
      <c r="C2170" s="10"/>
      <c r="D2170" s="10"/>
      <c r="E2170" s="10"/>
      <c r="F2170" s="10"/>
      <c r="G2170" s="10"/>
      <c r="H2170" s="163"/>
      <c r="I2170" s="163"/>
    </row>
    <row r="2171" spans="1:9" ht="15.75" x14ac:dyDescent="0.25">
      <c r="B2171" s="8" t="s">
        <v>4832</v>
      </c>
      <c r="C2171" s="159"/>
      <c r="D2171" s="159"/>
      <c r="E2171" s="6"/>
      <c r="F2171" s="6"/>
      <c r="G2171" s="6"/>
      <c r="H2171" s="6"/>
      <c r="I2171" s="11"/>
    </row>
    <row r="2173" spans="1:9" ht="33.75" x14ac:dyDescent="0.25">
      <c r="B2173" s="187" t="s">
        <v>4842</v>
      </c>
      <c r="C2173" s="188"/>
      <c r="D2173" s="188"/>
      <c r="E2173" s="188"/>
      <c r="F2173" s="188"/>
      <c r="G2173" s="188"/>
      <c r="H2173" s="188"/>
      <c r="I2173" s="189"/>
    </row>
    <row r="2174" spans="1:9" ht="47.25" x14ac:dyDescent="0.25">
      <c r="A2174" s="155" t="s">
        <v>4819</v>
      </c>
      <c r="B2174" s="155" t="s">
        <v>4820</v>
      </c>
      <c r="C2174" s="4" t="s">
        <v>4821</v>
      </c>
      <c r="D2174" s="4" t="s">
        <v>4822</v>
      </c>
      <c r="E2174" s="88" t="s">
        <v>4823</v>
      </c>
      <c r="F2174" s="88" t="s">
        <v>4824</v>
      </c>
      <c r="G2174" s="88" t="s">
        <v>4825</v>
      </c>
      <c r="H2174" s="4" t="s">
        <v>4826</v>
      </c>
      <c r="I2174" s="29" t="s">
        <v>4827</v>
      </c>
    </row>
    <row r="2175" spans="1:9" ht="25.5" x14ac:dyDescent="0.25">
      <c r="A2175" s="156"/>
      <c r="B2175" s="156"/>
      <c r="C2175" s="13" t="s">
        <v>4828</v>
      </c>
      <c r="D2175" s="13" t="s">
        <v>4828</v>
      </c>
      <c r="E2175" s="13" t="s">
        <v>4828</v>
      </c>
      <c r="F2175" s="13" t="s">
        <v>4828</v>
      </c>
      <c r="G2175" s="13" t="s">
        <v>4828</v>
      </c>
      <c r="H2175" s="13" t="s">
        <v>4828</v>
      </c>
      <c r="I2175" s="30"/>
    </row>
    <row r="2176" spans="1:9" ht="15.75" x14ac:dyDescent="0.25">
      <c r="A2176" s="23">
        <v>1736</v>
      </c>
      <c r="B2176" s="89" t="str">
        <f>CADASTROS!$C$1428</f>
        <v>Luciana dos Anjos Costa</v>
      </c>
      <c r="C2176" s="159"/>
      <c r="D2176" s="159"/>
      <c r="E2176" s="159"/>
      <c r="F2176" s="159"/>
      <c r="G2176" s="159"/>
      <c r="H2176" s="159"/>
      <c r="I2176" s="7">
        <f>SUM(C2176+D2176+E2176+F2176+G2176+H2176)</f>
        <v>0</v>
      </c>
    </row>
    <row r="2177" spans="1:9" ht="15.75" x14ac:dyDescent="0.25">
      <c r="A2177" s="23">
        <v>1737</v>
      </c>
      <c r="B2177" s="89" t="str">
        <f>CADASTROS!$C$1429</f>
        <v>Domingas Betania de Souza</v>
      </c>
      <c r="C2177" s="159">
        <v>8.5</v>
      </c>
      <c r="D2177" s="159">
        <v>11</v>
      </c>
      <c r="E2177" s="159">
        <v>23</v>
      </c>
      <c r="F2177" s="159"/>
      <c r="G2177" s="159"/>
      <c r="H2177" s="159"/>
      <c r="I2177" s="7">
        <f>SUM(C2177+D2177+E2177+F2177+G2177+H2177)</f>
        <v>42.5</v>
      </c>
    </row>
    <row r="2178" spans="1:9" ht="15.75" x14ac:dyDescent="0.25">
      <c r="A2178" s="23">
        <v>1738</v>
      </c>
      <c r="B2178" s="89" t="str">
        <f>CADASTROS!$C$1430</f>
        <v>Gilson Alves Ribeiro</v>
      </c>
      <c r="C2178" s="159"/>
      <c r="D2178" s="159">
        <v>14</v>
      </c>
      <c r="E2178" s="159">
        <v>11.5</v>
      </c>
      <c r="F2178" s="159"/>
      <c r="G2178" s="159"/>
      <c r="H2178" s="159"/>
      <c r="I2178" s="7">
        <f t="shared" ref="I2178:I2202" si="183">SUM(C2178+D2178+E2178+F2178+G2178+H2178)</f>
        <v>25.5</v>
      </c>
    </row>
    <row r="2179" spans="1:9" ht="15.75" x14ac:dyDescent="0.25">
      <c r="A2179" s="23">
        <v>1739</v>
      </c>
      <c r="B2179" s="89" t="str">
        <f>CADASTROS!$C$1431</f>
        <v>Ana Lucia Sena Meira</v>
      </c>
      <c r="C2179" s="159"/>
      <c r="D2179" s="159">
        <v>14</v>
      </c>
      <c r="E2179" s="159"/>
      <c r="F2179" s="159"/>
      <c r="G2179" s="159"/>
      <c r="H2179" s="159"/>
      <c r="I2179" s="7">
        <f t="shared" si="183"/>
        <v>14</v>
      </c>
    </row>
    <row r="2180" spans="1:9" ht="15.75" x14ac:dyDescent="0.25">
      <c r="A2180" s="23">
        <v>1740</v>
      </c>
      <c r="B2180" s="89" t="str">
        <f>CADASTROS!$C$1432</f>
        <v>Nivaldo Antônio Magno</v>
      </c>
      <c r="C2180" s="159">
        <v>21.5</v>
      </c>
      <c r="D2180" s="159">
        <v>27</v>
      </c>
      <c r="E2180" s="159">
        <v>32</v>
      </c>
      <c r="F2180" s="159"/>
      <c r="G2180" s="159"/>
      <c r="H2180" s="159"/>
      <c r="I2180" s="7">
        <f t="shared" si="183"/>
        <v>80.5</v>
      </c>
    </row>
    <row r="2181" spans="1:9" ht="15.75" x14ac:dyDescent="0.25">
      <c r="A2181" s="23">
        <v>1741</v>
      </c>
      <c r="B2181" s="89" t="str">
        <f>CADASTROS!$C$1433</f>
        <v>Ana Cedro Alves Santos</v>
      </c>
      <c r="C2181" s="159"/>
      <c r="D2181" s="159"/>
      <c r="E2181" s="159"/>
      <c r="F2181" s="159"/>
      <c r="G2181" s="159"/>
      <c r="H2181" s="159"/>
      <c r="I2181" s="7">
        <f t="shared" si="183"/>
        <v>0</v>
      </c>
    </row>
    <row r="2182" spans="1:9" ht="15.75" x14ac:dyDescent="0.25">
      <c r="A2182" s="23">
        <v>1742</v>
      </c>
      <c r="B2182" s="89" t="str">
        <f>CADASTROS!$C$1434</f>
        <v>Paulo Santos Oliveira</v>
      </c>
      <c r="C2182" s="159"/>
      <c r="D2182" s="159"/>
      <c r="E2182" s="159"/>
      <c r="F2182" s="159"/>
      <c r="G2182" s="159"/>
      <c r="H2182" s="159"/>
      <c r="I2182" s="7">
        <f t="shared" si="183"/>
        <v>0</v>
      </c>
    </row>
    <row r="2183" spans="1:9" ht="15.75" x14ac:dyDescent="0.25">
      <c r="A2183" s="23">
        <v>1743</v>
      </c>
      <c r="B2183" s="89" t="str">
        <f>CADASTROS!$C$1435</f>
        <v>Valdirene Alve Pereira</v>
      </c>
      <c r="C2183" s="159"/>
      <c r="D2183" s="159"/>
      <c r="E2183" s="159"/>
      <c r="F2183" s="159"/>
      <c r="G2183" s="159"/>
      <c r="H2183" s="159"/>
      <c r="I2183" s="7">
        <f t="shared" si="183"/>
        <v>0</v>
      </c>
    </row>
    <row r="2184" spans="1:9" ht="15.75" x14ac:dyDescent="0.25">
      <c r="A2184" s="23">
        <v>1744</v>
      </c>
      <c r="B2184" s="89" t="str">
        <f>CADASTROS!$C$1436</f>
        <v>Valdir Pereira S. Souza</v>
      </c>
      <c r="C2184" s="159"/>
      <c r="D2184" s="159">
        <v>14.5</v>
      </c>
      <c r="E2184" s="159">
        <v>6</v>
      </c>
      <c r="F2184" s="159"/>
      <c r="G2184" s="159"/>
      <c r="H2184" s="159"/>
      <c r="I2184" s="7">
        <f t="shared" si="183"/>
        <v>20.5</v>
      </c>
    </row>
    <row r="2185" spans="1:9" ht="15.75" x14ac:dyDescent="0.25">
      <c r="A2185" s="23">
        <v>1745</v>
      </c>
      <c r="B2185" s="89" t="str">
        <f>CADASTROS!$C$1437</f>
        <v>Reinaldo Costa da Rocha</v>
      </c>
      <c r="C2185" s="159"/>
      <c r="D2185" s="159"/>
      <c r="E2185" s="159"/>
      <c r="F2185" s="159"/>
      <c r="G2185" s="159"/>
      <c r="H2185" s="159"/>
      <c r="I2185" s="7">
        <f t="shared" si="183"/>
        <v>0</v>
      </c>
    </row>
    <row r="2186" spans="1:9" ht="15.75" x14ac:dyDescent="0.25">
      <c r="A2186" s="23">
        <v>1746</v>
      </c>
      <c r="B2186" s="89" t="str">
        <f>CADASTROS!$C$1438</f>
        <v>Jorge Elcivan Filho</v>
      </c>
      <c r="C2186" s="159">
        <v>14</v>
      </c>
      <c r="D2186" s="159">
        <v>15</v>
      </c>
      <c r="E2186" s="159">
        <v>16</v>
      </c>
      <c r="F2186" s="159"/>
      <c r="G2186" s="159">
        <v>11</v>
      </c>
      <c r="H2186" s="159"/>
      <c r="I2186" s="7">
        <f t="shared" si="183"/>
        <v>56</v>
      </c>
    </row>
    <row r="2187" spans="1:9" ht="15.75" x14ac:dyDescent="0.25">
      <c r="A2187" s="23">
        <v>1747</v>
      </c>
      <c r="B2187" s="89" t="str">
        <f>CADASTROS!$C$1439</f>
        <v>Aristeu Gomes de Souza</v>
      </c>
      <c r="C2187" s="159">
        <v>7.5</v>
      </c>
      <c r="D2187" s="159">
        <v>12</v>
      </c>
      <c r="E2187" s="159"/>
      <c r="F2187" s="159"/>
      <c r="G2187" s="159"/>
      <c r="H2187" s="159"/>
      <c r="I2187" s="7">
        <f t="shared" si="183"/>
        <v>19.5</v>
      </c>
    </row>
    <row r="2188" spans="1:9" ht="15.75" x14ac:dyDescent="0.25">
      <c r="A2188" s="23">
        <v>1748</v>
      </c>
      <c r="B2188" s="89" t="str">
        <f>CADASTROS!$C$1440</f>
        <v>Maria Glória Gomes Sousa</v>
      </c>
      <c r="C2188" s="159"/>
      <c r="D2188" s="159"/>
      <c r="E2188" s="159"/>
      <c r="F2188" s="159"/>
      <c r="G2188" s="159"/>
      <c r="H2188" s="159"/>
      <c r="I2188" s="7">
        <f t="shared" si="183"/>
        <v>0</v>
      </c>
    </row>
    <row r="2189" spans="1:9" ht="15.75" x14ac:dyDescent="0.25">
      <c r="A2189" s="23">
        <v>1749</v>
      </c>
      <c r="B2189" s="89" t="str">
        <f>CADASTROS!$C$1441</f>
        <v>Joseval Gomes de Souza</v>
      </c>
      <c r="C2189" s="159"/>
      <c r="D2189" s="159">
        <v>11</v>
      </c>
      <c r="E2189" s="159">
        <v>18</v>
      </c>
      <c r="F2189" s="159"/>
      <c r="G2189" s="159"/>
      <c r="H2189" s="159"/>
      <c r="I2189" s="7">
        <f t="shared" si="183"/>
        <v>29</v>
      </c>
    </row>
    <row r="2190" spans="1:9" ht="15.75" x14ac:dyDescent="0.25">
      <c r="A2190" s="23">
        <v>1750</v>
      </c>
      <c r="B2190" s="89" t="str">
        <f>CADASTROS!$C$1442</f>
        <v>Darleide Oliveira Santos</v>
      </c>
      <c r="C2190" s="159"/>
      <c r="D2190" s="159">
        <v>11</v>
      </c>
      <c r="E2190" s="159">
        <v>12.5</v>
      </c>
      <c r="F2190" s="159"/>
      <c r="G2190" s="159">
        <v>6</v>
      </c>
      <c r="H2190" s="159"/>
      <c r="I2190" s="7">
        <f t="shared" si="183"/>
        <v>29.5</v>
      </c>
    </row>
    <row r="2191" spans="1:9" ht="15.75" x14ac:dyDescent="0.25">
      <c r="A2191" s="23">
        <v>1751</v>
      </c>
      <c r="B2191" s="89" t="str">
        <f>CADASTROS!$C$1443</f>
        <v>Antônio Cesar dos Santos</v>
      </c>
      <c r="C2191" s="159"/>
      <c r="D2191" s="159"/>
      <c r="E2191" s="159"/>
      <c r="F2191" s="159"/>
      <c r="G2191" s="159"/>
      <c r="H2191" s="159"/>
      <c r="I2191" s="7">
        <f t="shared" si="183"/>
        <v>0</v>
      </c>
    </row>
    <row r="2192" spans="1:9" ht="15.75" x14ac:dyDescent="0.25">
      <c r="A2192" s="23">
        <v>1752</v>
      </c>
      <c r="B2192" s="89" t="str">
        <f>CADASTROS!$C$1444</f>
        <v>Maria Rodrigues de Souza</v>
      </c>
      <c r="C2192" s="159">
        <v>9</v>
      </c>
      <c r="D2192" s="159"/>
      <c r="E2192" s="159">
        <v>10</v>
      </c>
      <c r="F2192" s="159"/>
      <c r="G2192" s="159"/>
      <c r="H2192" s="159"/>
      <c r="I2192" s="7">
        <f t="shared" si="183"/>
        <v>19</v>
      </c>
    </row>
    <row r="2193" spans="1:9" ht="15.75" x14ac:dyDescent="0.25">
      <c r="A2193" s="23">
        <v>1753</v>
      </c>
      <c r="B2193" s="89" t="str">
        <f>CADASTROS!$C$1445</f>
        <v>Andrea Oliveira Moraes</v>
      </c>
      <c r="C2193" s="159">
        <v>26.5</v>
      </c>
      <c r="D2193" s="159">
        <v>28</v>
      </c>
      <c r="E2193" s="159">
        <v>10.5</v>
      </c>
      <c r="F2193" s="159"/>
      <c r="G2193" s="159"/>
      <c r="H2193" s="159">
        <v>14.5</v>
      </c>
      <c r="I2193" s="7">
        <f t="shared" si="183"/>
        <v>79.5</v>
      </c>
    </row>
    <row r="2194" spans="1:9" ht="15.75" x14ac:dyDescent="0.25">
      <c r="A2194" s="23">
        <v>1754</v>
      </c>
      <c r="B2194" s="89" t="str">
        <f>CADASTROS!$C$1446</f>
        <v>Lucas Souza Ferreira</v>
      </c>
      <c r="C2194" s="159"/>
      <c r="D2194" s="159"/>
      <c r="E2194" s="159"/>
      <c r="F2194" s="159"/>
      <c r="G2194" s="159"/>
      <c r="H2194" s="159"/>
      <c r="I2194" s="7">
        <f t="shared" si="183"/>
        <v>0</v>
      </c>
    </row>
    <row r="2195" spans="1:9" ht="15.75" x14ac:dyDescent="0.25">
      <c r="A2195" s="23">
        <v>1755</v>
      </c>
      <c r="B2195" s="89" t="str">
        <f>CADASTROS!$C$1447</f>
        <v>Sidione Oliveira Medeiros</v>
      </c>
      <c r="C2195" s="159">
        <v>21.5</v>
      </c>
      <c r="D2195" s="159">
        <v>19</v>
      </c>
      <c r="E2195" s="159">
        <v>24</v>
      </c>
      <c r="F2195" s="159"/>
      <c r="G2195" s="159"/>
      <c r="H2195" s="159"/>
      <c r="I2195" s="7">
        <f t="shared" si="183"/>
        <v>64.5</v>
      </c>
    </row>
    <row r="2196" spans="1:9" ht="15.75" x14ac:dyDescent="0.25">
      <c r="A2196" s="23">
        <v>1756</v>
      </c>
      <c r="B2196" s="89" t="str">
        <f>CADASTROS!$C$1448</f>
        <v>Lucas Cruz Carvalho</v>
      </c>
      <c r="C2196" s="159">
        <v>6</v>
      </c>
      <c r="D2196" s="159">
        <v>23.5</v>
      </c>
      <c r="E2196" s="159">
        <v>25.5</v>
      </c>
      <c r="F2196" s="159"/>
      <c r="G2196" s="159">
        <v>20.5</v>
      </c>
      <c r="H2196" s="159"/>
      <c r="I2196" s="7">
        <f t="shared" si="183"/>
        <v>75.5</v>
      </c>
    </row>
    <row r="2197" spans="1:9" ht="15.75" x14ac:dyDescent="0.25">
      <c r="A2197" s="23">
        <v>1757</v>
      </c>
      <c r="B2197" s="89" t="str">
        <f>CADASTROS!$C$1449</f>
        <v>Daniel da Silva Santos</v>
      </c>
      <c r="C2197" s="159"/>
      <c r="D2197" s="159"/>
      <c r="E2197" s="159"/>
      <c r="F2197" s="159"/>
      <c r="G2197" s="159"/>
      <c r="H2197" s="159"/>
      <c r="I2197" s="7">
        <f t="shared" si="183"/>
        <v>0</v>
      </c>
    </row>
    <row r="2198" spans="1:9" ht="15.75" x14ac:dyDescent="0.25">
      <c r="A2198" s="23">
        <v>1758</v>
      </c>
      <c r="B2198" s="89" t="str">
        <f>CADASTROS!$C$1450</f>
        <v>Marieta Rosa da Silva</v>
      </c>
      <c r="C2198" s="159"/>
      <c r="D2198" s="159"/>
      <c r="E2198" s="159"/>
      <c r="F2198" s="159"/>
      <c r="G2198" s="159"/>
      <c r="H2198" s="159"/>
      <c r="I2198" s="7">
        <f t="shared" si="183"/>
        <v>0</v>
      </c>
    </row>
    <row r="2199" spans="1:9" ht="15.75" x14ac:dyDescent="0.25">
      <c r="A2199" s="23">
        <v>1759</v>
      </c>
      <c r="B2199" s="89" t="str">
        <f>CADASTROS!$C$1451</f>
        <v>Eutácio Silva de Oliveira</v>
      </c>
      <c r="C2199" s="159"/>
      <c r="D2199" s="159">
        <v>30</v>
      </c>
      <c r="E2199" s="159">
        <v>29</v>
      </c>
      <c r="F2199" s="159"/>
      <c r="G2199" s="159"/>
      <c r="H2199" s="159"/>
      <c r="I2199" s="7">
        <f t="shared" si="183"/>
        <v>59</v>
      </c>
    </row>
    <row r="2200" spans="1:9" ht="15.75" x14ac:dyDescent="0.25">
      <c r="A2200" s="23">
        <v>1760</v>
      </c>
      <c r="B2200" s="89" t="str">
        <f>CADASTROS!$C$1452</f>
        <v>Luciene Silva de Oliveira</v>
      </c>
      <c r="C2200" s="159"/>
      <c r="D2200" s="159"/>
      <c r="E2200" s="159">
        <v>22</v>
      </c>
      <c r="F2200" s="159"/>
      <c r="G2200" s="159"/>
      <c r="H2200" s="159"/>
      <c r="I2200" s="7">
        <f t="shared" si="183"/>
        <v>22</v>
      </c>
    </row>
    <row r="2201" spans="1:9" ht="15.75" x14ac:dyDescent="0.25">
      <c r="A2201" s="23">
        <v>1761</v>
      </c>
      <c r="B2201" s="89" t="str">
        <f>CADASTROS!$C$1453</f>
        <v>Fernando Pires Souza</v>
      </c>
      <c r="C2201" s="159"/>
      <c r="D2201" s="159"/>
      <c r="E2201" s="159"/>
      <c r="F2201" s="159"/>
      <c r="G2201" s="159"/>
      <c r="H2201" s="159"/>
      <c r="I2201" s="7">
        <f t="shared" si="183"/>
        <v>0</v>
      </c>
    </row>
    <row r="2202" spans="1:9" ht="15.75" x14ac:dyDescent="0.25">
      <c r="A2202" s="23">
        <v>1762</v>
      </c>
      <c r="B2202" s="89" t="str">
        <f>CADASTROS!$C$1454</f>
        <v>Danilo Moraes dos Santos</v>
      </c>
      <c r="C2202" s="159"/>
      <c r="D2202" s="159">
        <v>6</v>
      </c>
      <c r="E2202" s="159">
        <v>8.5</v>
      </c>
      <c r="F2202" s="159"/>
      <c r="G2202" s="159">
        <v>8</v>
      </c>
      <c r="H2202" s="159"/>
      <c r="I2202" s="7">
        <f t="shared" si="183"/>
        <v>22.5</v>
      </c>
    </row>
    <row r="2203" spans="1:9" ht="15.75" x14ac:dyDescent="0.25">
      <c r="B2203" s="159" t="s">
        <v>4829</v>
      </c>
      <c r="C2203" s="159">
        <f>SUM(C2176:C2202)</f>
        <v>114.5</v>
      </c>
      <c r="D2203" s="159">
        <f t="shared" ref="D2203:H2203" si="184">SUM(D2176:D2202)</f>
        <v>236</v>
      </c>
      <c r="E2203" s="159">
        <f t="shared" si="184"/>
        <v>248.5</v>
      </c>
      <c r="F2203" s="159">
        <f t="shared" si="184"/>
        <v>0</v>
      </c>
      <c r="G2203" s="159">
        <f t="shared" si="184"/>
        <v>45.5</v>
      </c>
      <c r="H2203" s="159">
        <f t="shared" si="184"/>
        <v>14.5</v>
      </c>
      <c r="I2203" s="159">
        <f>SUM(I2176:I2202)</f>
        <v>659</v>
      </c>
    </row>
    <row r="2205" spans="1:9" ht="15.75" x14ac:dyDescent="0.25">
      <c r="B2205" s="8" t="s">
        <v>4830</v>
      </c>
      <c r="C2205" s="159"/>
      <c r="D2205" s="159"/>
      <c r="E2205" s="159"/>
      <c r="F2205" s="159"/>
      <c r="G2205" s="159"/>
      <c r="H2205" s="159"/>
      <c r="I2205" s="159">
        <f>SUM(C2205:H2205)</f>
        <v>0</v>
      </c>
    </row>
    <row r="2206" spans="1:9" x14ac:dyDescent="0.25">
      <c r="B2206" s="167"/>
    </row>
    <row r="2207" spans="1:9" ht="15.75" x14ac:dyDescent="0.25">
      <c r="B2207" s="8" t="s">
        <v>4831</v>
      </c>
      <c r="C2207" s="9" t="e">
        <f>C2203/C2205</f>
        <v>#DIV/0!</v>
      </c>
      <c r="D2207" s="9" t="e">
        <f t="shared" ref="D2207:H2207" si="185">D2203/D2205</f>
        <v>#DIV/0!</v>
      </c>
      <c r="E2207" s="9" t="e">
        <f t="shared" si="185"/>
        <v>#DIV/0!</v>
      </c>
      <c r="F2207" s="9" t="e">
        <f t="shared" si="185"/>
        <v>#DIV/0!</v>
      </c>
      <c r="G2207" s="9" t="e">
        <f t="shared" si="185"/>
        <v>#DIV/0!</v>
      </c>
      <c r="H2207" s="9" t="e">
        <f t="shared" si="185"/>
        <v>#DIV/0!</v>
      </c>
      <c r="I2207" s="9"/>
    </row>
    <row r="2208" spans="1:9" ht="15.75" x14ac:dyDescent="0.25">
      <c r="B2208" s="163"/>
      <c r="C2208" s="10"/>
      <c r="D2208" s="10"/>
      <c r="E2208" s="10"/>
      <c r="F2208" s="10"/>
      <c r="G2208" s="10"/>
      <c r="H2208" s="163"/>
      <c r="I2208" s="163"/>
    </row>
    <row r="2209" spans="1:9" ht="15.75" x14ac:dyDescent="0.25">
      <c r="B2209" s="8" t="s">
        <v>4832</v>
      </c>
      <c r="C2209" s="159"/>
      <c r="D2209" s="159"/>
      <c r="E2209" s="6"/>
      <c r="F2209" s="6"/>
      <c r="G2209" s="6"/>
      <c r="H2209" s="6"/>
      <c r="I2209" s="11"/>
    </row>
    <row r="2211" spans="1:9" ht="33" customHeight="1" x14ac:dyDescent="0.25">
      <c r="B2211" s="187" t="s">
        <v>4842</v>
      </c>
      <c r="C2211" s="188"/>
      <c r="D2211" s="188"/>
      <c r="E2211" s="188"/>
      <c r="F2211" s="188"/>
      <c r="G2211" s="188"/>
      <c r="H2211" s="188"/>
      <c r="I2211" s="189"/>
    </row>
    <row r="2212" spans="1:9" ht="47.25" x14ac:dyDescent="0.25">
      <c r="A2212" s="155" t="s">
        <v>4819</v>
      </c>
      <c r="B2212" s="155" t="s">
        <v>4820</v>
      </c>
      <c r="C2212" s="4" t="s">
        <v>4821</v>
      </c>
      <c r="D2212" s="4" t="s">
        <v>4822</v>
      </c>
      <c r="E2212" s="88" t="s">
        <v>4823</v>
      </c>
      <c r="F2212" s="88" t="s">
        <v>4824</v>
      </c>
      <c r="G2212" s="88" t="s">
        <v>4825</v>
      </c>
      <c r="H2212" s="4" t="s">
        <v>4826</v>
      </c>
      <c r="I2212" s="29" t="s">
        <v>4827</v>
      </c>
    </row>
    <row r="2213" spans="1:9" ht="25.5" x14ac:dyDescent="0.25">
      <c r="A2213" s="156"/>
      <c r="B2213" s="156"/>
      <c r="C2213" s="13" t="s">
        <v>4828</v>
      </c>
      <c r="D2213" s="13" t="s">
        <v>4828</v>
      </c>
      <c r="E2213" s="13" t="s">
        <v>4828</v>
      </c>
      <c r="F2213" s="13" t="s">
        <v>4828</v>
      </c>
      <c r="G2213" s="13" t="s">
        <v>4828</v>
      </c>
      <c r="H2213" s="13" t="s">
        <v>4828</v>
      </c>
      <c r="I2213" s="30"/>
    </row>
    <row r="2214" spans="1:9" ht="15.75" x14ac:dyDescent="0.25">
      <c r="A2214" s="23">
        <v>1763</v>
      </c>
      <c r="B2214" s="89" t="str">
        <f>CADASTROS!$C$1455</f>
        <v>Luzineide Pires de Souza</v>
      </c>
      <c r="C2214" s="159"/>
      <c r="D2214" s="159"/>
      <c r="E2214" s="159"/>
      <c r="F2214" s="159"/>
      <c r="G2214" s="159"/>
      <c r="H2214" s="159"/>
      <c r="I2214" s="7">
        <f>SUM(C2214+D2214+E2214+F2214+G2214+H2214)</f>
        <v>0</v>
      </c>
    </row>
    <row r="2215" spans="1:9" ht="15.75" x14ac:dyDescent="0.25">
      <c r="A2215" s="23">
        <v>1764</v>
      </c>
      <c r="B2215" s="89" t="str">
        <f>CADASTROS!$C$1456</f>
        <v>Givanildo Oliveira Santos</v>
      </c>
      <c r="C2215" s="159"/>
      <c r="D2215" s="159"/>
      <c r="E2215" s="159"/>
      <c r="F2215" s="159"/>
      <c r="G2215" s="159"/>
      <c r="H2215" s="159"/>
      <c r="I2215" s="7">
        <f>SUM(C2215+D2215+E2215+F2215+G2215+H2215)</f>
        <v>0</v>
      </c>
    </row>
    <row r="2216" spans="1:9" ht="15.75" x14ac:dyDescent="0.25">
      <c r="A2216" s="23">
        <v>1765</v>
      </c>
      <c r="B2216" s="89" t="str">
        <f>CADASTROS!$C$1457</f>
        <v>Erasmo C. Alves de Souza</v>
      </c>
      <c r="C2216" s="159"/>
      <c r="D2216" s="159">
        <v>8.5</v>
      </c>
      <c r="E2216" s="159">
        <v>10</v>
      </c>
      <c r="F2216" s="159"/>
      <c r="G2216" s="159"/>
      <c r="H2216" s="159"/>
      <c r="I2216" s="7">
        <f t="shared" ref="I2216:I2240" si="186">SUM(C2216+D2216+E2216+F2216+G2216+H2216)</f>
        <v>18.5</v>
      </c>
    </row>
    <row r="2217" spans="1:9" ht="15.75" x14ac:dyDescent="0.25">
      <c r="A2217" s="23">
        <v>1766</v>
      </c>
      <c r="B2217" s="89" t="str">
        <f>CADASTROS!$C$1458</f>
        <v>Maria Nilma Silva Oliveira</v>
      </c>
      <c r="C2217" s="159"/>
      <c r="D2217" s="159"/>
      <c r="E2217" s="159"/>
      <c r="F2217" s="159"/>
      <c r="G2217" s="159"/>
      <c r="H2217" s="159"/>
      <c r="I2217" s="7">
        <f t="shared" si="186"/>
        <v>0</v>
      </c>
    </row>
    <row r="2218" spans="1:9" ht="15.75" x14ac:dyDescent="0.25">
      <c r="A2218" s="23">
        <v>1767</v>
      </c>
      <c r="B2218" s="89" t="str">
        <f>CADASTROS!$C$1459</f>
        <v>Samara Matos de Souza</v>
      </c>
      <c r="C2218" s="159"/>
      <c r="D2218" s="159"/>
      <c r="E2218" s="159"/>
      <c r="F2218" s="159"/>
      <c r="G2218" s="159"/>
      <c r="H2218" s="159"/>
      <c r="I2218" s="7">
        <f t="shared" si="186"/>
        <v>0</v>
      </c>
    </row>
    <row r="2219" spans="1:9" ht="15.75" x14ac:dyDescent="0.25">
      <c r="A2219" s="23">
        <v>1768</v>
      </c>
      <c r="B2219" s="89" t="str">
        <f>CADASTROS!$C$1460</f>
        <v>Marcos Alves da Silva</v>
      </c>
      <c r="C2219" s="159"/>
      <c r="D2219" s="159"/>
      <c r="E2219" s="159"/>
      <c r="F2219" s="159"/>
      <c r="G2219" s="159"/>
      <c r="H2219" s="159"/>
      <c r="I2219" s="7">
        <f t="shared" si="186"/>
        <v>0</v>
      </c>
    </row>
    <row r="2220" spans="1:9" ht="15.75" x14ac:dyDescent="0.25">
      <c r="A2220" s="23">
        <v>1769</v>
      </c>
      <c r="B2220" s="89" t="str">
        <f>CADASTROS!$C$1461</f>
        <v>Luzia Oliveira A. Souza</v>
      </c>
      <c r="C2220" s="159"/>
      <c r="D2220" s="159"/>
      <c r="E2220" s="159"/>
      <c r="F2220" s="159"/>
      <c r="G2220" s="159"/>
      <c r="H2220" s="159"/>
      <c r="I2220" s="7">
        <f t="shared" si="186"/>
        <v>0</v>
      </c>
    </row>
    <row r="2221" spans="1:9" ht="15.75" x14ac:dyDescent="0.25">
      <c r="A2221" s="23">
        <v>1770</v>
      </c>
      <c r="B2221" s="89" t="str">
        <f>CADASTROS!$C$1462</f>
        <v>Flávia de Sousa Fernandes</v>
      </c>
      <c r="C2221" s="159"/>
      <c r="D2221" s="159">
        <v>9</v>
      </c>
      <c r="E2221" s="159">
        <v>12</v>
      </c>
      <c r="F2221" s="159"/>
      <c r="G2221" s="159"/>
      <c r="H2221" s="159"/>
      <c r="I2221" s="7">
        <f t="shared" si="186"/>
        <v>21</v>
      </c>
    </row>
    <row r="2222" spans="1:9" ht="15.75" x14ac:dyDescent="0.25">
      <c r="A2222" s="23">
        <v>1771</v>
      </c>
      <c r="B2222" s="89" t="str">
        <f>CADASTROS!$C$1463</f>
        <v>Jorge dos Santos Soares</v>
      </c>
      <c r="C2222" s="159"/>
      <c r="D2222" s="159"/>
      <c r="E2222" s="159"/>
      <c r="F2222" s="159"/>
      <c r="G2222" s="159">
        <v>12.5</v>
      </c>
      <c r="H2222" s="159"/>
      <c r="I2222" s="7">
        <f t="shared" si="186"/>
        <v>12.5</v>
      </c>
    </row>
    <row r="2223" spans="1:9" ht="15.75" x14ac:dyDescent="0.25">
      <c r="A2223" s="23">
        <v>1772</v>
      </c>
      <c r="B2223" s="89" t="str">
        <f>CADASTROS!$C$1464</f>
        <v>Luciene Lima dos Santos</v>
      </c>
      <c r="C2223" s="159"/>
      <c r="D2223" s="159"/>
      <c r="E2223" s="159"/>
      <c r="F2223" s="159"/>
      <c r="G2223" s="159"/>
      <c r="H2223" s="159"/>
      <c r="I2223" s="7">
        <f t="shared" si="186"/>
        <v>0</v>
      </c>
    </row>
    <row r="2224" spans="1:9" ht="15.75" x14ac:dyDescent="0.25">
      <c r="A2224" s="23">
        <v>1773</v>
      </c>
      <c r="B2224" s="89" t="str">
        <f>CADASTROS!$C$1465</f>
        <v>Aparecida Pereira Barbosa</v>
      </c>
      <c r="C2224" s="159"/>
      <c r="D2224" s="159">
        <v>33</v>
      </c>
      <c r="E2224" s="159">
        <v>30</v>
      </c>
      <c r="F2224" s="159"/>
      <c r="G2224" s="159">
        <v>25.5</v>
      </c>
      <c r="H2224" s="159"/>
      <c r="I2224" s="7">
        <f t="shared" si="186"/>
        <v>88.5</v>
      </c>
    </row>
    <row r="2225" spans="1:9" ht="15.75" x14ac:dyDescent="0.25">
      <c r="A2225" s="23">
        <v>1774</v>
      </c>
      <c r="B2225" s="89" t="str">
        <f>CADASTROS!$C$1466</f>
        <v>Raimunda Santana Silva</v>
      </c>
      <c r="C2225" s="159"/>
      <c r="D2225" s="159"/>
      <c r="E2225" s="159"/>
      <c r="F2225" s="159"/>
      <c r="G2225" s="159"/>
      <c r="H2225" s="159"/>
      <c r="I2225" s="7">
        <f t="shared" si="186"/>
        <v>0</v>
      </c>
    </row>
    <row r="2226" spans="1:9" ht="15.75" x14ac:dyDescent="0.25">
      <c r="A2226" s="23">
        <v>1775</v>
      </c>
      <c r="B2226" s="89" t="str">
        <f>CADASTROS!$C$1467</f>
        <v>Daniel Conceiçao Silva</v>
      </c>
      <c r="C2226" s="159">
        <v>12</v>
      </c>
      <c r="D2226" s="159"/>
      <c r="E2226" s="159"/>
      <c r="F2226" s="159"/>
      <c r="G2226" s="159"/>
      <c r="H2226" s="159"/>
      <c r="I2226" s="7">
        <f t="shared" si="186"/>
        <v>12</v>
      </c>
    </row>
    <row r="2227" spans="1:9" ht="15.75" x14ac:dyDescent="0.25">
      <c r="A2227" s="23">
        <v>1776</v>
      </c>
      <c r="B2227" s="89" t="str">
        <f>CADASTROS!$C$1468</f>
        <v>Rubevaldo Santos Silva</v>
      </c>
      <c r="C2227" s="159">
        <v>14</v>
      </c>
      <c r="D2227" s="159">
        <v>8</v>
      </c>
      <c r="E2227" s="159">
        <v>9</v>
      </c>
      <c r="F2227" s="159"/>
      <c r="G2227" s="159">
        <v>24.5</v>
      </c>
      <c r="H2227" s="159">
        <v>15.5</v>
      </c>
      <c r="I2227" s="7">
        <f t="shared" si="186"/>
        <v>71</v>
      </c>
    </row>
    <row r="2228" spans="1:9" ht="15.75" x14ac:dyDescent="0.25">
      <c r="A2228" s="23">
        <v>1777</v>
      </c>
      <c r="B2228" s="89" t="str">
        <f>CADASTROS!$C$1469</f>
        <v>Maicon Santos de Oliveira</v>
      </c>
      <c r="C2228" s="159"/>
      <c r="D2228" s="159"/>
      <c r="E2228" s="159"/>
      <c r="F2228" s="159"/>
      <c r="G2228" s="159"/>
      <c r="H2228" s="159"/>
      <c r="I2228" s="7">
        <f t="shared" si="186"/>
        <v>0</v>
      </c>
    </row>
    <row r="2229" spans="1:9" ht="15.75" x14ac:dyDescent="0.25">
      <c r="A2229" s="23">
        <v>1778</v>
      </c>
      <c r="B2229" s="89" t="str">
        <f>CADASTROS!$C$1470</f>
        <v>Maria  Aparecida Inácio da Silva</v>
      </c>
      <c r="C2229" s="159">
        <v>13</v>
      </c>
      <c r="D2229" s="159"/>
      <c r="E2229" s="159">
        <v>14</v>
      </c>
      <c r="F2229" s="159"/>
      <c r="G2229" s="159"/>
      <c r="H2229" s="159"/>
      <c r="I2229" s="7">
        <f t="shared" si="186"/>
        <v>27</v>
      </c>
    </row>
    <row r="2230" spans="1:9" ht="15.75" x14ac:dyDescent="0.25">
      <c r="A2230" s="23">
        <v>1779</v>
      </c>
      <c r="B2230" s="89" t="str">
        <f>CADASTROS!$C$1471</f>
        <v>Silvana Damasceno Lisboa</v>
      </c>
      <c r="C2230" s="159">
        <v>16</v>
      </c>
      <c r="D2230" s="159"/>
      <c r="E2230" s="159"/>
      <c r="F2230" s="159"/>
      <c r="G2230" s="159"/>
      <c r="H2230" s="159"/>
      <c r="I2230" s="7">
        <f t="shared" si="186"/>
        <v>16</v>
      </c>
    </row>
    <row r="2231" spans="1:9" ht="15.75" x14ac:dyDescent="0.25">
      <c r="A2231" s="23">
        <v>1780</v>
      </c>
      <c r="B2231" s="89" t="str">
        <f>CADASTROS!$C$1472</f>
        <v>Silas S Santos/Marli R. de Jesus</v>
      </c>
      <c r="C2231" s="159">
        <v>30</v>
      </c>
      <c r="D2231" s="159">
        <v>35</v>
      </c>
      <c r="E2231" s="159">
        <v>31</v>
      </c>
      <c r="F2231" s="159"/>
      <c r="G2231" s="159"/>
      <c r="H2231" s="159"/>
      <c r="I2231" s="7">
        <f t="shared" si="186"/>
        <v>96</v>
      </c>
    </row>
    <row r="2232" spans="1:9" ht="15.75" x14ac:dyDescent="0.25">
      <c r="A2232" s="23">
        <v>1781</v>
      </c>
      <c r="B2232" s="89" t="str">
        <f>CADASTROS!$C$1473</f>
        <v>Cristina Santos de Sousa</v>
      </c>
      <c r="C2232" s="159">
        <v>29</v>
      </c>
      <c r="D2232" s="159">
        <v>31.5</v>
      </c>
      <c r="E2232" s="159">
        <v>24</v>
      </c>
      <c r="F2232" s="159"/>
      <c r="G2232" s="159">
        <v>24.5</v>
      </c>
      <c r="H2232" s="159"/>
      <c r="I2232" s="7">
        <f t="shared" si="186"/>
        <v>109</v>
      </c>
    </row>
    <row r="2233" spans="1:9" ht="15.75" x14ac:dyDescent="0.25">
      <c r="A2233" s="23">
        <v>1782</v>
      </c>
      <c r="B2233" s="89" t="str">
        <f>CADASTROS!$C$1474</f>
        <v>João Batista Souza Andrade</v>
      </c>
      <c r="C2233" s="159"/>
      <c r="D2233" s="159"/>
      <c r="E2233" s="159"/>
      <c r="F2233" s="159"/>
      <c r="G2233" s="159"/>
      <c r="H2233" s="159"/>
      <c r="I2233" s="7">
        <f t="shared" si="186"/>
        <v>0</v>
      </c>
    </row>
    <row r="2234" spans="1:9" ht="15.75" x14ac:dyDescent="0.25">
      <c r="A2234" s="23">
        <v>1783</v>
      </c>
      <c r="B2234" s="89" t="str">
        <f>CADASTROS!$C$1475</f>
        <v>Robson Brito Silva Souza</v>
      </c>
      <c r="C2234" s="159"/>
      <c r="D2234" s="159"/>
      <c r="E2234" s="159"/>
      <c r="F2234" s="159"/>
      <c r="G2234" s="159"/>
      <c r="H2234" s="159"/>
      <c r="I2234" s="7">
        <f t="shared" si="186"/>
        <v>0</v>
      </c>
    </row>
    <row r="2235" spans="1:9" ht="15.75" x14ac:dyDescent="0.25">
      <c r="A2235" s="23">
        <v>1784</v>
      </c>
      <c r="B2235" s="89" t="str">
        <f>CADASTROS!$C$1476</f>
        <v>Manoel Messias de Jesus</v>
      </c>
      <c r="C2235" s="159">
        <v>37</v>
      </c>
      <c r="D2235" s="159">
        <v>38.5</v>
      </c>
      <c r="E2235" s="159">
        <v>34</v>
      </c>
      <c r="F2235" s="159"/>
      <c r="G2235" s="159">
        <v>28.5</v>
      </c>
      <c r="H2235" s="159"/>
      <c r="I2235" s="7">
        <f t="shared" si="186"/>
        <v>138</v>
      </c>
    </row>
    <row r="2236" spans="1:9" ht="15.75" x14ac:dyDescent="0.25">
      <c r="A2236" s="23">
        <v>1785</v>
      </c>
      <c r="B2236" s="89" t="str">
        <f>CADASTROS!$C$1477</f>
        <v>Eliomarcio Henrique Sales</v>
      </c>
      <c r="C2236" s="159">
        <v>17</v>
      </c>
      <c r="D2236" s="159">
        <v>18.5</v>
      </c>
      <c r="E2236" s="159">
        <v>10</v>
      </c>
      <c r="F2236" s="159"/>
      <c r="G2236" s="159">
        <v>10.5</v>
      </c>
      <c r="H2236" s="159"/>
      <c r="I2236" s="7">
        <f t="shared" si="186"/>
        <v>56</v>
      </c>
    </row>
    <row r="2237" spans="1:9" ht="15.75" x14ac:dyDescent="0.25">
      <c r="A2237" s="23">
        <v>1786</v>
      </c>
      <c r="B2237" s="89" t="str">
        <f>CADASTROS!$C$1478</f>
        <v>Vanderleia M. da Silva</v>
      </c>
      <c r="C2237" s="159"/>
      <c r="D2237" s="159"/>
      <c r="E2237" s="159"/>
      <c r="F2237" s="159"/>
      <c r="G2237" s="159"/>
      <c r="H2237" s="159"/>
      <c r="I2237" s="7">
        <f t="shared" si="186"/>
        <v>0</v>
      </c>
    </row>
    <row r="2238" spans="1:9" ht="15.75" x14ac:dyDescent="0.25">
      <c r="A2238" s="23">
        <v>1787</v>
      </c>
      <c r="B2238" s="89" t="str">
        <f>CADASTROS!$C$1479</f>
        <v>Adeni Lopes do Nascimento</v>
      </c>
      <c r="C2238" s="159">
        <v>10.5</v>
      </c>
      <c r="D2238" s="159">
        <v>13</v>
      </c>
      <c r="E2238" s="159">
        <v>11</v>
      </c>
      <c r="F2238" s="159"/>
      <c r="G2238" s="159"/>
      <c r="H2238" s="159">
        <v>22.5</v>
      </c>
      <c r="I2238" s="7">
        <f t="shared" si="186"/>
        <v>57</v>
      </c>
    </row>
    <row r="2239" spans="1:9" ht="15.75" x14ac:dyDescent="0.25">
      <c r="A2239" s="23">
        <v>1788</v>
      </c>
      <c r="B2239" s="89" t="str">
        <f>CADASTROS!$C$1480</f>
        <v>Fernando S. Nascimento</v>
      </c>
      <c r="C2239" s="159">
        <v>69</v>
      </c>
      <c r="D2239" s="159">
        <v>44</v>
      </c>
      <c r="E2239" s="159">
        <v>18.5</v>
      </c>
      <c r="F2239" s="159"/>
      <c r="G2239" s="159">
        <v>93.5</v>
      </c>
      <c r="H2239" s="159"/>
      <c r="I2239" s="7">
        <f t="shared" si="186"/>
        <v>225</v>
      </c>
    </row>
    <row r="2240" spans="1:9" ht="15.75" x14ac:dyDescent="0.25">
      <c r="A2240" s="23">
        <v>1789</v>
      </c>
      <c r="B2240" s="89" t="str">
        <f>CADASTROS!$C$1481</f>
        <v>Luciene Souza Brandão</v>
      </c>
      <c r="C2240" s="159"/>
      <c r="D2240" s="159"/>
      <c r="E2240" s="159"/>
      <c r="F2240" s="159"/>
      <c r="G2240" s="159"/>
      <c r="H2240" s="159"/>
      <c r="I2240" s="7">
        <f t="shared" si="186"/>
        <v>0</v>
      </c>
    </row>
    <row r="2241" spans="1:9" ht="15.75" x14ac:dyDescent="0.25">
      <c r="B2241" s="159" t="s">
        <v>4829</v>
      </c>
      <c r="C2241" s="159">
        <f>SUM(C2214:C2240)</f>
        <v>247.5</v>
      </c>
      <c r="D2241" s="159">
        <f t="shared" ref="D2241:H2241" si="187">SUM(D2214:D2240)</f>
        <v>239</v>
      </c>
      <c r="E2241" s="159">
        <f t="shared" si="187"/>
        <v>203.5</v>
      </c>
      <c r="F2241" s="159">
        <f t="shared" si="187"/>
        <v>0</v>
      </c>
      <c r="G2241" s="159">
        <f t="shared" si="187"/>
        <v>219.5</v>
      </c>
      <c r="H2241" s="159">
        <f t="shared" si="187"/>
        <v>38</v>
      </c>
      <c r="I2241" s="159">
        <f>SUM(I2214:I2240)</f>
        <v>947.5</v>
      </c>
    </row>
    <row r="2243" spans="1:9" ht="15.75" x14ac:dyDescent="0.25">
      <c r="B2243" s="8" t="s">
        <v>4830</v>
      </c>
      <c r="C2243" s="159"/>
      <c r="D2243" s="159"/>
      <c r="E2243" s="159"/>
      <c r="F2243" s="159"/>
      <c r="G2243" s="159"/>
      <c r="H2243" s="159"/>
      <c r="I2243" s="159">
        <f>SUM(C2243:H2243)</f>
        <v>0</v>
      </c>
    </row>
    <row r="2244" spans="1:9" x14ac:dyDescent="0.25">
      <c r="B2244" s="167"/>
    </row>
    <row r="2245" spans="1:9" ht="15.75" x14ac:dyDescent="0.25">
      <c r="B2245" s="8" t="s">
        <v>4831</v>
      </c>
      <c r="C2245" s="9" t="e">
        <f>C2241/C2243</f>
        <v>#DIV/0!</v>
      </c>
      <c r="D2245" s="9" t="e">
        <f t="shared" ref="D2245:H2245" si="188">D2241/D2243</f>
        <v>#DIV/0!</v>
      </c>
      <c r="E2245" s="9" t="e">
        <f t="shared" si="188"/>
        <v>#DIV/0!</v>
      </c>
      <c r="F2245" s="9" t="e">
        <f t="shared" si="188"/>
        <v>#DIV/0!</v>
      </c>
      <c r="G2245" s="9" t="e">
        <f t="shared" si="188"/>
        <v>#DIV/0!</v>
      </c>
      <c r="H2245" s="9" t="e">
        <f t="shared" si="188"/>
        <v>#DIV/0!</v>
      </c>
      <c r="I2245" s="9"/>
    </row>
    <row r="2246" spans="1:9" ht="15.75" x14ac:dyDescent="0.25">
      <c r="B2246" s="163"/>
      <c r="C2246" s="10"/>
      <c r="D2246" s="10"/>
      <c r="E2246" s="10"/>
      <c r="F2246" s="10"/>
      <c r="G2246" s="10"/>
      <c r="H2246" s="163"/>
      <c r="I2246" s="163"/>
    </row>
    <row r="2247" spans="1:9" ht="15.75" x14ac:dyDescent="0.25">
      <c r="B2247" s="8" t="s">
        <v>4832</v>
      </c>
      <c r="C2247" s="159"/>
      <c r="D2247" s="159"/>
      <c r="E2247" s="6"/>
      <c r="F2247" s="6"/>
      <c r="G2247" s="6"/>
      <c r="H2247" s="6"/>
      <c r="I2247" s="11"/>
    </row>
    <row r="2249" spans="1:9" ht="33" customHeight="1" x14ac:dyDescent="0.25">
      <c r="B2249" s="187" t="s">
        <v>4842</v>
      </c>
      <c r="C2249" s="188"/>
      <c r="D2249" s="188"/>
      <c r="E2249" s="188"/>
      <c r="F2249" s="188"/>
      <c r="G2249" s="188"/>
      <c r="H2249" s="188"/>
      <c r="I2249" s="189"/>
    </row>
    <row r="2250" spans="1:9" ht="47.25" x14ac:dyDescent="0.25">
      <c r="A2250" s="155" t="s">
        <v>4819</v>
      </c>
      <c r="B2250" s="155" t="s">
        <v>4820</v>
      </c>
      <c r="C2250" s="4" t="s">
        <v>4821</v>
      </c>
      <c r="D2250" s="4" t="s">
        <v>4822</v>
      </c>
      <c r="E2250" s="88" t="s">
        <v>4823</v>
      </c>
      <c r="F2250" s="88" t="s">
        <v>4824</v>
      </c>
      <c r="G2250" s="88" t="s">
        <v>4825</v>
      </c>
      <c r="H2250" s="4" t="s">
        <v>4826</v>
      </c>
      <c r="I2250" s="29" t="s">
        <v>4827</v>
      </c>
    </row>
    <row r="2251" spans="1:9" ht="25.5" x14ac:dyDescent="0.25">
      <c r="A2251" s="156"/>
      <c r="B2251" s="156"/>
      <c r="C2251" s="13" t="s">
        <v>4828</v>
      </c>
      <c r="D2251" s="13" t="s">
        <v>4828</v>
      </c>
      <c r="E2251" s="13" t="s">
        <v>4828</v>
      </c>
      <c r="F2251" s="13" t="s">
        <v>4828</v>
      </c>
      <c r="G2251" s="13" t="s">
        <v>4828</v>
      </c>
      <c r="H2251" s="13" t="s">
        <v>4828</v>
      </c>
      <c r="I2251" s="30"/>
    </row>
    <row r="2252" spans="1:9" ht="15.75" x14ac:dyDescent="0.25">
      <c r="A2252" s="23">
        <v>1790</v>
      </c>
      <c r="B2252" s="89" t="str">
        <f>CADASTROS!$C$1482</f>
        <v>Viviana dos Santos Sousa</v>
      </c>
      <c r="C2252" s="159">
        <v>9</v>
      </c>
      <c r="D2252" s="159">
        <v>18</v>
      </c>
      <c r="E2252" s="159"/>
      <c r="F2252" s="159">
        <v>20</v>
      </c>
      <c r="G2252" s="159"/>
      <c r="H2252" s="159"/>
      <c r="I2252" s="7">
        <f>SUM(C2252+D2252+E2252+F2252+G2252+H2252)</f>
        <v>47</v>
      </c>
    </row>
    <row r="2253" spans="1:9" ht="15.75" x14ac:dyDescent="0.25">
      <c r="A2253" s="23">
        <v>1791</v>
      </c>
      <c r="B2253" s="89" t="str">
        <f>CADASTROS!$C$1483</f>
        <v>Kesia Priscila C. Santos</v>
      </c>
      <c r="C2253" s="159"/>
      <c r="D2253" s="159"/>
      <c r="E2253" s="159"/>
      <c r="F2253" s="159"/>
      <c r="G2253" s="159"/>
      <c r="H2253" s="159"/>
      <c r="I2253" s="7">
        <f>SUM(C2253+D2253+E2253+F2253+G2253+H2253)</f>
        <v>0</v>
      </c>
    </row>
    <row r="2254" spans="1:9" ht="15.75" x14ac:dyDescent="0.25">
      <c r="A2254" s="23">
        <v>1792</v>
      </c>
      <c r="B2254" s="89" t="str">
        <f>CADASTROS!$C$1484</f>
        <v>Melecio N. S. de Oliveira</v>
      </c>
      <c r="C2254" s="159"/>
      <c r="D2254" s="159">
        <v>10.5</v>
      </c>
      <c r="E2254" s="159">
        <v>11</v>
      </c>
      <c r="F2254" s="159">
        <v>6.5</v>
      </c>
      <c r="G2254" s="159"/>
      <c r="H2254" s="159"/>
      <c r="I2254" s="7">
        <f t="shared" ref="I2254:I2278" si="189">SUM(C2254+D2254+E2254+F2254+G2254+H2254)</f>
        <v>28</v>
      </c>
    </row>
    <row r="2255" spans="1:9" ht="15.75" x14ac:dyDescent="0.25">
      <c r="A2255" s="23">
        <v>1793</v>
      </c>
      <c r="B2255" s="89" t="str">
        <f>CADASTROS!$C$1485</f>
        <v>Tatiana Lima Pereira</v>
      </c>
      <c r="C2255" s="159"/>
      <c r="D2255" s="159"/>
      <c r="E2255" s="159"/>
      <c r="F2255" s="159"/>
      <c r="G2255" s="159"/>
      <c r="H2255" s="159"/>
      <c r="I2255" s="7">
        <f t="shared" si="189"/>
        <v>0</v>
      </c>
    </row>
    <row r="2256" spans="1:9" ht="15.75" x14ac:dyDescent="0.25">
      <c r="A2256" s="23">
        <v>1794</v>
      </c>
      <c r="B2256" s="89" t="str">
        <f>CADASTROS!$C$1486</f>
        <v>Edclei Francisco de Souza</v>
      </c>
      <c r="C2256" s="159"/>
      <c r="D2256" s="159">
        <v>19</v>
      </c>
      <c r="E2256" s="159">
        <v>22.5</v>
      </c>
      <c r="F2256" s="159"/>
      <c r="G2256" s="159">
        <v>63</v>
      </c>
      <c r="H2256" s="159"/>
      <c r="I2256" s="7">
        <f t="shared" si="189"/>
        <v>104.5</v>
      </c>
    </row>
    <row r="2257" spans="1:9" ht="15.75" x14ac:dyDescent="0.25">
      <c r="A2257" s="23">
        <v>1795</v>
      </c>
      <c r="B2257" s="89" t="str">
        <f>CADASTROS!$C$1487</f>
        <v>Maria Nilde de Jesus</v>
      </c>
      <c r="C2257" s="159">
        <v>7.5</v>
      </c>
      <c r="D2257" s="159"/>
      <c r="E2257" s="159">
        <v>15</v>
      </c>
      <c r="F2257" s="159"/>
      <c r="G2257" s="159">
        <v>8.5</v>
      </c>
      <c r="H2257" s="159"/>
      <c r="I2257" s="7">
        <f t="shared" si="189"/>
        <v>31</v>
      </c>
    </row>
    <row r="2258" spans="1:9" ht="15.75" x14ac:dyDescent="0.25">
      <c r="A2258" s="23">
        <v>1796</v>
      </c>
      <c r="B2258" s="89" t="str">
        <f>CADASTROS!$C$1488</f>
        <v>Laureneide Bispo Cardoso</v>
      </c>
      <c r="C2258" s="159"/>
      <c r="D2258" s="159">
        <v>6.5</v>
      </c>
      <c r="E2258" s="159">
        <v>5</v>
      </c>
      <c r="F2258" s="159"/>
      <c r="G2258" s="159"/>
      <c r="H2258" s="159"/>
      <c r="I2258" s="7">
        <f t="shared" si="189"/>
        <v>11.5</v>
      </c>
    </row>
    <row r="2259" spans="1:9" ht="15.75" x14ac:dyDescent="0.25">
      <c r="A2259" s="23">
        <v>1797</v>
      </c>
      <c r="B2259" s="89" t="str">
        <f>CADASTROS!$C$1489</f>
        <v>Alex Sandro L. Pereira</v>
      </c>
      <c r="C2259" s="159"/>
      <c r="D2259" s="159"/>
      <c r="E2259" s="159"/>
      <c r="F2259" s="159"/>
      <c r="G2259" s="159"/>
      <c r="H2259" s="159"/>
      <c r="I2259" s="7">
        <f t="shared" si="189"/>
        <v>0</v>
      </c>
    </row>
    <row r="2260" spans="1:9" ht="15.75" x14ac:dyDescent="0.25">
      <c r="A2260" s="23">
        <v>1798</v>
      </c>
      <c r="B2260" s="89" t="str">
        <f>CADASTROS!$C$1490</f>
        <v>Antônio Salvador Souza</v>
      </c>
      <c r="C2260" s="159"/>
      <c r="D2260" s="159">
        <v>16.5</v>
      </c>
      <c r="E2260" s="159">
        <v>17.5</v>
      </c>
      <c r="F2260" s="159"/>
      <c r="G2260" s="159"/>
      <c r="H2260" s="159"/>
      <c r="I2260" s="7">
        <f t="shared" si="189"/>
        <v>34</v>
      </c>
    </row>
    <row r="2261" spans="1:9" ht="15.75" x14ac:dyDescent="0.25">
      <c r="A2261" s="23">
        <v>1799</v>
      </c>
      <c r="B2261" s="89" t="str">
        <f>CADASTROS!$C$1491</f>
        <v>José Humberto da Silva</v>
      </c>
      <c r="C2261" s="159"/>
      <c r="D2261" s="159"/>
      <c r="E2261" s="159"/>
      <c r="F2261" s="159"/>
      <c r="G2261" s="159"/>
      <c r="H2261" s="159"/>
      <c r="I2261" s="7">
        <f t="shared" si="189"/>
        <v>0</v>
      </c>
    </row>
    <row r="2262" spans="1:9" ht="15.75" x14ac:dyDescent="0.25">
      <c r="A2262" s="23">
        <v>1800</v>
      </c>
      <c r="B2262" s="89" t="str">
        <f>CADASTROS!$C$1492</f>
        <v>Sabrina Silva Ribeiro</v>
      </c>
      <c r="C2262" s="159"/>
      <c r="D2262" s="159"/>
      <c r="E2262" s="159">
        <v>19</v>
      </c>
      <c r="F2262" s="159"/>
      <c r="G2262" s="159">
        <v>19</v>
      </c>
      <c r="H2262" s="159"/>
      <c r="I2262" s="7">
        <f t="shared" si="189"/>
        <v>38</v>
      </c>
    </row>
    <row r="2263" spans="1:9" ht="15.75" x14ac:dyDescent="0.25">
      <c r="A2263" s="23">
        <v>1801</v>
      </c>
      <c r="B2263" s="89" t="str">
        <f>CADASTROS!$C$1493</f>
        <v>Agnaldo dos Santos Nago</v>
      </c>
      <c r="C2263" s="159"/>
      <c r="D2263" s="159"/>
      <c r="E2263" s="159"/>
      <c r="F2263" s="159"/>
      <c r="G2263" s="159"/>
      <c r="H2263" s="159"/>
      <c r="I2263" s="7">
        <f t="shared" si="189"/>
        <v>0</v>
      </c>
    </row>
    <row r="2264" spans="1:9" ht="15.75" x14ac:dyDescent="0.25">
      <c r="A2264" s="23">
        <v>1802</v>
      </c>
      <c r="B2264" s="89" t="str">
        <f>CADASTROS!$C$1494</f>
        <v>Flávio B. Oliveira Pereira</v>
      </c>
      <c r="C2264" s="159"/>
      <c r="D2264" s="159"/>
      <c r="E2264" s="159"/>
      <c r="F2264" s="159"/>
      <c r="G2264" s="159"/>
      <c r="H2264" s="159"/>
      <c r="I2264" s="7">
        <f t="shared" si="189"/>
        <v>0</v>
      </c>
    </row>
    <row r="2265" spans="1:9" ht="15.75" x14ac:dyDescent="0.25">
      <c r="A2265" s="23">
        <v>1803</v>
      </c>
      <c r="B2265" s="89" t="str">
        <f>CADASTROS!$C$1495</f>
        <v>Natan Lopes dos Santos</v>
      </c>
      <c r="C2265" s="159"/>
      <c r="D2265" s="159">
        <v>14</v>
      </c>
      <c r="E2265" s="159">
        <v>15</v>
      </c>
      <c r="F2265" s="159"/>
      <c r="G2265" s="159"/>
      <c r="H2265" s="159"/>
      <c r="I2265" s="7">
        <f t="shared" si="189"/>
        <v>29</v>
      </c>
    </row>
    <row r="2266" spans="1:9" ht="15.75" x14ac:dyDescent="0.25">
      <c r="A2266" s="23">
        <v>1804</v>
      </c>
      <c r="B2266" s="89" t="str">
        <f>CADASTROS!$C$1496</f>
        <v>Elzita Maria de Souza</v>
      </c>
      <c r="C2266" s="159">
        <v>39</v>
      </c>
      <c r="D2266" s="159">
        <v>38</v>
      </c>
      <c r="E2266" s="159"/>
      <c r="F2266" s="159"/>
      <c r="G2266" s="159">
        <v>46.5</v>
      </c>
      <c r="H2266" s="159"/>
      <c r="I2266" s="7">
        <f t="shared" si="189"/>
        <v>123.5</v>
      </c>
    </row>
    <row r="2267" spans="1:9" ht="15.75" x14ac:dyDescent="0.25">
      <c r="A2267" s="23">
        <v>1805</v>
      </c>
      <c r="B2267" s="89" t="str">
        <f>CADASTROS!$C$1497</f>
        <v>Flamarion Sá Teles de Oliveira</v>
      </c>
      <c r="C2267" s="159"/>
      <c r="D2267" s="159"/>
      <c r="E2267" s="159">
        <v>5</v>
      </c>
      <c r="F2267" s="159"/>
      <c r="G2267" s="159"/>
      <c r="H2267" s="159"/>
      <c r="I2267" s="7">
        <f t="shared" si="189"/>
        <v>5</v>
      </c>
    </row>
    <row r="2268" spans="1:9" ht="15.75" x14ac:dyDescent="0.25">
      <c r="A2268" s="23">
        <v>1806</v>
      </c>
      <c r="B2268" s="89" t="str">
        <f>CADASTROS!$C$1498</f>
        <v>Uenio dos Anjos Meira</v>
      </c>
      <c r="C2268" s="159"/>
      <c r="D2268" s="159">
        <v>14</v>
      </c>
      <c r="E2268" s="159">
        <v>14.5</v>
      </c>
      <c r="F2268" s="159"/>
      <c r="G2268" s="159">
        <v>17</v>
      </c>
      <c r="H2268" s="159"/>
      <c r="I2268" s="7">
        <f t="shared" si="189"/>
        <v>45.5</v>
      </c>
    </row>
    <row r="2269" spans="1:9" ht="15.75" x14ac:dyDescent="0.25">
      <c r="A2269" s="23">
        <v>1807</v>
      </c>
      <c r="B2269" s="89" t="str">
        <f>CADASTROS!$C$1499</f>
        <v>Genivaldo Gaspar de Souza</v>
      </c>
      <c r="C2269" s="159">
        <v>10</v>
      </c>
      <c r="D2269" s="159">
        <v>9.5</v>
      </c>
      <c r="E2269" s="159">
        <v>10</v>
      </c>
      <c r="F2269" s="159"/>
      <c r="G2269" s="159">
        <v>10.5</v>
      </c>
      <c r="H2269" s="159">
        <v>12</v>
      </c>
      <c r="I2269" s="7">
        <f t="shared" si="189"/>
        <v>52</v>
      </c>
    </row>
    <row r="2270" spans="1:9" ht="15.75" x14ac:dyDescent="0.25">
      <c r="A2270" s="23">
        <v>1808</v>
      </c>
      <c r="B2270" s="89" t="str">
        <f>CADASTROS!$C$1500</f>
        <v>Leandro dos Anjos Santos</v>
      </c>
      <c r="C2270" s="159"/>
      <c r="D2270" s="159">
        <v>27</v>
      </c>
      <c r="E2270" s="159">
        <v>33</v>
      </c>
      <c r="F2270" s="159"/>
      <c r="G2270" s="159">
        <v>21.5</v>
      </c>
      <c r="H2270" s="159"/>
      <c r="I2270" s="7">
        <f t="shared" si="189"/>
        <v>81.5</v>
      </c>
    </row>
    <row r="2271" spans="1:9" ht="15.75" x14ac:dyDescent="0.25">
      <c r="A2271" s="23">
        <v>1809</v>
      </c>
      <c r="B2271" s="89" t="str">
        <f>CADASTROS!$C$1501</f>
        <v>Leiliane dos Santos Nunes</v>
      </c>
      <c r="C2271" s="159"/>
      <c r="D2271" s="159"/>
      <c r="E2271" s="159"/>
      <c r="F2271" s="159"/>
      <c r="G2271" s="159"/>
      <c r="H2271" s="159"/>
      <c r="I2271" s="7">
        <f t="shared" si="189"/>
        <v>0</v>
      </c>
    </row>
    <row r="2272" spans="1:9" ht="15.75" x14ac:dyDescent="0.25">
      <c r="A2272" s="23">
        <v>1810</v>
      </c>
      <c r="B2272" s="89" t="str">
        <f>CADASTROS!$C$1502</f>
        <v>Gilmar dos Santos Alves</v>
      </c>
      <c r="C2272" s="159"/>
      <c r="D2272" s="159"/>
      <c r="E2272" s="159">
        <v>8</v>
      </c>
      <c r="F2272" s="159"/>
      <c r="G2272" s="159"/>
      <c r="H2272" s="159"/>
      <c r="I2272" s="7">
        <f t="shared" si="189"/>
        <v>8</v>
      </c>
    </row>
    <row r="2273" spans="1:9" ht="15.75" x14ac:dyDescent="0.25">
      <c r="A2273" s="23">
        <v>1811</v>
      </c>
      <c r="B2273" s="89" t="str">
        <f>CADASTROS!$C$1503</f>
        <v>Manelito da Silva Araújo</v>
      </c>
      <c r="C2273" s="159"/>
      <c r="D2273" s="159"/>
      <c r="E2273" s="159">
        <v>8</v>
      </c>
      <c r="F2273" s="159"/>
      <c r="G2273" s="159"/>
      <c r="H2273" s="159"/>
      <c r="I2273" s="7">
        <f t="shared" si="189"/>
        <v>8</v>
      </c>
    </row>
    <row r="2274" spans="1:9" ht="15.75" x14ac:dyDescent="0.25">
      <c r="A2274" s="23">
        <v>1812</v>
      </c>
      <c r="B2274" s="89" t="str">
        <f>CADASTROS!$C$1504</f>
        <v>Jandira de Jesus Pires</v>
      </c>
      <c r="C2274" s="159">
        <v>49</v>
      </c>
      <c r="D2274" s="159">
        <v>39</v>
      </c>
      <c r="E2274" s="159">
        <v>29.5</v>
      </c>
      <c r="F2274" s="159"/>
      <c r="G2274" s="159">
        <v>40.5</v>
      </c>
      <c r="H2274" s="159"/>
      <c r="I2274" s="7">
        <f t="shared" si="189"/>
        <v>158</v>
      </c>
    </row>
    <row r="2275" spans="1:9" ht="15.75" x14ac:dyDescent="0.25">
      <c r="A2275" s="23">
        <v>1813</v>
      </c>
      <c r="B2275" s="89" t="str">
        <f>CADASTROS!$C$1505</f>
        <v>Anailde Sousa Salvador</v>
      </c>
      <c r="C2275" s="159">
        <v>48</v>
      </c>
      <c r="D2275" s="159">
        <v>19</v>
      </c>
      <c r="E2275" s="159">
        <v>22</v>
      </c>
      <c r="F2275" s="159"/>
      <c r="G2275" s="159">
        <v>40</v>
      </c>
      <c r="H2275" s="159">
        <v>11</v>
      </c>
      <c r="I2275" s="7">
        <f t="shared" si="189"/>
        <v>140</v>
      </c>
    </row>
    <row r="2276" spans="1:9" ht="15.75" x14ac:dyDescent="0.25">
      <c r="A2276" s="23">
        <v>1814</v>
      </c>
      <c r="B2276" s="89" t="str">
        <f>CADASTROS!$C$1506</f>
        <v>Elizabete J. Souza</v>
      </c>
      <c r="C2276" s="159"/>
      <c r="D2276" s="159">
        <v>19</v>
      </c>
      <c r="E2276" s="159"/>
      <c r="F2276" s="159"/>
      <c r="G2276" s="159">
        <v>40</v>
      </c>
      <c r="H2276" s="159">
        <v>11</v>
      </c>
      <c r="I2276" s="7">
        <f t="shared" si="189"/>
        <v>70</v>
      </c>
    </row>
    <row r="2277" spans="1:9" ht="15.75" x14ac:dyDescent="0.25">
      <c r="A2277" s="23">
        <v>1815</v>
      </c>
      <c r="B2277" s="89" t="str">
        <f>CADASTROS!$C$1507</f>
        <v>Oseias de Souza Araújo</v>
      </c>
      <c r="C2277" s="159"/>
      <c r="D2277" s="159"/>
      <c r="E2277" s="159"/>
      <c r="F2277" s="159"/>
      <c r="G2277" s="159"/>
      <c r="H2277" s="159"/>
      <c r="I2277" s="7">
        <f t="shared" si="189"/>
        <v>0</v>
      </c>
    </row>
    <row r="2278" spans="1:9" ht="15.75" x14ac:dyDescent="0.25">
      <c r="A2278" s="23">
        <v>1816</v>
      </c>
      <c r="B2278" s="89" t="str">
        <f>CADASTROS!$C$1508</f>
        <v>Messias Silva Lima</v>
      </c>
      <c r="C2278" s="159"/>
      <c r="D2278" s="159"/>
      <c r="E2278" s="159">
        <v>10</v>
      </c>
      <c r="F2278" s="159"/>
      <c r="G2278" s="159">
        <v>2.5</v>
      </c>
      <c r="H2278" s="159"/>
      <c r="I2278" s="7">
        <f t="shared" si="189"/>
        <v>12.5</v>
      </c>
    </row>
    <row r="2279" spans="1:9" ht="15.75" x14ac:dyDescent="0.25">
      <c r="B2279" s="159" t="s">
        <v>4829</v>
      </c>
      <c r="C2279" s="159">
        <f>SUM(C2252:C2278)</f>
        <v>162.5</v>
      </c>
      <c r="D2279" s="159">
        <f t="shared" ref="D2279:H2279" si="190">SUM(D2252:D2278)</f>
        <v>250</v>
      </c>
      <c r="E2279" s="159">
        <f t="shared" si="190"/>
        <v>245</v>
      </c>
      <c r="F2279" s="159">
        <f t="shared" si="190"/>
        <v>26.5</v>
      </c>
      <c r="G2279" s="159">
        <f t="shared" si="190"/>
        <v>309</v>
      </c>
      <c r="H2279" s="159">
        <f t="shared" si="190"/>
        <v>34</v>
      </c>
      <c r="I2279" s="159">
        <f>SUM(I2252:I2278)</f>
        <v>1027</v>
      </c>
    </row>
    <row r="2281" spans="1:9" ht="15.75" x14ac:dyDescent="0.25">
      <c r="B2281" s="8" t="s">
        <v>4830</v>
      </c>
      <c r="C2281" s="159"/>
      <c r="D2281" s="159"/>
      <c r="E2281" s="159"/>
      <c r="F2281" s="159"/>
      <c r="G2281" s="159"/>
      <c r="H2281" s="159"/>
      <c r="I2281" s="159">
        <f>SUM(C2281:H2281)</f>
        <v>0</v>
      </c>
    </row>
    <row r="2282" spans="1:9" x14ac:dyDescent="0.25">
      <c r="B2282" s="167"/>
    </row>
    <row r="2283" spans="1:9" ht="15.75" x14ac:dyDescent="0.25">
      <c r="B2283" s="8" t="s">
        <v>4831</v>
      </c>
      <c r="C2283" s="9" t="e">
        <f>C2279/C2281</f>
        <v>#DIV/0!</v>
      </c>
      <c r="D2283" s="9" t="e">
        <f t="shared" ref="D2283:H2283" si="191">D2279/D2281</f>
        <v>#DIV/0!</v>
      </c>
      <c r="E2283" s="9" t="e">
        <f t="shared" si="191"/>
        <v>#DIV/0!</v>
      </c>
      <c r="F2283" s="9" t="e">
        <f t="shared" si="191"/>
        <v>#DIV/0!</v>
      </c>
      <c r="G2283" s="9" t="e">
        <f t="shared" si="191"/>
        <v>#DIV/0!</v>
      </c>
      <c r="H2283" s="9" t="e">
        <f t="shared" si="191"/>
        <v>#DIV/0!</v>
      </c>
      <c r="I2283" s="9"/>
    </row>
    <row r="2284" spans="1:9" ht="15.75" x14ac:dyDescent="0.25">
      <c r="B2284" s="163"/>
      <c r="C2284" s="10"/>
      <c r="D2284" s="10"/>
      <c r="E2284" s="10"/>
      <c r="F2284" s="10"/>
      <c r="G2284" s="10"/>
      <c r="H2284" s="163"/>
      <c r="I2284" s="163"/>
    </row>
    <row r="2285" spans="1:9" ht="15.75" x14ac:dyDescent="0.25">
      <c r="B2285" s="8" t="s">
        <v>4832</v>
      </c>
      <c r="C2285" s="159"/>
      <c r="D2285" s="159"/>
      <c r="E2285" s="6"/>
      <c r="F2285" s="6"/>
      <c r="G2285" s="6"/>
      <c r="H2285" s="6"/>
      <c r="I2285" s="11"/>
    </row>
    <row r="2287" spans="1:9" ht="33.75" x14ac:dyDescent="0.25">
      <c r="B2287" s="187" t="s">
        <v>4842</v>
      </c>
      <c r="C2287" s="188"/>
      <c r="D2287" s="188"/>
      <c r="E2287" s="188"/>
      <c r="F2287" s="188"/>
      <c r="G2287" s="188"/>
      <c r="H2287" s="188"/>
      <c r="I2287" s="189"/>
    </row>
    <row r="2288" spans="1:9" ht="47.25" x14ac:dyDescent="0.25">
      <c r="A2288" s="155" t="s">
        <v>4819</v>
      </c>
      <c r="B2288" s="155" t="s">
        <v>4820</v>
      </c>
      <c r="C2288" s="4" t="s">
        <v>4821</v>
      </c>
      <c r="D2288" s="4" t="s">
        <v>4822</v>
      </c>
      <c r="E2288" s="88" t="s">
        <v>4823</v>
      </c>
      <c r="F2288" s="88" t="s">
        <v>4824</v>
      </c>
      <c r="G2288" s="88" t="s">
        <v>4825</v>
      </c>
      <c r="H2288" s="4" t="s">
        <v>4826</v>
      </c>
      <c r="I2288" s="29" t="s">
        <v>4827</v>
      </c>
    </row>
    <row r="2289" spans="1:9" ht="25.5" x14ac:dyDescent="0.25">
      <c r="A2289" s="156"/>
      <c r="B2289" s="156"/>
      <c r="C2289" s="13" t="s">
        <v>4828</v>
      </c>
      <c r="D2289" s="13" t="s">
        <v>4828</v>
      </c>
      <c r="E2289" s="13" t="s">
        <v>4828</v>
      </c>
      <c r="F2289" s="13" t="s">
        <v>4828</v>
      </c>
      <c r="G2289" s="13" t="s">
        <v>4828</v>
      </c>
      <c r="H2289" s="13" t="s">
        <v>4828</v>
      </c>
      <c r="I2289" s="30"/>
    </row>
    <row r="2290" spans="1:9" ht="15.75" x14ac:dyDescent="0.25">
      <c r="A2290" s="23">
        <v>1817</v>
      </c>
      <c r="B2290" s="89" t="str">
        <f>CADASTROS!$C$1509</f>
        <v>Aldai Souza Costa</v>
      </c>
      <c r="C2290" s="159"/>
      <c r="D2290" s="159"/>
      <c r="E2290" s="159"/>
      <c r="F2290" s="159"/>
      <c r="G2290" s="159"/>
      <c r="H2290" s="159">
        <v>15</v>
      </c>
      <c r="I2290" s="7">
        <f>SUM(C2290+D2290+E2290+F2290+G2290+H2290)</f>
        <v>15</v>
      </c>
    </row>
    <row r="2291" spans="1:9" ht="15.75" x14ac:dyDescent="0.25">
      <c r="A2291" s="23">
        <v>1818</v>
      </c>
      <c r="B2291" s="89" t="str">
        <f>CADASTROS!$C$1510</f>
        <v>Gesiane Santos Pires</v>
      </c>
      <c r="C2291" s="159"/>
      <c r="D2291" s="159"/>
      <c r="E2291" s="159"/>
      <c r="F2291" s="159"/>
      <c r="G2291" s="159"/>
      <c r="H2291" s="159"/>
      <c r="I2291" s="7">
        <f>SUM(C2291+D2291+E2291+F2291+G2291+H2291)</f>
        <v>0</v>
      </c>
    </row>
    <row r="2292" spans="1:9" ht="15.75" x14ac:dyDescent="0.25">
      <c r="A2292" s="23">
        <v>1819</v>
      </c>
      <c r="B2292" s="89" t="str">
        <f>CADASTROS!$C$1511</f>
        <v>Lucineide da Silva Valeiro</v>
      </c>
      <c r="C2292" s="159"/>
      <c r="D2292" s="159"/>
      <c r="E2292" s="159"/>
      <c r="F2292" s="159"/>
      <c r="G2292" s="159"/>
      <c r="H2292" s="159"/>
      <c r="I2292" s="7">
        <f t="shared" ref="I2292:I2316" si="192">SUM(C2292+D2292+E2292+F2292+G2292+H2292)</f>
        <v>0</v>
      </c>
    </row>
    <row r="2293" spans="1:9" ht="15.75" x14ac:dyDescent="0.25">
      <c r="A2293" s="23">
        <v>1820</v>
      </c>
      <c r="B2293" s="89" t="str">
        <f>CADASTROS!$C$1512</f>
        <v>Gilvando Correia Caneiro</v>
      </c>
      <c r="C2293" s="159"/>
      <c r="D2293" s="159"/>
      <c r="E2293" s="159"/>
      <c r="F2293" s="159"/>
      <c r="G2293" s="159"/>
      <c r="H2293" s="159"/>
      <c r="I2293" s="7">
        <f t="shared" si="192"/>
        <v>0</v>
      </c>
    </row>
    <row r="2294" spans="1:9" ht="15.75" x14ac:dyDescent="0.25">
      <c r="A2294" s="23">
        <v>1821</v>
      </c>
      <c r="B2294" s="89" t="str">
        <f>CADASTROS!$C$1513</f>
        <v>Eulália Oliveira Costa</v>
      </c>
      <c r="C2294" s="159"/>
      <c r="D2294" s="159"/>
      <c r="E2294" s="159"/>
      <c r="F2294" s="159"/>
      <c r="G2294" s="159"/>
      <c r="H2294" s="159"/>
      <c r="I2294" s="7">
        <f t="shared" si="192"/>
        <v>0</v>
      </c>
    </row>
    <row r="2295" spans="1:9" ht="15.75" x14ac:dyDescent="0.25">
      <c r="A2295" s="23">
        <v>1822</v>
      </c>
      <c r="B2295" s="89" t="str">
        <f>CADASTROS!$C$1514</f>
        <v>Noelma da Silva Santos</v>
      </c>
      <c r="C2295" s="159">
        <v>15.5</v>
      </c>
      <c r="D2295" s="159">
        <v>18</v>
      </c>
      <c r="E2295" s="159">
        <v>8</v>
      </c>
      <c r="F2295" s="159"/>
      <c r="G2295" s="159">
        <v>12</v>
      </c>
      <c r="H2295" s="159"/>
      <c r="I2295" s="7">
        <f t="shared" si="192"/>
        <v>53.5</v>
      </c>
    </row>
    <row r="2296" spans="1:9" ht="15.75" x14ac:dyDescent="0.25">
      <c r="A2296" s="23">
        <v>1823</v>
      </c>
      <c r="B2296" s="89" t="str">
        <f>CADASTROS!$C$1515</f>
        <v>Sidalva C. da Silva</v>
      </c>
      <c r="C2296" s="159">
        <v>13</v>
      </c>
      <c r="D2296" s="159">
        <v>12.5</v>
      </c>
      <c r="E2296" s="159">
        <v>7.5</v>
      </c>
      <c r="F2296" s="159"/>
      <c r="G2296" s="159">
        <v>14</v>
      </c>
      <c r="H2296" s="159"/>
      <c r="I2296" s="7">
        <f t="shared" si="192"/>
        <v>47</v>
      </c>
    </row>
    <row r="2297" spans="1:9" ht="15.75" x14ac:dyDescent="0.25">
      <c r="A2297" s="23">
        <v>1824</v>
      </c>
      <c r="B2297" s="89" t="str">
        <f>CADASTROS!$C$1516</f>
        <v>Cleuma dos Santos Vitor</v>
      </c>
      <c r="C2297" s="159"/>
      <c r="D2297" s="159">
        <v>23</v>
      </c>
      <c r="E2297" s="159">
        <v>14</v>
      </c>
      <c r="F2297" s="159"/>
      <c r="G2297" s="159">
        <v>15.5</v>
      </c>
      <c r="H2297" s="159"/>
      <c r="I2297" s="7">
        <f t="shared" si="192"/>
        <v>52.5</v>
      </c>
    </row>
    <row r="2298" spans="1:9" ht="15.75" x14ac:dyDescent="0.25">
      <c r="A2298" s="23">
        <v>1825</v>
      </c>
      <c r="B2298" s="89" t="str">
        <f>CADASTROS!$C$1517</f>
        <v>Geane Pereira Almeida</v>
      </c>
      <c r="C2298" s="159">
        <v>12</v>
      </c>
      <c r="D2298" s="159">
        <v>14</v>
      </c>
      <c r="E2298" s="159">
        <v>13.5</v>
      </c>
      <c r="F2298" s="159"/>
      <c r="G2298" s="159">
        <v>11</v>
      </c>
      <c r="H2298" s="159">
        <v>15.5</v>
      </c>
      <c r="I2298" s="7">
        <f t="shared" si="192"/>
        <v>66</v>
      </c>
    </row>
    <row r="2299" spans="1:9" ht="15.75" x14ac:dyDescent="0.25">
      <c r="A2299" s="23">
        <v>1826</v>
      </c>
      <c r="B2299" s="89" t="str">
        <f>CADASTROS!$C$1518</f>
        <v>Valnier Alves Souza</v>
      </c>
      <c r="C2299" s="159">
        <v>15.5</v>
      </c>
      <c r="D2299" s="159"/>
      <c r="E2299" s="159">
        <v>14</v>
      </c>
      <c r="F2299" s="159"/>
      <c r="G2299" s="159"/>
      <c r="H2299" s="159"/>
      <c r="I2299" s="7">
        <f t="shared" si="192"/>
        <v>29.5</v>
      </c>
    </row>
    <row r="2300" spans="1:9" ht="15.75" x14ac:dyDescent="0.25">
      <c r="A2300" s="23">
        <v>1827</v>
      </c>
      <c r="B2300" s="89" t="str">
        <f>CADASTROS!$C$1519</f>
        <v>Laiza Costa Ribeiro</v>
      </c>
      <c r="C2300" s="159">
        <v>7</v>
      </c>
      <c r="D2300" s="159">
        <v>8</v>
      </c>
      <c r="E2300" s="159"/>
      <c r="F2300" s="159"/>
      <c r="G2300" s="159">
        <v>7.5</v>
      </c>
      <c r="H2300" s="159"/>
      <c r="I2300" s="7">
        <f t="shared" si="192"/>
        <v>22.5</v>
      </c>
    </row>
    <row r="2301" spans="1:9" ht="15.75" x14ac:dyDescent="0.25">
      <c r="A2301" s="23">
        <v>1828</v>
      </c>
      <c r="B2301" s="89" t="str">
        <f>CADASTROS!$C$1520</f>
        <v>Lucilene Costa Nunes</v>
      </c>
      <c r="C2301" s="159">
        <v>20</v>
      </c>
      <c r="D2301" s="159">
        <v>22.5</v>
      </c>
      <c r="E2301" s="159">
        <v>13</v>
      </c>
      <c r="F2301" s="159"/>
      <c r="G2301" s="159">
        <v>53</v>
      </c>
      <c r="H2301" s="159">
        <v>13.5</v>
      </c>
      <c r="I2301" s="7">
        <f t="shared" si="192"/>
        <v>122</v>
      </c>
    </row>
    <row r="2302" spans="1:9" ht="15.75" x14ac:dyDescent="0.25">
      <c r="A2302" s="23">
        <v>1829</v>
      </c>
      <c r="B2302" s="89" t="str">
        <f>CADASTROS!$C$1521</f>
        <v>Rodrigo Barbosa da Silva</v>
      </c>
      <c r="C2302" s="159"/>
      <c r="D2302" s="159"/>
      <c r="E2302" s="159"/>
      <c r="F2302" s="159"/>
      <c r="G2302" s="159">
        <v>20</v>
      </c>
      <c r="H2302" s="159"/>
      <c r="I2302" s="7">
        <f t="shared" si="192"/>
        <v>20</v>
      </c>
    </row>
    <row r="2303" spans="1:9" ht="15.75" x14ac:dyDescent="0.25">
      <c r="A2303" s="23">
        <v>1830</v>
      </c>
      <c r="B2303" s="89" t="str">
        <f>CADASTROS!$C$1522</f>
        <v>Mª Madalena Lima Santos</v>
      </c>
      <c r="C2303" s="159"/>
      <c r="D2303" s="159"/>
      <c r="E2303" s="159"/>
      <c r="F2303" s="159"/>
      <c r="G2303" s="159">
        <v>15.5</v>
      </c>
      <c r="H2303" s="159">
        <v>5</v>
      </c>
      <c r="I2303" s="7">
        <f t="shared" si="192"/>
        <v>20.5</v>
      </c>
    </row>
    <row r="2304" spans="1:9" ht="15.75" x14ac:dyDescent="0.25">
      <c r="A2304" s="23">
        <v>1831</v>
      </c>
      <c r="B2304" s="89" t="str">
        <f>CADASTROS!$C$1523</f>
        <v>Valdir Ferreira Pinto</v>
      </c>
      <c r="C2304" s="159">
        <v>58.5</v>
      </c>
      <c r="D2304" s="159">
        <v>30</v>
      </c>
      <c r="E2304" s="159">
        <v>27</v>
      </c>
      <c r="F2304" s="159"/>
      <c r="G2304" s="159"/>
      <c r="H2304" s="159"/>
      <c r="I2304" s="7">
        <f t="shared" si="192"/>
        <v>115.5</v>
      </c>
    </row>
    <row r="2305" spans="1:9" ht="15.75" x14ac:dyDescent="0.25">
      <c r="A2305" s="23">
        <v>1832</v>
      </c>
      <c r="B2305" s="89" t="str">
        <f>CADASTROS!$C$1524</f>
        <v>Abenailton Souza de Jesus</v>
      </c>
      <c r="C2305" s="159"/>
      <c r="D2305" s="159">
        <v>24</v>
      </c>
      <c r="E2305" s="159">
        <v>31.5</v>
      </c>
      <c r="F2305" s="159"/>
      <c r="G2305" s="159">
        <v>19</v>
      </c>
      <c r="H2305" s="159"/>
      <c r="I2305" s="7">
        <f t="shared" si="192"/>
        <v>74.5</v>
      </c>
    </row>
    <row r="2306" spans="1:9" ht="15.75" x14ac:dyDescent="0.25">
      <c r="A2306" s="23">
        <v>1833</v>
      </c>
      <c r="B2306" s="89" t="str">
        <f>CADASTROS!$C$1525</f>
        <v>Adilma dos Santos Silva</v>
      </c>
      <c r="C2306" s="159"/>
      <c r="D2306" s="159">
        <v>15</v>
      </c>
      <c r="E2306" s="159"/>
      <c r="F2306" s="159"/>
      <c r="G2306" s="159"/>
      <c r="H2306" s="159"/>
      <c r="I2306" s="7">
        <f t="shared" si="192"/>
        <v>15</v>
      </c>
    </row>
    <row r="2307" spans="1:9" ht="15.75" x14ac:dyDescent="0.25">
      <c r="A2307" s="23">
        <v>1834</v>
      </c>
      <c r="B2307" s="89" t="str">
        <f>CADASTROS!$C$1526</f>
        <v>Rosenir da Cruz Santos</v>
      </c>
      <c r="C2307" s="159">
        <v>18</v>
      </c>
      <c r="D2307" s="159">
        <v>19.5</v>
      </c>
      <c r="E2307" s="159">
        <v>18.5</v>
      </c>
      <c r="F2307" s="159"/>
      <c r="G2307" s="159">
        <v>13.5</v>
      </c>
      <c r="H2307" s="159"/>
      <c r="I2307" s="7">
        <f t="shared" si="192"/>
        <v>69.5</v>
      </c>
    </row>
    <row r="2308" spans="1:9" ht="15.75" x14ac:dyDescent="0.25">
      <c r="A2308" s="23">
        <v>1835</v>
      </c>
      <c r="B2308" s="89" t="str">
        <f>CADASTROS!$C$1527</f>
        <v>Silvoneide Ferreira Lima</v>
      </c>
      <c r="C2308" s="159">
        <v>23</v>
      </c>
      <c r="D2308" s="159">
        <v>21</v>
      </c>
      <c r="E2308" s="159">
        <v>20</v>
      </c>
      <c r="F2308" s="159"/>
      <c r="G2308" s="159"/>
      <c r="H2308" s="159"/>
      <c r="I2308" s="7">
        <f t="shared" si="192"/>
        <v>64</v>
      </c>
    </row>
    <row r="2309" spans="1:9" ht="15.75" x14ac:dyDescent="0.25">
      <c r="A2309" s="23">
        <v>1836</v>
      </c>
      <c r="B2309" s="89" t="str">
        <f>CADASTROS!$C$1528</f>
        <v>Edvânia Fernandes Brito</v>
      </c>
      <c r="C2309" s="159">
        <v>19</v>
      </c>
      <c r="D2309" s="159">
        <v>21.5</v>
      </c>
      <c r="E2309" s="159"/>
      <c r="F2309" s="159"/>
      <c r="G2309" s="159">
        <v>13.5</v>
      </c>
      <c r="H2309" s="159"/>
      <c r="I2309" s="7">
        <f t="shared" si="192"/>
        <v>54</v>
      </c>
    </row>
    <row r="2310" spans="1:9" ht="15.75" x14ac:dyDescent="0.25">
      <c r="A2310" s="23">
        <v>1837</v>
      </c>
      <c r="B2310" s="89" t="str">
        <f>CADASTROS!$C$1529</f>
        <v>Vanessa Leite Santana</v>
      </c>
      <c r="C2310" s="159"/>
      <c r="D2310" s="159">
        <v>16.5</v>
      </c>
      <c r="E2310" s="159">
        <v>17.5</v>
      </c>
      <c r="F2310" s="159"/>
      <c r="G2310" s="159"/>
      <c r="H2310" s="159"/>
      <c r="I2310" s="7">
        <f t="shared" si="192"/>
        <v>34</v>
      </c>
    </row>
    <row r="2311" spans="1:9" ht="15.75" x14ac:dyDescent="0.25">
      <c r="A2311" s="23">
        <v>1838</v>
      </c>
      <c r="B2311" s="89" t="str">
        <f>CADASTROS!$C$1530</f>
        <v>Joelza Alves de Souza</v>
      </c>
      <c r="C2311" s="159">
        <v>25</v>
      </c>
      <c r="D2311" s="159">
        <v>13</v>
      </c>
      <c r="E2311" s="159">
        <v>10.5</v>
      </c>
      <c r="F2311" s="159"/>
      <c r="G2311" s="159">
        <v>14.5</v>
      </c>
      <c r="H2311" s="159">
        <v>15.5</v>
      </c>
      <c r="I2311" s="7">
        <f t="shared" si="192"/>
        <v>78.5</v>
      </c>
    </row>
    <row r="2312" spans="1:9" ht="15.75" x14ac:dyDescent="0.25">
      <c r="A2312" s="23">
        <v>1839</v>
      </c>
      <c r="B2312" s="89" t="str">
        <f>CADASTROS!$C$1531</f>
        <v>Luciene Ferreira da Silva</v>
      </c>
      <c r="C2312" s="159">
        <v>11.5</v>
      </c>
      <c r="D2312" s="159">
        <v>8</v>
      </c>
      <c r="E2312" s="159">
        <v>7</v>
      </c>
      <c r="F2312" s="159"/>
      <c r="G2312" s="159">
        <v>19</v>
      </c>
      <c r="H2312" s="159"/>
      <c r="I2312" s="7">
        <f t="shared" si="192"/>
        <v>45.5</v>
      </c>
    </row>
    <row r="2313" spans="1:9" ht="15.75" x14ac:dyDescent="0.25">
      <c r="A2313" s="23">
        <v>1840</v>
      </c>
      <c r="B2313" s="89" t="str">
        <f>CADASTROS!$C$1532</f>
        <v>Gildélia Pires de Souza</v>
      </c>
      <c r="C2313" s="159"/>
      <c r="D2313" s="159"/>
      <c r="E2313" s="159"/>
      <c r="F2313" s="159"/>
      <c r="G2313" s="159"/>
      <c r="H2313" s="159">
        <v>33</v>
      </c>
      <c r="I2313" s="7">
        <f t="shared" si="192"/>
        <v>33</v>
      </c>
    </row>
    <row r="2314" spans="1:9" ht="15.75" x14ac:dyDescent="0.25">
      <c r="A2314" s="23">
        <v>1841</v>
      </c>
      <c r="B2314" s="89" t="str">
        <f>CADASTROS!$C$1533</f>
        <v>Dilma Alves da Silva</v>
      </c>
      <c r="C2314" s="159"/>
      <c r="D2314" s="159"/>
      <c r="E2314" s="159"/>
      <c r="F2314" s="159"/>
      <c r="G2314" s="159">
        <v>14.5</v>
      </c>
      <c r="H2314" s="159">
        <v>9.5</v>
      </c>
      <c r="I2314" s="7">
        <f t="shared" si="192"/>
        <v>24</v>
      </c>
    </row>
    <row r="2315" spans="1:9" ht="15.75" x14ac:dyDescent="0.25">
      <c r="A2315" s="23">
        <v>1842</v>
      </c>
      <c r="B2315" s="89" t="str">
        <f>CADASTROS!$C$1534</f>
        <v>Sebastião Macaúbas Santos</v>
      </c>
      <c r="C2315" s="159"/>
      <c r="D2315" s="159"/>
      <c r="E2315" s="159"/>
      <c r="F2315" s="159"/>
      <c r="G2315" s="159"/>
      <c r="H2315" s="159"/>
      <c r="I2315" s="7">
        <f t="shared" si="192"/>
        <v>0</v>
      </c>
    </row>
    <row r="2316" spans="1:9" ht="15.75" x14ac:dyDescent="0.25">
      <c r="A2316" s="23">
        <v>1843</v>
      </c>
      <c r="B2316" s="89" t="str">
        <f>CADASTROS!$C$1535</f>
        <v>Delmires Miranda</v>
      </c>
      <c r="C2316" s="159"/>
      <c r="D2316" s="159"/>
      <c r="E2316" s="159"/>
      <c r="F2316" s="159"/>
      <c r="G2316" s="159"/>
      <c r="H2316" s="159"/>
      <c r="I2316" s="7">
        <f t="shared" si="192"/>
        <v>0</v>
      </c>
    </row>
    <row r="2317" spans="1:9" ht="15.75" x14ac:dyDescent="0.25">
      <c r="B2317" s="159" t="s">
        <v>4829</v>
      </c>
      <c r="C2317" s="159">
        <f>SUM(C2290:C2316)</f>
        <v>238</v>
      </c>
      <c r="D2317" s="159">
        <f t="shared" ref="D2317:H2317" si="193">SUM(D2290:D2316)</f>
        <v>266.5</v>
      </c>
      <c r="E2317" s="159">
        <f t="shared" si="193"/>
        <v>202</v>
      </c>
      <c r="F2317" s="159">
        <f t="shared" si="193"/>
        <v>0</v>
      </c>
      <c r="G2317" s="159">
        <f t="shared" si="193"/>
        <v>242.5</v>
      </c>
      <c r="H2317" s="159">
        <f t="shared" si="193"/>
        <v>107</v>
      </c>
      <c r="I2317" s="159">
        <f>SUM(I2290:I2316)</f>
        <v>1056</v>
      </c>
    </row>
    <row r="2319" spans="1:9" ht="15.75" x14ac:dyDescent="0.25">
      <c r="B2319" s="8" t="s">
        <v>4830</v>
      </c>
      <c r="C2319" s="159"/>
      <c r="D2319" s="159"/>
      <c r="E2319" s="159"/>
      <c r="F2319" s="159"/>
      <c r="G2319" s="159"/>
      <c r="H2319" s="159"/>
      <c r="I2319" s="159">
        <f>SUM(C2319:H2319)</f>
        <v>0</v>
      </c>
    </row>
    <row r="2320" spans="1:9" x14ac:dyDescent="0.25">
      <c r="B2320" s="167"/>
    </row>
    <row r="2321" spans="1:9" ht="15.75" x14ac:dyDescent="0.25">
      <c r="B2321" s="8" t="s">
        <v>4831</v>
      </c>
      <c r="C2321" s="9" t="e">
        <f>C2317/C2319</f>
        <v>#DIV/0!</v>
      </c>
      <c r="D2321" s="9" t="e">
        <f t="shared" ref="D2321:H2321" si="194">D2317/D2319</f>
        <v>#DIV/0!</v>
      </c>
      <c r="E2321" s="9" t="e">
        <f t="shared" si="194"/>
        <v>#DIV/0!</v>
      </c>
      <c r="F2321" s="9" t="e">
        <f t="shared" si="194"/>
        <v>#DIV/0!</v>
      </c>
      <c r="G2321" s="9" t="e">
        <f t="shared" si="194"/>
        <v>#DIV/0!</v>
      </c>
      <c r="H2321" s="9" t="e">
        <f t="shared" si="194"/>
        <v>#DIV/0!</v>
      </c>
      <c r="I2321" s="9"/>
    </row>
    <row r="2322" spans="1:9" ht="15.75" x14ac:dyDescent="0.25">
      <c r="B2322" s="163"/>
      <c r="C2322" s="10"/>
      <c r="D2322" s="10"/>
      <c r="E2322" s="10"/>
      <c r="F2322" s="10"/>
      <c r="G2322" s="10"/>
      <c r="H2322" s="163"/>
      <c r="I2322" s="163"/>
    </row>
    <row r="2323" spans="1:9" ht="15.75" x14ac:dyDescent="0.25">
      <c r="B2323" s="8" t="s">
        <v>4832</v>
      </c>
      <c r="C2323" s="159"/>
      <c r="D2323" s="159"/>
      <c r="E2323" s="6"/>
      <c r="F2323" s="6"/>
      <c r="G2323" s="6"/>
      <c r="H2323" s="6"/>
      <c r="I2323" s="11"/>
    </row>
    <row r="2325" spans="1:9" ht="33" customHeight="1" x14ac:dyDescent="0.25">
      <c r="B2325" s="187" t="s">
        <v>4842</v>
      </c>
      <c r="C2325" s="188"/>
      <c r="D2325" s="188"/>
      <c r="E2325" s="188"/>
      <c r="F2325" s="188"/>
      <c r="G2325" s="188"/>
      <c r="H2325" s="188"/>
      <c r="I2325" s="189"/>
    </row>
    <row r="2326" spans="1:9" ht="47.25" x14ac:dyDescent="0.25">
      <c r="A2326" s="155" t="s">
        <v>4819</v>
      </c>
      <c r="B2326" s="155" t="s">
        <v>4820</v>
      </c>
      <c r="C2326" s="4" t="s">
        <v>4821</v>
      </c>
      <c r="D2326" s="4" t="s">
        <v>4822</v>
      </c>
      <c r="E2326" s="88" t="s">
        <v>4823</v>
      </c>
      <c r="F2326" s="88" t="s">
        <v>4824</v>
      </c>
      <c r="G2326" s="88" t="s">
        <v>4825</v>
      </c>
      <c r="H2326" s="4" t="s">
        <v>4826</v>
      </c>
      <c r="I2326" s="29" t="s">
        <v>4827</v>
      </c>
    </row>
    <row r="2327" spans="1:9" ht="24.95" customHeight="1" x14ac:dyDescent="0.25">
      <c r="A2327" s="156"/>
      <c r="B2327" s="156"/>
      <c r="C2327" s="13" t="s">
        <v>4828</v>
      </c>
      <c r="D2327" s="13" t="s">
        <v>4828</v>
      </c>
      <c r="E2327" s="13" t="s">
        <v>4828</v>
      </c>
      <c r="F2327" s="13" t="s">
        <v>4828</v>
      </c>
      <c r="G2327" s="13" t="s">
        <v>4828</v>
      </c>
      <c r="H2327" s="13" t="s">
        <v>4828</v>
      </c>
      <c r="I2327" s="30"/>
    </row>
    <row r="2328" spans="1:9" ht="15.75" x14ac:dyDescent="0.25">
      <c r="A2328" s="23">
        <v>1844</v>
      </c>
      <c r="B2328" s="89" t="str">
        <f>CADASTROS!$C$1536</f>
        <v>Ideane Jesus de Oliveira</v>
      </c>
      <c r="C2328" s="159">
        <v>25</v>
      </c>
      <c r="D2328" s="159">
        <v>12</v>
      </c>
      <c r="E2328" s="159">
        <v>11</v>
      </c>
      <c r="F2328" s="159"/>
      <c r="G2328" s="159"/>
      <c r="H2328" s="159"/>
      <c r="I2328" s="7">
        <f>SUM(C2328+D2328+E2328+F2328+G2328+H2328)</f>
        <v>48</v>
      </c>
    </row>
    <row r="2329" spans="1:9" ht="15.75" x14ac:dyDescent="0.25">
      <c r="A2329" s="23">
        <v>1845</v>
      </c>
      <c r="B2329" s="89" t="str">
        <f>CADASTROS!$C$1537</f>
        <v>Edimar Araújo da Silva</v>
      </c>
      <c r="C2329" s="159">
        <v>16.5</v>
      </c>
      <c r="D2329" s="159">
        <v>33.5</v>
      </c>
      <c r="E2329" s="159">
        <v>32.5</v>
      </c>
      <c r="F2329" s="159"/>
      <c r="G2329" s="159">
        <v>19</v>
      </c>
      <c r="H2329" s="159"/>
      <c r="I2329" s="7">
        <f>SUM(C2329+D2329+E2329+F2329+G2329+H2329)</f>
        <v>101.5</v>
      </c>
    </row>
    <row r="2330" spans="1:9" ht="15.75" x14ac:dyDescent="0.25">
      <c r="A2330" s="23">
        <v>1846</v>
      </c>
      <c r="B2330" s="89" t="str">
        <f>CADASTROS!$C$1538</f>
        <v>Carlos Cardoso dos Santos</v>
      </c>
      <c r="C2330" s="159">
        <v>19</v>
      </c>
      <c r="D2330" s="159">
        <v>32</v>
      </c>
      <c r="E2330" s="159">
        <v>27</v>
      </c>
      <c r="F2330" s="159"/>
      <c r="G2330" s="159">
        <v>22</v>
      </c>
      <c r="H2330" s="159"/>
      <c r="I2330" s="7">
        <f t="shared" ref="I2330:I2354" si="195">SUM(C2330+D2330+E2330+F2330+G2330+H2330)</f>
        <v>100</v>
      </c>
    </row>
    <row r="2331" spans="1:9" ht="15.75" x14ac:dyDescent="0.25">
      <c r="A2331" s="23">
        <v>1847</v>
      </c>
      <c r="B2331" s="89" t="str">
        <f>CADASTROS!$C$1539</f>
        <v>Eliana Souza Pereira</v>
      </c>
      <c r="C2331" s="159"/>
      <c r="D2331" s="159"/>
      <c r="E2331" s="159"/>
      <c r="F2331" s="159"/>
      <c r="G2331" s="159"/>
      <c r="H2331" s="159"/>
      <c r="I2331" s="7">
        <f t="shared" si="195"/>
        <v>0</v>
      </c>
    </row>
    <row r="2332" spans="1:9" ht="15.75" x14ac:dyDescent="0.25">
      <c r="A2332" s="23">
        <v>1848</v>
      </c>
      <c r="B2332" s="89" t="str">
        <f>CADASTROS!$C$1540</f>
        <v>Robervaldo Pereira Barbosa</v>
      </c>
      <c r="C2332" s="159"/>
      <c r="D2332" s="159"/>
      <c r="E2332" s="159"/>
      <c r="F2332" s="159"/>
      <c r="G2332" s="159"/>
      <c r="H2332" s="159"/>
      <c r="I2332" s="7">
        <f t="shared" si="195"/>
        <v>0</v>
      </c>
    </row>
    <row r="2333" spans="1:9" ht="15.75" x14ac:dyDescent="0.25">
      <c r="A2333" s="23">
        <v>1849</v>
      </c>
      <c r="B2333" s="89" t="str">
        <f>CADASTROS!$C$1541</f>
        <v>Pedro Francisco de Oliveira</v>
      </c>
      <c r="C2333" s="159"/>
      <c r="D2333" s="159"/>
      <c r="E2333" s="159"/>
      <c r="F2333" s="159"/>
      <c r="G2333" s="159">
        <v>11</v>
      </c>
      <c r="H2333" s="159"/>
      <c r="I2333" s="7">
        <f t="shared" si="195"/>
        <v>11</v>
      </c>
    </row>
    <row r="2334" spans="1:9" ht="15.75" x14ac:dyDescent="0.25">
      <c r="A2334" s="23">
        <v>1850</v>
      </c>
      <c r="B2334" s="89" t="str">
        <f>CADASTROS!$C$1542</f>
        <v>Santa Maria de Morais</v>
      </c>
      <c r="C2334" s="159">
        <v>46.5</v>
      </c>
      <c r="D2334" s="159">
        <v>45</v>
      </c>
      <c r="E2334" s="159">
        <v>28</v>
      </c>
      <c r="F2334" s="159"/>
      <c r="G2334" s="159">
        <v>62</v>
      </c>
      <c r="H2334" s="159">
        <v>13</v>
      </c>
      <c r="I2334" s="7">
        <f t="shared" si="195"/>
        <v>194.5</v>
      </c>
    </row>
    <row r="2335" spans="1:9" ht="15.75" x14ac:dyDescent="0.25">
      <c r="A2335" s="23">
        <v>1851</v>
      </c>
      <c r="B2335" s="89" t="str">
        <f>CADASTROS!$C$1543</f>
        <v>Gildásio Carvalho Santos</v>
      </c>
      <c r="C2335" s="159"/>
      <c r="D2335" s="159"/>
      <c r="E2335" s="159"/>
      <c r="F2335" s="159"/>
      <c r="G2335" s="159"/>
      <c r="H2335" s="159"/>
      <c r="I2335" s="7">
        <f t="shared" si="195"/>
        <v>0</v>
      </c>
    </row>
    <row r="2336" spans="1:9" ht="15.75" x14ac:dyDescent="0.25">
      <c r="A2336" s="23">
        <v>1852</v>
      </c>
      <c r="B2336" s="89" t="str">
        <f>CADASTROS!$C$1544</f>
        <v>Mª Aparecida Santos de Jesus</v>
      </c>
      <c r="C2336" s="159">
        <v>15</v>
      </c>
      <c r="D2336" s="159">
        <v>35.5</v>
      </c>
      <c r="E2336" s="159">
        <v>30.5</v>
      </c>
      <c r="F2336" s="159"/>
      <c r="G2336" s="159"/>
      <c r="H2336" s="159"/>
      <c r="I2336" s="7">
        <f t="shared" si="195"/>
        <v>81</v>
      </c>
    </row>
    <row r="2337" spans="1:9" ht="15.75" x14ac:dyDescent="0.25">
      <c r="A2337" s="23">
        <v>1853</v>
      </c>
      <c r="B2337" s="89" t="str">
        <f>CADASTROS!$C$1545</f>
        <v>Móises Marques de Sousa</v>
      </c>
      <c r="C2337" s="159"/>
      <c r="D2337" s="159"/>
      <c r="E2337" s="159"/>
      <c r="F2337" s="159"/>
      <c r="G2337" s="159"/>
      <c r="H2337" s="159"/>
      <c r="I2337" s="7">
        <f t="shared" si="195"/>
        <v>0</v>
      </c>
    </row>
    <row r="2338" spans="1:9" ht="15.75" x14ac:dyDescent="0.25">
      <c r="A2338" s="23">
        <v>1854</v>
      </c>
      <c r="B2338" s="89" t="str">
        <f>CADASTROS!$C$1546</f>
        <v>John Lennon Teles de Lima</v>
      </c>
      <c r="C2338" s="159"/>
      <c r="D2338" s="159"/>
      <c r="E2338" s="159"/>
      <c r="F2338" s="159"/>
      <c r="G2338" s="159"/>
      <c r="H2338" s="159"/>
      <c r="I2338" s="7">
        <f t="shared" si="195"/>
        <v>0</v>
      </c>
    </row>
    <row r="2339" spans="1:9" ht="15.75" x14ac:dyDescent="0.25">
      <c r="A2339" s="23">
        <v>1855</v>
      </c>
      <c r="B2339" s="89" t="str">
        <f>CADASTROS!$C$1547</f>
        <v>Apolonio F. Conceição</v>
      </c>
      <c r="C2339" s="159">
        <v>29.5</v>
      </c>
      <c r="D2339" s="159">
        <v>17</v>
      </c>
      <c r="E2339" s="159">
        <v>19</v>
      </c>
      <c r="F2339" s="159"/>
      <c r="G2339" s="159">
        <v>16</v>
      </c>
      <c r="H2339" s="159"/>
      <c r="I2339" s="7">
        <f t="shared" si="195"/>
        <v>81.5</v>
      </c>
    </row>
    <row r="2340" spans="1:9" ht="15.75" x14ac:dyDescent="0.25">
      <c r="A2340" s="23">
        <v>1856</v>
      </c>
      <c r="B2340" s="89" t="str">
        <f>CADASTROS!$C$1548</f>
        <v>Paulino Marques da Silva</v>
      </c>
      <c r="C2340" s="159">
        <v>11</v>
      </c>
      <c r="D2340" s="159">
        <v>9.5</v>
      </c>
      <c r="E2340" s="159">
        <v>9</v>
      </c>
      <c r="F2340" s="159"/>
      <c r="G2340" s="159">
        <v>11</v>
      </c>
      <c r="H2340" s="159">
        <v>7</v>
      </c>
      <c r="I2340" s="7">
        <f t="shared" si="195"/>
        <v>47.5</v>
      </c>
    </row>
    <row r="2341" spans="1:9" ht="15.75" x14ac:dyDescent="0.25">
      <c r="A2341" s="23">
        <v>1857</v>
      </c>
      <c r="B2341" s="89" t="str">
        <f>CADASTROS!$C$1549</f>
        <v>Silene Fernandes da Silva</v>
      </c>
      <c r="C2341" s="159"/>
      <c r="D2341" s="159"/>
      <c r="E2341" s="159"/>
      <c r="F2341" s="159"/>
      <c r="G2341" s="159">
        <v>5</v>
      </c>
      <c r="H2341" s="159"/>
      <c r="I2341" s="7">
        <f t="shared" si="195"/>
        <v>5</v>
      </c>
    </row>
    <row r="2342" spans="1:9" ht="15.75" x14ac:dyDescent="0.25">
      <c r="A2342" s="23">
        <v>1858</v>
      </c>
      <c r="B2342" s="89" t="str">
        <f>CADASTROS!$C$1550</f>
        <v>Marilene de Jesus Ribeiro</v>
      </c>
      <c r="C2342" s="159"/>
      <c r="D2342" s="159"/>
      <c r="E2342" s="159"/>
      <c r="F2342" s="159"/>
      <c r="G2342" s="159"/>
      <c r="H2342" s="159"/>
      <c r="I2342" s="7">
        <f t="shared" si="195"/>
        <v>0</v>
      </c>
    </row>
    <row r="2343" spans="1:9" ht="15.75" x14ac:dyDescent="0.25">
      <c r="A2343" s="23">
        <v>1859</v>
      </c>
      <c r="B2343" s="89" t="str">
        <f>CADASTROS!$C$1551</f>
        <v>Cícero Severino dos Santos</v>
      </c>
      <c r="C2343" s="159"/>
      <c r="D2343" s="159">
        <v>3.5</v>
      </c>
      <c r="E2343" s="159">
        <v>2.5</v>
      </c>
      <c r="F2343" s="159"/>
      <c r="G2343" s="159">
        <v>4</v>
      </c>
      <c r="H2343" s="159"/>
      <c r="I2343" s="7">
        <f t="shared" si="195"/>
        <v>10</v>
      </c>
    </row>
    <row r="2344" spans="1:9" ht="15.75" x14ac:dyDescent="0.25">
      <c r="A2344" s="23">
        <v>1860</v>
      </c>
      <c r="B2344" s="89" t="str">
        <f>CADASTROS!$C$1552</f>
        <v>Núbia Aquino de Souza</v>
      </c>
      <c r="C2344" s="159"/>
      <c r="D2344" s="159"/>
      <c r="E2344" s="159"/>
      <c r="F2344" s="159"/>
      <c r="G2344" s="159">
        <v>12</v>
      </c>
      <c r="H2344" s="159"/>
      <c r="I2344" s="7">
        <f t="shared" si="195"/>
        <v>12</v>
      </c>
    </row>
    <row r="2345" spans="1:9" ht="15.75" x14ac:dyDescent="0.25">
      <c r="A2345" s="23">
        <v>1861</v>
      </c>
      <c r="B2345" s="89" t="str">
        <f>CADASTROS!$C$1553</f>
        <v>Eliane Souza dos Santos</v>
      </c>
      <c r="C2345" s="159"/>
      <c r="D2345" s="159"/>
      <c r="E2345" s="159"/>
      <c r="F2345" s="159"/>
      <c r="G2345" s="159">
        <v>14</v>
      </c>
      <c r="H2345" s="159"/>
      <c r="I2345" s="7">
        <f t="shared" si="195"/>
        <v>14</v>
      </c>
    </row>
    <row r="2346" spans="1:9" ht="15.75" x14ac:dyDescent="0.25">
      <c r="A2346" s="23">
        <v>1862</v>
      </c>
      <c r="B2346" s="89" t="str">
        <f>CADASTROS!$C$1554</f>
        <v>Emerson Oliveira Costa</v>
      </c>
      <c r="C2346" s="159">
        <v>37.5</v>
      </c>
      <c r="D2346" s="159">
        <v>42</v>
      </c>
      <c r="E2346" s="159">
        <v>81</v>
      </c>
      <c r="F2346" s="159"/>
      <c r="G2346" s="159"/>
      <c r="H2346" s="159"/>
      <c r="I2346" s="7">
        <f t="shared" si="195"/>
        <v>160.5</v>
      </c>
    </row>
    <row r="2347" spans="1:9" ht="15.75" x14ac:dyDescent="0.25">
      <c r="A2347" s="23">
        <v>1863</v>
      </c>
      <c r="B2347" s="89" t="str">
        <f>CADASTROS!$C$1555</f>
        <v>Cristian Nilton S Pires</v>
      </c>
      <c r="C2347" s="159">
        <v>11.5</v>
      </c>
      <c r="D2347" s="159">
        <v>19</v>
      </c>
      <c r="E2347" s="159">
        <v>31</v>
      </c>
      <c r="F2347" s="159"/>
      <c r="G2347" s="159"/>
      <c r="H2347" s="159"/>
      <c r="I2347" s="7">
        <f t="shared" si="195"/>
        <v>61.5</v>
      </c>
    </row>
    <row r="2348" spans="1:9" ht="15.75" x14ac:dyDescent="0.25">
      <c r="A2348" s="23">
        <v>1864</v>
      </c>
      <c r="B2348" s="89" t="str">
        <f>CADASTROS!$C$1556</f>
        <v>Alailson Almeida de Souza</v>
      </c>
      <c r="C2348" s="159">
        <v>28.5</v>
      </c>
      <c r="D2348" s="159">
        <v>29</v>
      </c>
      <c r="E2348" s="159">
        <v>27.5</v>
      </c>
      <c r="F2348" s="159"/>
      <c r="G2348" s="159"/>
      <c r="H2348" s="159"/>
      <c r="I2348" s="7">
        <f t="shared" si="195"/>
        <v>85</v>
      </c>
    </row>
    <row r="2349" spans="1:9" ht="15.75" x14ac:dyDescent="0.25">
      <c r="A2349" s="23">
        <v>1865</v>
      </c>
      <c r="B2349" s="89" t="str">
        <f>CADASTROS!$C$1557</f>
        <v>Lucas Soares Belo</v>
      </c>
      <c r="C2349" s="159">
        <v>39</v>
      </c>
      <c r="D2349" s="159">
        <v>32</v>
      </c>
      <c r="E2349" s="159">
        <v>33.5</v>
      </c>
      <c r="F2349" s="159"/>
      <c r="G2349" s="159"/>
      <c r="H2349" s="159"/>
      <c r="I2349" s="7">
        <f t="shared" si="195"/>
        <v>104.5</v>
      </c>
    </row>
    <row r="2350" spans="1:9" ht="15.75" x14ac:dyDescent="0.25">
      <c r="A2350" s="23">
        <v>1866</v>
      </c>
      <c r="B2350" s="89" t="str">
        <f>CADASTROS!$C$1558</f>
        <v>Cleomaria Lira Neres Sousa</v>
      </c>
      <c r="C2350" s="159">
        <v>10</v>
      </c>
      <c r="D2350" s="159"/>
      <c r="E2350" s="159">
        <v>10</v>
      </c>
      <c r="F2350" s="159"/>
      <c r="G2350" s="159"/>
      <c r="H2350" s="159"/>
      <c r="I2350" s="7">
        <f t="shared" si="195"/>
        <v>20</v>
      </c>
    </row>
    <row r="2351" spans="1:9" ht="15.75" x14ac:dyDescent="0.25">
      <c r="A2351" s="23">
        <v>1867</v>
      </c>
      <c r="B2351" s="89" t="str">
        <f>CADASTROS!$C$1559</f>
        <v>Aline Moares Gabriel</v>
      </c>
      <c r="C2351" s="159">
        <v>11</v>
      </c>
      <c r="D2351" s="159">
        <v>12.5</v>
      </c>
      <c r="E2351" s="159">
        <v>8.5</v>
      </c>
      <c r="F2351" s="159"/>
      <c r="G2351" s="159"/>
      <c r="H2351" s="159"/>
      <c r="I2351" s="7">
        <f t="shared" si="195"/>
        <v>32</v>
      </c>
    </row>
    <row r="2352" spans="1:9" ht="15.75" x14ac:dyDescent="0.25">
      <c r="A2352" s="23">
        <v>1868</v>
      </c>
      <c r="B2352" s="89" t="str">
        <f>CADASTROS!$C$1560</f>
        <v>Ana Maria Santos Soares</v>
      </c>
      <c r="C2352" s="159"/>
      <c r="D2352" s="159">
        <v>9</v>
      </c>
      <c r="E2352" s="159">
        <v>9</v>
      </c>
      <c r="F2352" s="159"/>
      <c r="G2352" s="159"/>
      <c r="H2352" s="159"/>
      <c r="I2352" s="7">
        <f t="shared" si="195"/>
        <v>18</v>
      </c>
    </row>
    <row r="2353" spans="1:9" ht="15.75" x14ac:dyDescent="0.25">
      <c r="A2353" s="23">
        <v>1869</v>
      </c>
      <c r="B2353" s="89" t="str">
        <f>CADASTROS!$C$1561</f>
        <v>Agostinho Jesus Oliveira</v>
      </c>
      <c r="C2353" s="159"/>
      <c r="D2353" s="159">
        <v>58</v>
      </c>
      <c r="E2353" s="159">
        <v>76.5</v>
      </c>
      <c r="F2353" s="159"/>
      <c r="G2353" s="159"/>
      <c r="H2353" s="159"/>
      <c r="I2353" s="7">
        <f t="shared" si="195"/>
        <v>134.5</v>
      </c>
    </row>
    <row r="2354" spans="1:9" ht="15.75" x14ac:dyDescent="0.25">
      <c r="A2354" s="23">
        <v>1870</v>
      </c>
      <c r="B2354" s="89" t="str">
        <f>CADASTROS!$C$1562</f>
        <v>Elineuza de Souza Pereira</v>
      </c>
      <c r="C2354" s="159"/>
      <c r="D2354" s="159">
        <v>24</v>
      </c>
      <c r="E2354" s="159">
        <v>27.5</v>
      </c>
      <c r="F2354" s="159"/>
      <c r="G2354" s="159">
        <v>7</v>
      </c>
      <c r="H2354" s="159"/>
      <c r="I2354" s="7">
        <f t="shared" si="195"/>
        <v>58.5</v>
      </c>
    </row>
    <row r="2355" spans="1:9" ht="15.75" x14ac:dyDescent="0.25">
      <c r="B2355" s="159" t="s">
        <v>4829</v>
      </c>
      <c r="C2355" s="159">
        <f>SUM(C2328:C2354)</f>
        <v>300</v>
      </c>
      <c r="D2355" s="159">
        <f t="shared" ref="D2355:H2355" si="196">SUM(D2328:D2354)</f>
        <v>413.5</v>
      </c>
      <c r="E2355" s="159">
        <f t="shared" si="196"/>
        <v>464</v>
      </c>
      <c r="F2355" s="159">
        <f t="shared" si="196"/>
        <v>0</v>
      </c>
      <c r="G2355" s="159">
        <f t="shared" si="196"/>
        <v>183</v>
      </c>
      <c r="H2355" s="159">
        <f t="shared" si="196"/>
        <v>20</v>
      </c>
      <c r="I2355" s="159">
        <f>SUM(I2328:I2354)</f>
        <v>1380.5</v>
      </c>
    </row>
    <row r="2357" spans="1:9" ht="15.75" x14ac:dyDescent="0.25">
      <c r="B2357" s="8" t="s">
        <v>4830</v>
      </c>
      <c r="C2357" s="159"/>
      <c r="D2357" s="159"/>
      <c r="E2357" s="159"/>
      <c r="F2357" s="159"/>
      <c r="G2357" s="159"/>
      <c r="H2357" s="159"/>
      <c r="I2357" s="159">
        <f>SUM(C2357:H2357)</f>
        <v>0</v>
      </c>
    </row>
    <row r="2358" spans="1:9" x14ac:dyDescent="0.25">
      <c r="B2358" s="167"/>
    </row>
    <row r="2359" spans="1:9" ht="15.75" x14ac:dyDescent="0.25">
      <c r="B2359" s="8" t="s">
        <v>4831</v>
      </c>
      <c r="C2359" s="9" t="e">
        <f>C2355/C2357</f>
        <v>#DIV/0!</v>
      </c>
      <c r="D2359" s="9" t="e">
        <f t="shared" ref="D2359:H2359" si="197">D2355/D2357</f>
        <v>#DIV/0!</v>
      </c>
      <c r="E2359" s="9" t="e">
        <f t="shared" si="197"/>
        <v>#DIV/0!</v>
      </c>
      <c r="F2359" s="9" t="e">
        <f t="shared" si="197"/>
        <v>#DIV/0!</v>
      </c>
      <c r="G2359" s="9" t="e">
        <f t="shared" si="197"/>
        <v>#DIV/0!</v>
      </c>
      <c r="H2359" s="9" t="e">
        <f t="shared" si="197"/>
        <v>#DIV/0!</v>
      </c>
      <c r="I2359" s="9"/>
    </row>
    <row r="2360" spans="1:9" ht="15.75" x14ac:dyDescent="0.25">
      <c r="B2360" s="163"/>
      <c r="C2360" s="10"/>
      <c r="D2360" s="10"/>
      <c r="E2360" s="10"/>
      <c r="F2360" s="10"/>
      <c r="G2360" s="10"/>
      <c r="H2360" s="163"/>
      <c r="I2360" s="163"/>
    </row>
    <row r="2361" spans="1:9" ht="15.75" x14ac:dyDescent="0.25">
      <c r="B2361" s="8" t="s">
        <v>4832</v>
      </c>
      <c r="C2361" s="159"/>
      <c r="D2361" s="159"/>
      <c r="E2361" s="6"/>
      <c r="F2361" s="6"/>
      <c r="G2361" s="6"/>
      <c r="H2361" s="6"/>
      <c r="I2361" s="11"/>
    </row>
    <row r="2363" spans="1:9" ht="33.75" x14ac:dyDescent="0.25">
      <c r="B2363" s="187" t="s">
        <v>4842</v>
      </c>
      <c r="C2363" s="188"/>
      <c r="D2363" s="188"/>
      <c r="E2363" s="188"/>
      <c r="F2363" s="188"/>
      <c r="G2363" s="188"/>
      <c r="H2363" s="188"/>
      <c r="I2363" s="189"/>
    </row>
    <row r="2364" spans="1:9" ht="47.25" x14ac:dyDescent="0.25">
      <c r="A2364" s="155" t="s">
        <v>4819</v>
      </c>
      <c r="B2364" s="155" t="s">
        <v>4820</v>
      </c>
      <c r="C2364" s="4" t="s">
        <v>4821</v>
      </c>
      <c r="D2364" s="4" t="s">
        <v>4822</v>
      </c>
      <c r="E2364" s="88" t="s">
        <v>4823</v>
      </c>
      <c r="F2364" s="88" t="s">
        <v>4824</v>
      </c>
      <c r="G2364" s="88" t="s">
        <v>4825</v>
      </c>
      <c r="H2364" s="4" t="s">
        <v>4826</v>
      </c>
      <c r="I2364" s="29" t="s">
        <v>4827</v>
      </c>
    </row>
    <row r="2365" spans="1:9" ht="25.5" x14ac:dyDescent="0.25">
      <c r="A2365" s="156"/>
      <c r="B2365" s="156"/>
      <c r="C2365" s="13" t="s">
        <v>4828</v>
      </c>
      <c r="D2365" s="13" t="s">
        <v>4828</v>
      </c>
      <c r="E2365" s="13" t="s">
        <v>4828</v>
      </c>
      <c r="F2365" s="13" t="s">
        <v>4828</v>
      </c>
      <c r="G2365" s="13" t="s">
        <v>4828</v>
      </c>
      <c r="H2365" s="13" t="s">
        <v>4828</v>
      </c>
      <c r="I2365" s="30"/>
    </row>
    <row r="2366" spans="1:9" ht="15.75" x14ac:dyDescent="0.25">
      <c r="A2366" s="23">
        <v>1871</v>
      </c>
      <c r="B2366" s="89" t="str">
        <f>CADASTROS!$C$1563</f>
        <v>Elieusa Sampaio Ramos</v>
      </c>
      <c r="C2366" s="159"/>
      <c r="D2366" s="159">
        <v>21.5</v>
      </c>
      <c r="E2366" s="159">
        <v>31</v>
      </c>
      <c r="F2366" s="159"/>
      <c r="G2366" s="159">
        <v>30</v>
      </c>
      <c r="H2366" s="159"/>
      <c r="I2366" s="7">
        <f>SUM(C2366+D2366+E2366+F2366+G2366+H2366)</f>
        <v>82.5</v>
      </c>
    </row>
    <row r="2367" spans="1:9" ht="15.75" x14ac:dyDescent="0.25">
      <c r="A2367" s="23">
        <v>1872</v>
      </c>
      <c r="B2367" s="89" t="str">
        <f>CADASTROS!$C$1564</f>
        <v>Odelito Ferreira de Souza</v>
      </c>
      <c r="C2367" s="159"/>
      <c r="D2367" s="159">
        <v>12.5</v>
      </c>
      <c r="E2367" s="159">
        <v>11</v>
      </c>
      <c r="F2367" s="159"/>
      <c r="G2367" s="159"/>
      <c r="H2367" s="159"/>
      <c r="I2367" s="7">
        <f>SUM(C2367+D2367+E2367+F2367+G2367+H2367)</f>
        <v>23.5</v>
      </c>
    </row>
    <row r="2368" spans="1:9" ht="15.75" x14ac:dyDescent="0.25">
      <c r="A2368" s="23">
        <v>1873</v>
      </c>
      <c r="B2368" s="89" t="str">
        <f>CADASTROS!$C$1565</f>
        <v>Santilha Barbosa da Silva</v>
      </c>
      <c r="C2368" s="159"/>
      <c r="D2368" s="159">
        <v>36</v>
      </c>
      <c r="E2368" s="159">
        <v>22.5</v>
      </c>
      <c r="F2368" s="159"/>
      <c r="G2368" s="159"/>
      <c r="H2368" s="159"/>
      <c r="I2368" s="7">
        <f t="shared" ref="I2368:I2392" si="198">SUM(C2368+D2368+E2368+F2368+G2368+H2368)</f>
        <v>58.5</v>
      </c>
    </row>
    <row r="2369" spans="1:9" ht="15.75" x14ac:dyDescent="0.25">
      <c r="A2369" s="23">
        <v>1874</v>
      </c>
      <c r="B2369" s="89" t="str">
        <f>CADASTROS!$C$1566</f>
        <v>Ivanilson de Souza Pinto</v>
      </c>
      <c r="C2369" s="159"/>
      <c r="D2369" s="159">
        <v>11</v>
      </c>
      <c r="E2369" s="159">
        <v>16</v>
      </c>
      <c r="F2369" s="159"/>
      <c r="G2369" s="159"/>
      <c r="H2369" s="159"/>
      <c r="I2369" s="7">
        <f t="shared" si="198"/>
        <v>27</v>
      </c>
    </row>
    <row r="2370" spans="1:9" ht="15.75" x14ac:dyDescent="0.25">
      <c r="A2370" s="23">
        <v>1875</v>
      </c>
      <c r="B2370" s="89" t="str">
        <f>CADASTROS!$C$1567</f>
        <v>Iolanda Conceição de Melo</v>
      </c>
      <c r="C2370" s="159"/>
      <c r="D2370" s="159">
        <v>24.5</v>
      </c>
      <c r="E2370" s="159">
        <v>16</v>
      </c>
      <c r="F2370" s="159"/>
      <c r="G2370" s="159"/>
      <c r="H2370" s="159"/>
      <c r="I2370" s="7">
        <f t="shared" si="198"/>
        <v>40.5</v>
      </c>
    </row>
    <row r="2371" spans="1:9" ht="15.75" x14ac:dyDescent="0.25">
      <c r="A2371" s="23">
        <v>1876</v>
      </c>
      <c r="B2371" s="89" t="str">
        <f>CADASTROS!$C$1568</f>
        <v>Dernival D. Moura</v>
      </c>
      <c r="C2371" s="159">
        <v>11.5</v>
      </c>
      <c r="D2371" s="159">
        <v>8.5</v>
      </c>
      <c r="E2371" s="159">
        <v>10</v>
      </c>
      <c r="F2371" s="159"/>
      <c r="G2371" s="159"/>
      <c r="H2371" s="159"/>
      <c r="I2371" s="7">
        <f t="shared" si="198"/>
        <v>30</v>
      </c>
    </row>
    <row r="2372" spans="1:9" ht="15.75" x14ac:dyDescent="0.25">
      <c r="A2372" s="23">
        <v>1877</v>
      </c>
      <c r="B2372" s="89" t="str">
        <f>CADASTROS!$C$1569</f>
        <v>Maicon Santos de Oliveira</v>
      </c>
      <c r="C2372" s="159"/>
      <c r="D2372" s="159">
        <v>8</v>
      </c>
      <c r="E2372" s="159"/>
      <c r="F2372" s="159"/>
      <c r="G2372" s="159"/>
      <c r="H2372" s="159"/>
      <c r="I2372" s="7">
        <f t="shared" si="198"/>
        <v>8</v>
      </c>
    </row>
    <row r="2373" spans="1:9" ht="15.75" x14ac:dyDescent="0.25">
      <c r="A2373" s="23">
        <v>1878</v>
      </c>
      <c r="B2373" s="89" t="str">
        <f>CADASTROS!$C$1570</f>
        <v>Selma Aguida Sá Teles</v>
      </c>
      <c r="C2373" s="159">
        <v>18</v>
      </c>
      <c r="D2373" s="159">
        <v>17</v>
      </c>
      <c r="E2373" s="159">
        <v>13.5</v>
      </c>
      <c r="F2373" s="159"/>
      <c r="G2373" s="159"/>
      <c r="H2373" s="159"/>
      <c r="I2373" s="7">
        <f t="shared" si="198"/>
        <v>48.5</v>
      </c>
    </row>
    <row r="2374" spans="1:9" ht="15.75" x14ac:dyDescent="0.25">
      <c r="A2374" s="23">
        <v>1879</v>
      </c>
      <c r="B2374" s="89" t="str">
        <f>CADASTROS!$C$1571</f>
        <v>Shirley de S Santos</v>
      </c>
      <c r="C2374" s="159"/>
      <c r="D2374" s="159">
        <v>21</v>
      </c>
      <c r="E2374" s="159">
        <v>15.5</v>
      </c>
      <c r="F2374" s="159"/>
      <c r="G2374" s="159"/>
      <c r="H2374" s="159"/>
      <c r="I2374" s="7">
        <f t="shared" si="198"/>
        <v>36.5</v>
      </c>
    </row>
    <row r="2375" spans="1:9" ht="15.75" x14ac:dyDescent="0.25">
      <c r="A2375" s="23">
        <v>1880</v>
      </c>
      <c r="B2375" s="89" t="str">
        <f>CADASTROS!$C$1572</f>
        <v>Gessy de Jesus Souza</v>
      </c>
      <c r="C2375" s="159"/>
      <c r="D2375" s="159">
        <v>10</v>
      </c>
      <c r="E2375" s="159">
        <v>5</v>
      </c>
      <c r="F2375" s="159"/>
      <c r="G2375" s="159"/>
      <c r="H2375" s="159"/>
      <c r="I2375" s="7">
        <f t="shared" si="198"/>
        <v>15</v>
      </c>
    </row>
    <row r="2376" spans="1:9" ht="15.75" x14ac:dyDescent="0.25">
      <c r="A2376" s="23">
        <v>1881</v>
      </c>
      <c r="B2376" s="89" t="str">
        <f>CADASTROS!$C$1573</f>
        <v>Jorge Rodrigues Oliveira</v>
      </c>
      <c r="C2376" s="159"/>
      <c r="D2376" s="159">
        <v>17</v>
      </c>
      <c r="E2376" s="159">
        <v>13.5</v>
      </c>
      <c r="F2376" s="159"/>
      <c r="G2376" s="159"/>
      <c r="H2376" s="159"/>
      <c r="I2376" s="7">
        <f t="shared" si="198"/>
        <v>30.5</v>
      </c>
    </row>
    <row r="2377" spans="1:9" ht="15.75" x14ac:dyDescent="0.25">
      <c r="A2377" s="23">
        <v>1882</v>
      </c>
      <c r="B2377" s="89" t="str">
        <f>CADASTROS!$C$1574</f>
        <v>Viterbo Farias Dias Filho</v>
      </c>
      <c r="C2377" s="159"/>
      <c r="D2377" s="159">
        <v>13</v>
      </c>
      <c r="E2377" s="159">
        <v>12.5</v>
      </c>
      <c r="F2377" s="159"/>
      <c r="G2377" s="159"/>
      <c r="H2377" s="159"/>
      <c r="I2377" s="7">
        <f t="shared" si="198"/>
        <v>25.5</v>
      </c>
    </row>
    <row r="2378" spans="1:9" ht="15.75" x14ac:dyDescent="0.25">
      <c r="A2378" s="23">
        <v>1883</v>
      </c>
      <c r="B2378" s="89" t="str">
        <f>CADASTROS!$C$1575</f>
        <v>Marialva Silva de Brito</v>
      </c>
      <c r="C2378" s="159"/>
      <c r="D2378" s="159">
        <v>20.5</v>
      </c>
      <c r="E2378" s="159">
        <v>22</v>
      </c>
      <c r="F2378" s="159"/>
      <c r="G2378" s="159"/>
      <c r="H2378" s="159"/>
      <c r="I2378" s="7">
        <f t="shared" si="198"/>
        <v>42.5</v>
      </c>
    </row>
    <row r="2379" spans="1:9" ht="15.75" x14ac:dyDescent="0.25">
      <c r="A2379" s="23">
        <v>1884</v>
      </c>
      <c r="B2379" s="89" t="str">
        <f>CADASTROS!$C$1576</f>
        <v>Sandra Pereira dos Santos</v>
      </c>
      <c r="C2379" s="159"/>
      <c r="D2379" s="159">
        <v>26.5</v>
      </c>
      <c r="E2379" s="159">
        <v>38</v>
      </c>
      <c r="F2379" s="159"/>
      <c r="G2379" s="159"/>
      <c r="H2379" s="159"/>
      <c r="I2379" s="7">
        <f t="shared" si="198"/>
        <v>64.5</v>
      </c>
    </row>
    <row r="2380" spans="1:9" ht="15.75" x14ac:dyDescent="0.25">
      <c r="A2380" s="23">
        <v>1885</v>
      </c>
      <c r="B2380" s="89" t="str">
        <f>CADASTROS!$C$1577</f>
        <v>Lucivane Bispo dos Santos</v>
      </c>
      <c r="C2380" s="159"/>
      <c r="D2380" s="159">
        <v>14</v>
      </c>
      <c r="E2380" s="159">
        <v>8</v>
      </c>
      <c r="F2380" s="159"/>
      <c r="G2380" s="159"/>
      <c r="H2380" s="159"/>
      <c r="I2380" s="7">
        <f t="shared" si="198"/>
        <v>22</v>
      </c>
    </row>
    <row r="2381" spans="1:9" ht="15.75" x14ac:dyDescent="0.25">
      <c r="A2381" s="23">
        <v>1886</v>
      </c>
      <c r="B2381" s="89" t="str">
        <f>CADASTROS!$C$1578</f>
        <v>Celio Santos de Oliveira</v>
      </c>
      <c r="C2381" s="159"/>
      <c r="D2381" s="159">
        <v>22</v>
      </c>
      <c r="E2381" s="159">
        <v>25</v>
      </c>
      <c r="F2381" s="159"/>
      <c r="G2381" s="159"/>
      <c r="H2381" s="159"/>
      <c r="I2381" s="7">
        <f t="shared" si="198"/>
        <v>47</v>
      </c>
    </row>
    <row r="2382" spans="1:9" ht="15.75" x14ac:dyDescent="0.25">
      <c r="A2382" s="23">
        <v>1887</v>
      </c>
      <c r="B2382" s="89" t="str">
        <f>CADASTROS!$C$1579</f>
        <v>Pedro Santana dos Santos</v>
      </c>
      <c r="C2382" s="159"/>
      <c r="D2382" s="159">
        <v>11</v>
      </c>
      <c r="E2382" s="159">
        <v>7.5</v>
      </c>
      <c r="F2382" s="159"/>
      <c r="G2382" s="159"/>
      <c r="H2382" s="159"/>
      <c r="I2382" s="7">
        <f t="shared" si="198"/>
        <v>18.5</v>
      </c>
    </row>
    <row r="2383" spans="1:9" ht="15.75" x14ac:dyDescent="0.25">
      <c r="A2383" s="23">
        <v>1888</v>
      </c>
      <c r="B2383" s="89" t="str">
        <f>CADASTROS!$C$1580</f>
        <v>Ladislei Bispo Almeida</v>
      </c>
      <c r="C2383" s="159"/>
      <c r="D2383" s="159">
        <v>11</v>
      </c>
      <c r="E2383" s="159">
        <v>9</v>
      </c>
      <c r="F2383" s="159"/>
      <c r="G2383" s="159"/>
      <c r="H2383" s="159"/>
      <c r="I2383" s="7">
        <f t="shared" si="198"/>
        <v>20</v>
      </c>
    </row>
    <row r="2384" spans="1:9" ht="15.75" x14ac:dyDescent="0.25">
      <c r="A2384" s="23">
        <v>1889</v>
      </c>
      <c r="B2384" s="89" t="str">
        <f>CADASTROS!$C$1581</f>
        <v>Fabiana Oliveira Maciel</v>
      </c>
      <c r="C2384" s="159"/>
      <c r="D2384" s="159"/>
      <c r="E2384" s="159">
        <v>18</v>
      </c>
      <c r="F2384" s="159"/>
      <c r="G2384" s="159"/>
      <c r="H2384" s="159"/>
      <c r="I2384" s="7">
        <f t="shared" si="198"/>
        <v>18</v>
      </c>
    </row>
    <row r="2385" spans="1:9" ht="15.75" x14ac:dyDescent="0.25">
      <c r="A2385" s="23">
        <v>1890</v>
      </c>
      <c r="B2385" s="89" t="str">
        <f>CADASTROS!$C$1582</f>
        <v>Tarcísio L. do Nascimento</v>
      </c>
      <c r="C2385" s="159"/>
      <c r="D2385" s="159">
        <v>15.5</v>
      </c>
      <c r="E2385" s="159">
        <v>20</v>
      </c>
      <c r="F2385" s="159"/>
      <c r="G2385" s="159"/>
      <c r="H2385" s="159"/>
      <c r="I2385" s="7">
        <f t="shared" si="198"/>
        <v>35.5</v>
      </c>
    </row>
    <row r="2386" spans="1:9" ht="15.75" x14ac:dyDescent="0.25">
      <c r="A2386" s="23">
        <v>1891</v>
      </c>
      <c r="B2386" s="89" t="str">
        <f>CADASTROS!$C$1583</f>
        <v>Vanderlei de Jesus Souza</v>
      </c>
      <c r="C2386" s="159"/>
      <c r="D2386" s="159">
        <v>14</v>
      </c>
      <c r="E2386" s="159">
        <v>15</v>
      </c>
      <c r="F2386" s="159"/>
      <c r="G2386" s="159"/>
      <c r="H2386" s="159"/>
      <c r="I2386" s="7">
        <f t="shared" si="198"/>
        <v>29</v>
      </c>
    </row>
    <row r="2387" spans="1:9" ht="15.75" x14ac:dyDescent="0.25">
      <c r="A2387" s="23">
        <v>1892</v>
      </c>
      <c r="B2387" s="89" t="str">
        <f>CADASTROS!$C$1584</f>
        <v>Marcelo Silva Bispo</v>
      </c>
      <c r="C2387" s="159"/>
      <c r="D2387" s="159"/>
      <c r="E2387" s="159">
        <v>56</v>
      </c>
      <c r="F2387" s="159"/>
      <c r="G2387" s="159"/>
      <c r="H2387" s="159"/>
      <c r="I2387" s="7">
        <f t="shared" si="198"/>
        <v>56</v>
      </c>
    </row>
    <row r="2388" spans="1:9" ht="15.75" x14ac:dyDescent="0.25">
      <c r="A2388" s="23">
        <v>1893</v>
      </c>
      <c r="B2388" s="89" t="str">
        <f>CADASTROS!$C$1585</f>
        <v>Alex Silva dos Santos</v>
      </c>
      <c r="C2388" s="159"/>
      <c r="D2388" s="159"/>
      <c r="E2388" s="159">
        <v>10</v>
      </c>
      <c r="F2388" s="159"/>
      <c r="G2388" s="159"/>
      <c r="H2388" s="159"/>
      <c r="I2388" s="7">
        <f t="shared" si="198"/>
        <v>10</v>
      </c>
    </row>
    <row r="2389" spans="1:9" ht="15.75" x14ac:dyDescent="0.25">
      <c r="A2389" s="23">
        <v>1894</v>
      </c>
      <c r="B2389" s="89" t="str">
        <f>CADASTROS!$C$1586</f>
        <v>José Nilton P dos Santos</v>
      </c>
      <c r="C2389" s="159"/>
      <c r="D2389" s="159"/>
      <c r="E2389" s="159"/>
      <c r="F2389" s="159"/>
      <c r="G2389" s="159"/>
      <c r="H2389" s="159"/>
      <c r="I2389" s="7">
        <f t="shared" si="198"/>
        <v>0</v>
      </c>
    </row>
    <row r="2390" spans="1:9" ht="15.75" x14ac:dyDescent="0.25">
      <c r="A2390" s="23">
        <v>1895</v>
      </c>
      <c r="B2390" s="89" t="str">
        <f>CADASTROS!$C$1587</f>
        <v>Alane Dias de Oliveira</v>
      </c>
      <c r="C2390" s="159"/>
      <c r="D2390" s="159"/>
      <c r="E2390" s="159">
        <v>7.5</v>
      </c>
      <c r="F2390" s="159"/>
      <c r="G2390" s="159"/>
      <c r="H2390" s="159"/>
      <c r="I2390" s="7">
        <f t="shared" si="198"/>
        <v>7.5</v>
      </c>
    </row>
    <row r="2391" spans="1:9" ht="15.75" x14ac:dyDescent="0.25">
      <c r="A2391" s="23">
        <v>1896</v>
      </c>
      <c r="B2391" s="89" t="str">
        <f>CADASTROS!$C$1588</f>
        <v>Jociel Jesus de Souza</v>
      </c>
      <c r="C2391" s="159"/>
      <c r="D2391" s="159"/>
      <c r="E2391" s="159">
        <v>3.5</v>
      </c>
      <c r="F2391" s="159"/>
      <c r="G2391" s="159"/>
      <c r="H2391" s="159"/>
      <c r="I2391" s="7">
        <f t="shared" si="198"/>
        <v>3.5</v>
      </c>
    </row>
    <row r="2392" spans="1:9" ht="15.75" x14ac:dyDescent="0.25">
      <c r="A2392" s="23">
        <v>1897</v>
      </c>
      <c r="B2392" s="89" t="str">
        <f>CADASTROS!$C$1589</f>
        <v>Cidinei de Souza Bispo</v>
      </c>
      <c r="C2392" s="159"/>
      <c r="D2392" s="159">
        <v>7.5</v>
      </c>
      <c r="E2392" s="159">
        <v>5.5</v>
      </c>
      <c r="F2392" s="159"/>
      <c r="G2392" s="159"/>
      <c r="H2392" s="159"/>
      <c r="I2392" s="7">
        <f t="shared" si="198"/>
        <v>13</v>
      </c>
    </row>
    <row r="2393" spans="1:9" ht="15.75" x14ac:dyDescent="0.25">
      <c r="B2393" s="159" t="s">
        <v>4829</v>
      </c>
      <c r="C2393" s="159">
        <f>SUM(C2366:C2392)</f>
        <v>29.5</v>
      </c>
      <c r="D2393" s="159">
        <f t="shared" ref="D2393:H2393" si="199">SUM(D2366:D2392)</f>
        <v>342</v>
      </c>
      <c r="E2393" s="159">
        <f t="shared" si="199"/>
        <v>411.5</v>
      </c>
      <c r="F2393" s="159">
        <f t="shared" si="199"/>
        <v>0</v>
      </c>
      <c r="G2393" s="159">
        <f t="shared" si="199"/>
        <v>30</v>
      </c>
      <c r="H2393" s="159">
        <f t="shared" si="199"/>
        <v>0</v>
      </c>
      <c r="I2393" s="159">
        <f>SUM(I2366:I2392)</f>
        <v>813</v>
      </c>
    </row>
    <row r="2395" spans="1:9" ht="15.75" x14ac:dyDescent="0.25">
      <c r="B2395" s="8" t="s">
        <v>4830</v>
      </c>
      <c r="C2395" s="159"/>
      <c r="D2395" s="159"/>
      <c r="E2395" s="159"/>
      <c r="F2395" s="159"/>
      <c r="G2395" s="159"/>
      <c r="H2395" s="159"/>
      <c r="I2395" s="159">
        <f>SUM(C2395:H2395)</f>
        <v>0</v>
      </c>
    </row>
    <row r="2396" spans="1:9" x14ac:dyDescent="0.25">
      <c r="B2396" s="167"/>
    </row>
    <row r="2397" spans="1:9" ht="15.75" x14ac:dyDescent="0.25">
      <c r="B2397" s="8" t="s">
        <v>4831</v>
      </c>
      <c r="C2397" s="9" t="e">
        <f>C2393/C2395</f>
        <v>#DIV/0!</v>
      </c>
      <c r="D2397" s="9" t="e">
        <f t="shared" ref="D2397:H2397" si="200">D2393/D2395</f>
        <v>#DIV/0!</v>
      </c>
      <c r="E2397" s="9" t="e">
        <f t="shared" si="200"/>
        <v>#DIV/0!</v>
      </c>
      <c r="F2397" s="9" t="e">
        <f t="shared" si="200"/>
        <v>#DIV/0!</v>
      </c>
      <c r="G2397" s="9" t="e">
        <f t="shared" si="200"/>
        <v>#DIV/0!</v>
      </c>
      <c r="H2397" s="9" t="e">
        <f t="shared" si="200"/>
        <v>#DIV/0!</v>
      </c>
      <c r="I2397" s="9"/>
    </row>
    <row r="2398" spans="1:9" ht="15.75" x14ac:dyDescent="0.25">
      <c r="B2398" s="163"/>
      <c r="C2398" s="10"/>
      <c r="D2398" s="10"/>
      <c r="E2398" s="10"/>
      <c r="F2398" s="10"/>
      <c r="G2398" s="10"/>
      <c r="H2398" s="163"/>
      <c r="I2398" s="163"/>
    </row>
    <row r="2399" spans="1:9" ht="15.75" x14ac:dyDescent="0.25">
      <c r="B2399" s="8" t="s">
        <v>4832</v>
      </c>
      <c r="C2399" s="159"/>
      <c r="D2399" s="159"/>
      <c r="E2399" s="6"/>
      <c r="F2399" s="6"/>
      <c r="G2399" s="6"/>
      <c r="H2399" s="6"/>
      <c r="I2399" s="11"/>
    </row>
    <row r="2401" spans="1:9" ht="33" customHeight="1" x14ac:dyDescent="0.25">
      <c r="B2401" s="187" t="s">
        <v>4842</v>
      </c>
      <c r="C2401" s="188"/>
      <c r="D2401" s="188"/>
      <c r="E2401" s="188"/>
      <c r="F2401" s="188"/>
      <c r="G2401" s="188"/>
      <c r="H2401" s="188"/>
      <c r="I2401" s="189"/>
    </row>
    <row r="2402" spans="1:9" ht="47.25" x14ac:dyDescent="0.25">
      <c r="A2402" s="155" t="s">
        <v>4819</v>
      </c>
      <c r="B2402" s="155" t="s">
        <v>4820</v>
      </c>
      <c r="C2402" s="4" t="s">
        <v>4821</v>
      </c>
      <c r="D2402" s="4" t="s">
        <v>4822</v>
      </c>
      <c r="E2402" s="88" t="s">
        <v>4823</v>
      </c>
      <c r="F2402" s="88" t="s">
        <v>4824</v>
      </c>
      <c r="G2402" s="88" t="s">
        <v>4825</v>
      </c>
      <c r="H2402" s="4" t="s">
        <v>4826</v>
      </c>
      <c r="I2402" s="29" t="s">
        <v>4827</v>
      </c>
    </row>
    <row r="2403" spans="1:9" ht="25.5" x14ac:dyDescent="0.25">
      <c r="A2403" s="156"/>
      <c r="B2403" s="156"/>
      <c r="C2403" s="13" t="s">
        <v>4828</v>
      </c>
      <c r="D2403" s="13" t="s">
        <v>4828</v>
      </c>
      <c r="E2403" s="13" t="s">
        <v>4828</v>
      </c>
      <c r="F2403" s="13" t="s">
        <v>4828</v>
      </c>
      <c r="G2403" s="13" t="s">
        <v>4828</v>
      </c>
      <c r="H2403" s="13" t="s">
        <v>4828</v>
      </c>
      <c r="I2403" s="30"/>
    </row>
    <row r="2404" spans="1:9" ht="15.75" x14ac:dyDescent="0.25">
      <c r="A2404" s="23">
        <v>1898</v>
      </c>
      <c r="B2404" s="89" t="str">
        <f>CADASTROS!$C$1590</f>
        <v>Raimunda Oliveira dos Anjos</v>
      </c>
      <c r="C2404" s="159"/>
      <c r="D2404" s="159">
        <v>12</v>
      </c>
      <c r="E2404" s="159">
        <v>10</v>
      </c>
      <c r="F2404" s="159"/>
      <c r="G2404" s="159"/>
      <c r="H2404" s="159"/>
      <c r="I2404" s="7">
        <f>SUM(C2404+D2404+E2404+F2404+G2404+H2404)</f>
        <v>22</v>
      </c>
    </row>
    <row r="2405" spans="1:9" ht="15.75" x14ac:dyDescent="0.25">
      <c r="A2405" s="23">
        <v>1899</v>
      </c>
      <c r="B2405" s="89" t="str">
        <f>CADASTROS!$C$1591</f>
        <v>Mª de Lurdes Ramalho de Oliveira</v>
      </c>
      <c r="C2405" s="159"/>
      <c r="D2405" s="159">
        <v>28</v>
      </c>
      <c r="E2405" s="159">
        <v>19.5</v>
      </c>
      <c r="F2405" s="159"/>
      <c r="G2405" s="159"/>
      <c r="H2405" s="159"/>
      <c r="I2405" s="7">
        <f>SUM(C2405+D2405+E2405+F2405+G2405+H2405)</f>
        <v>47.5</v>
      </c>
    </row>
    <row r="2406" spans="1:9" ht="15.75" x14ac:dyDescent="0.25">
      <c r="A2406" s="23">
        <v>1900</v>
      </c>
      <c r="B2406" s="89" t="str">
        <f>CADASTROS!$C$1592</f>
        <v>Cosme Moura Passos</v>
      </c>
      <c r="C2406" s="159"/>
      <c r="D2406" s="159">
        <v>19</v>
      </c>
      <c r="E2406" s="159">
        <v>20</v>
      </c>
      <c r="F2406" s="159"/>
      <c r="G2406" s="159"/>
      <c r="H2406" s="159"/>
      <c r="I2406" s="7">
        <f t="shared" ref="I2406:I2430" si="201">SUM(C2406+D2406+E2406+F2406+G2406+H2406)</f>
        <v>39</v>
      </c>
    </row>
    <row r="2407" spans="1:9" ht="15.75" x14ac:dyDescent="0.25">
      <c r="A2407" s="23">
        <v>1901</v>
      </c>
      <c r="B2407" s="89" t="str">
        <f>CADASTROS!$C$1593</f>
        <v>Luzinete Gomes</v>
      </c>
      <c r="C2407" s="159"/>
      <c r="D2407" s="159"/>
      <c r="E2407" s="159">
        <v>14</v>
      </c>
      <c r="F2407" s="159"/>
      <c r="G2407" s="159"/>
      <c r="H2407" s="159"/>
      <c r="I2407" s="7">
        <f t="shared" si="201"/>
        <v>14</v>
      </c>
    </row>
    <row r="2408" spans="1:9" ht="15.75" x14ac:dyDescent="0.25">
      <c r="A2408" s="23">
        <v>1902</v>
      </c>
      <c r="B2408" s="89" t="str">
        <f>CADASTROS!$C$1594</f>
        <v>Godofredo Santos Vieira</v>
      </c>
      <c r="C2408" s="159">
        <v>10.5</v>
      </c>
      <c r="D2408" s="159">
        <v>13.5</v>
      </c>
      <c r="E2408" s="159">
        <v>10</v>
      </c>
      <c r="F2408" s="159"/>
      <c r="G2408" s="159"/>
      <c r="H2408" s="159"/>
      <c r="I2408" s="7">
        <f t="shared" si="201"/>
        <v>34</v>
      </c>
    </row>
    <row r="2409" spans="1:9" ht="15.75" x14ac:dyDescent="0.25">
      <c r="A2409" s="23">
        <v>1903</v>
      </c>
      <c r="B2409" s="89" t="str">
        <f>CADASTROS!$C$1595</f>
        <v>Vilmarcos Santana Bastos</v>
      </c>
      <c r="C2409" s="159"/>
      <c r="D2409" s="159"/>
      <c r="E2409" s="159">
        <v>12</v>
      </c>
      <c r="F2409" s="159"/>
      <c r="G2409" s="159"/>
      <c r="H2409" s="159"/>
      <c r="I2409" s="7">
        <f t="shared" si="201"/>
        <v>12</v>
      </c>
    </row>
    <row r="2410" spans="1:9" ht="15.75" x14ac:dyDescent="0.25">
      <c r="A2410" s="23">
        <v>1904</v>
      </c>
      <c r="B2410" s="89" t="str">
        <f>CADASTROS!$C$1596</f>
        <v>Maremi Teles dos Santos</v>
      </c>
      <c r="C2410" s="159"/>
      <c r="D2410" s="159">
        <v>7.5</v>
      </c>
      <c r="E2410" s="159">
        <v>10</v>
      </c>
      <c r="F2410" s="159"/>
      <c r="G2410" s="159"/>
      <c r="H2410" s="159"/>
      <c r="I2410" s="7">
        <f t="shared" si="201"/>
        <v>17.5</v>
      </c>
    </row>
    <row r="2411" spans="1:9" ht="15.75" x14ac:dyDescent="0.25">
      <c r="A2411" s="23">
        <v>1905</v>
      </c>
      <c r="B2411" s="89" t="str">
        <f>CADASTROS!$C$1597</f>
        <v>Eleaci Silva Araújo Alves</v>
      </c>
      <c r="C2411" s="159"/>
      <c r="D2411" s="159"/>
      <c r="E2411" s="159"/>
      <c r="F2411" s="159"/>
      <c r="G2411" s="159"/>
      <c r="H2411" s="159"/>
      <c r="I2411" s="7">
        <f t="shared" si="201"/>
        <v>0</v>
      </c>
    </row>
    <row r="2412" spans="1:9" ht="15.75" x14ac:dyDescent="0.25">
      <c r="A2412" s="23">
        <v>1906</v>
      </c>
      <c r="B2412" s="89" t="str">
        <f>CADASTROS!$C$1598</f>
        <v>Enivaldo de Souza Silva</v>
      </c>
      <c r="C2412" s="159"/>
      <c r="D2412" s="159">
        <v>22</v>
      </c>
      <c r="E2412" s="159">
        <v>27.5</v>
      </c>
      <c r="F2412" s="159"/>
      <c r="G2412" s="159"/>
      <c r="H2412" s="159"/>
      <c r="I2412" s="7">
        <f t="shared" si="201"/>
        <v>49.5</v>
      </c>
    </row>
    <row r="2413" spans="1:9" ht="15.75" x14ac:dyDescent="0.25">
      <c r="A2413" s="23">
        <v>1907</v>
      </c>
      <c r="B2413" s="89" t="str">
        <f>CADASTROS!$C$1599</f>
        <v>Egídio de Jesus</v>
      </c>
      <c r="C2413" s="159">
        <v>9.5</v>
      </c>
      <c r="D2413" s="159"/>
      <c r="E2413" s="159"/>
      <c r="F2413" s="159"/>
      <c r="G2413" s="159"/>
      <c r="H2413" s="159"/>
      <c r="I2413" s="7">
        <f t="shared" si="201"/>
        <v>9.5</v>
      </c>
    </row>
    <row r="2414" spans="1:9" ht="15.75" x14ac:dyDescent="0.25">
      <c r="A2414" s="23">
        <v>1908</v>
      </c>
      <c r="B2414" s="89" t="str">
        <f>CADASTROS!$C$1600</f>
        <v>Lucimara Bispo da Silva</v>
      </c>
      <c r="C2414" s="159"/>
      <c r="D2414" s="159"/>
      <c r="E2414" s="159">
        <v>10</v>
      </c>
      <c r="F2414" s="159"/>
      <c r="G2414" s="159"/>
      <c r="H2414" s="159"/>
      <c r="I2414" s="7">
        <f t="shared" si="201"/>
        <v>10</v>
      </c>
    </row>
    <row r="2415" spans="1:9" ht="15.75" x14ac:dyDescent="0.25">
      <c r="A2415" s="23"/>
      <c r="B2415" s="89"/>
      <c r="C2415" s="159"/>
      <c r="D2415" s="159"/>
      <c r="E2415" s="159"/>
      <c r="F2415" s="159"/>
      <c r="G2415" s="159"/>
      <c r="H2415" s="159"/>
      <c r="I2415" s="7">
        <f t="shared" si="201"/>
        <v>0</v>
      </c>
    </row>
    <row r="2416" spans="1:9" ht="15.75" x14ac:dyDescent="0.25">
      <c r="A2416" s="23"/>
      <c r="B2416" s="89"/>
      <c r="C2416" s="159"/>
      <c r="D2416" s="159"/>
      <c r="E2416" s="159"/>
      <c r="F2416" s="159"/>
      <c r="G2416" s="159"/>
      <c r="H2416" s="159"/>
      <c r="I2416" s="7">
        <f t="shared" si="201"/>
        <v>0</v>
      </c>
    </row>
    <row r="2417" spans="1:9" ht="15.75" x14ac:dyDescent="0.25">
      <c r="A2417" s="23"/>
      <c r="B2417" s="89"/>
      <c r="C2417" s="159"/>
      <c r="D2417" s="159"/>
      <c r="E2417" s="159"/>
      <c r="F2417" s="159"/>
      <c r="G2417" s="159"/>
      <c r="H2417" s="159"/>
      <c r="I2417" s="7">
        <f t="shared" si="201"/>
        <v>0</v>
      </c>
    </row>
    <row r="2418" spans="1:9" ht="15.75" x14ac:dyDescent="0.25">
      <c r="A2418" s="23"/>
      <c r="B2418" s="89"/>
      <c r="C2418" s="159"/>
      <c r="D2418" s="159"/>
      <c r="E2418" s="159"/>
      <c r="F2418" s="159"/>
      <c r="G2418" s="159"/>
      <c r="H2418" s="159"/>
      <c r="I2418" s="7">
        <f t="shared" si="201"/>
        <v>0</v>
      </c>
    </row>
    <row r="2419" spans="1:9" ht="15.75" x14ac:dyDescent="0.25">
      <c r="A2419" s="23"/>
      <c r="B2419" s="89"/>
      <c r="C2419" s="159"/>
      <c r="D2419" s="159"/>
      <c r="E2419" s="159"/>
      <c r="F2419" s="159"/>
      <c r="G2419" s="159"/>
      <c r="H2419" s="159"/>
      <c r="I2419" s="7">
        <f t="shared" si="201"/>
        <v>0</v>
      </c>
    </row>
    <row r="2420" spans="1:9" ht="15.75" x14ac:dyDescent="0.25">
      <c r="A2420" s="23"/>
      <c r="B2420" s="89"/>
      <c r="C2420" s="159"/>
      <c r="D2420" s="159"/>
      <c r="E2420" s="159"/>
      <c r="F2420" s="159"/>
      <c r="G2420" s="159"/>
      <c r="H2420" s="159"/>
      <c r="I2420" s="7">
        <f t="shared" si="201"/>
        <v>0</v>
      </c>
    </row>
    <row r="2421" spans="1:9" ht="15.75" x14ac:dyDescent="0.25">
      <c r="A2421" s="23"/>
      <c r="B2421" s="89"/>
      <c r="C2421" s="159"/>
      <c r="D2421" s="159"/>
      <c r="E2421" s="159"/>
      <c r="F2421" s="159"/>
      <c r="G2421" s="159"/>
      <c r="H2421" s="159"/>
      <c r="I2421" s="7">
        <f t="shared" si="201"/>
        <v>0</v>
      </c>
    </row>
    <row r="2422" spans="1:9" ht="15.75" x14ac:dyDescent="0.25">
      <c r="A2422" s="23"/>
      <c r="B2422" s="89"/>
      <c r="C2422" s="159"/>
      <c r="D2422" s="159"/>
      <c r="E2422" s="159"/>
      <c r="F2422" s="159"/>
      <c r="G2422" s="159"/>
      <c r="H2422" s="159"/>
      <c r="I2422" s="7">
        <f t="shared" si="201"/>
        <v>0</v>
      </c>
    </row>
    <row r="2423" spans="1:9" ht="15.75" x14ac:dyDescent="0.25">
      <c r="A2423" s="23"/>
      <c r="B2423" s="89"/>
      <c r="C2423" s="159"/>
      <c r="D2423" s="159"/>
      <c r="E2423" s="159"/>
      <c r="F2423" s="159"/>
      <c r="G2423" s="159"/>
      <c r="H2423" s="159"/>
      <c r="I2423" s="7">
        <f t="shared" si="201"/>
        <v>0</v>
      </c>
    </row>
    <row r="2424" spans="1:9" ht="15.75" x14ac:dyDescent="0.25">
      <c r="A2424" s="23"/>
      <c r="B2424" s="89"/>
      <c r="C2424" s="159"/>
      <c r="D2424" s="159"/>
      <c r="E2424" s="159"/>
      <c r="F2424" s="159"/>
      <c r="G2424" s="159"/>
      <c r="H2424" s="159"/>
      <c r="I2424" s="7">
        <f t="shared" si="201"/>
        <v>0</v>
      </c>
    </row>
    <row r="2425" spans="1:9" ht="15.75" x14ac:dyDescent="0.25">
      <c r="A2425" s="23"/>
      <c r="B2425" s="89"/>
      <c r="C2425" s="159"/>
      <c r="D2425" s="159"/>
      <c r="E2425" s="159"/>
      <c r="F2425" s="159"/>
      <c r="G2425" s="159"/>
      <c r="H2425" s="159"/>
      <c r="I2425" s="7">
        <f t="shared" si="201"/>
        <v>0</v>
      </c>
    </row>
    <row r="2426" spans="1:9" ht="15.75" x14ac:dyDescent="0.25">
      <c r="A2426" s="23"/>
      <c r="B2426" s="89"/>
      <c r="C2426" s="159"/>
      <c r="D2426" s="159"/>
      <c r="E2426" s="159"/>
      <c r="F2426" s="159"/>
      <c r="G2426" s="159"/>
      <c r="H2426" s="159"/>
      <c r="I2426" s="7">
        <f t="shared" si="201"/>
        <v>0</v>
      </c>
    </row>
    <row r="2427" spans="1:9" ht="15.75" x14ac:dyDescent="0.25">
      <c r="A2427" s="23"/>
      <c r="B2427" s="89"/>
      <c r="C2427" s="159"/>
      <c r="D2427" s="159"/>
      <c r="E2427" s="159"/>
      <c r="F2427" s="159"/>
      <c r="G2427" s="159"/>
      <c r="H2427" s="159"/>
      <c r="I2427" s="7">
        <f t="shared" si="201"/>
        <v>0</v>
      </c>
    </row>
    <row r="2428" spans="1:9" ht="15.75" x14ac:dyDescent="0.25">
      <c r="A2428" s="23"/>
      <c r="B2428" s="89"/>
      <c r="C2428" s="159"/>
      <c r="D2428" s="159"/>
      <c r="E2428" s="159"/>
      <c r="F2428" s="159"/>
      <c r="G2428" s="159"/>
      <c r="H2428" s="159"/>
      <c r="I2428" s="7">
        <f t="shared" si="201"/>
        <v>0</v>
      </c>
    </row>
    <row r="2429" spans="1:9" ht="15.75" x14ac:dyDescent="0.25">
      <c r="A2429" s="23"/>
      <c r="B2429" s="89"/>
      <c r="C2429" s="159"/>
      <c r="D2429" s="159"/>
      <c r="E2429" s="159"/>
      <c r="F2429" s="159"/>
      <c r="G2429" s="159"/>
      <c r="H2429" s="159"/>
      <c r="I2429" s="7">
        <f t="shared" si="201"/>
        <v>0</v>
      </c>
    </row>
    <row r="2430" spans="1:9" ht="15.75" x14ac:dyDescent="0.25">
      <c r="A2430" s="23"/>
      <c r="B2430" s="89"/>
      <c r="C2430" s="159"/>
      <c r="D2430" s="159"/>
      <c r="E2430" s="159"/>
      <c r="F2430" s="159"/>
      <c r="G2430" s="159"/>
      <c r="H2430" s="159"/>
      <c r="I2430" s="7">
        <f t="shared" si="201"/>
        <v>0</v>
      </c>
    </row>
    <row r="2431" spans="1:9" ht="15.75" x14ac:dyDescent="0.25">
      <c r="B2431" s="159" t="s">
        <v>4829</v>
      </c>
      <c r="C2431" s="159">
        <f>SUM(C2404:C2430)</f>
        <v>20</v>
      </c>
      <c r="D2431" s="159">
        <f t="shared" ref="D2431:H2431" si="202">SUM(D2404:D2430)</f>
        <v>102</v>
      </c>
      <c r="E2431" s="159">
        <f t="shared" si="202"/>
        <v>133</v>
      </c>
      <c r="F2431" s="159">
        <f t="shared" si="202"/>
        <v>0</v>
      </c>
      <c r="G2431" s="159">
        <f t="shared" si="202"/>
        <v>0</v>
      </c>
      <c r="H2431" s="159">
        <f t="shared" si="202"/>
        <v>0</v>
      </c>
      <c r="I2431" s="159">
        <f>SUM(I2404:I2430)</f>
        <v>255</v>
      </c>
    </row>
    <row r="2433" spans="2:9" ht="15.75" x14ac:dyDescent="0.25">
      <c r="B2433" s="8" t="s">
        <v>4830</v>
      </c>
      <c r="C2433" s="159"/>
      <c r="D2433" s="159"/>
      <c r="E2433" s="159"/>
      <c r="F2433" s="159"/>
      <c r="G2433" s="159"/>
      <c r="H2433" s="159"/>
      <c r="I2433" s="159">
        <f>SUM(C2433:H2433)</f>
        <v>0</v>
      </c>
    </row>
    <row r="2434" spans="2:9" x14ac:dyDescent="0.25">
      <c r="B2434" s="167"/>
    </row>
    <row r="2435" spans="2:9" ht="15.75" x14ac:dyDescent="0.25">
      <c r="B2435" s="8" t="s">
        <v>4831</v>
      </c>
      <c r="C2435" s="9" t="e">
        <f>C2431/C2433</f>
        <v>#DIV/0!</v>
      </c>
      <c r="D2435" s="9" t="e">
        <f t="shared" ref="D2435:H2435" si="203">D2431/D2433</f>
        <v>#DIV/0!</v>
      </c>
      <c r="E2435" s="9" t="e">
        <f t="shared" si="203"/>
        <v>#DIV/0!</v>
      </c>
      <c r="F2435" s="9" t="e">
        <f t="shared" si="203"/>
        <v>#DIV/0!</v>
      </c>
      <c r="G2435" s="9" t="e">
        <f t="shared" si="203"/>
        <v>#DIV/0!</v>
      </c>
      <c r="H2435" s="9" t="e">
        <f t="shared" si="203"/>
        <v>#DIV/0!</v>
      </c>
      <c r="I2435" s="9"/>
    </row>
    <row r="2436" spans="2:9" ht="15.75" x14ac:dyDescent="0.25">
      <c r="B2436" s="163"/>
      <c r="C2436" s="10"/>
      <c r="D2436" s="10"/>
      <c r="E2436" s="10"/>
      <c r="F2436" s="10"/>
      <c r="G2436" s="10"/>
      <c r="H2436" s="163"/>
      <c r="I2436" s="163"/>
    </row>
    <row r="2437" spans="2:9" ht="15.75" x14ac:dyDescent="0.25">
      <c r="B2437" s="8" t="s">
        <v>4832</v>
      </c>
      <c r="C2437" s="159"/>
      <c r="D2437" s="159"/>
      <c r="E2437" s="6"/>
      <c r="F2437" s="6"/>
      <c r="G2437" s="6"/>
      <c r="H2437" s="6"/>
      <c r="I2437" s="11"/>
    </row>
  </sheetData>
  <mergeCells count="162">
    <mergeCell ref="B2363:I2363"/>
    <mergeCell ref="B736:I736"/>
    <mergeCell ref="B865:I865"/>
    <mergeCell ref="B990:I990"/>
    <mergeCell ref="B992:I992"/>
    <mergeCell ref="B994:I994"/>
    <mergeCell ref="B2287:I2287"/>
    <mergeCell ref="B2249:I2249"/>
    <mergeCell ref="B2173:I2173"/>
    <mergeCell ref="B2097:I2097"/>
    <mergeCell ref="B2135:I2135"/>
    <mergeCell ref="B2059:I2059"/>
    <mergeCell ref="B2021:I2021"/>
    <mergeCell ref="B1983:I1983"/>
    <mergeCell ref="B1945:I1945"/>
    <mergeCell ref="B1907:I1907"/>
    <mergeCell ref="B1754:I1754"/>
    <mergeCell ref="B1119:I1119"/>
    <mergeCell ref="B904:I904"/>
    <mergeCell ref="B1869:I1869"/>
    <mergeCell ref="B1831:I1831"/>
    <mergeCell ref="B1037:I1037"/>
    <mergeCell ref="B947:I947"/>
    <mergeCell ref="B908:I908"/>
    <mergeCell ref="B1033:I1033"/>
    <mergeCell ref="B2325:I2325"/>
    <mergeCell ref="B1162:I1162"/>
    <mergeCell ref="B2211:I2211"/>
    <mergeCell ref="B1716:I1716"/>
    <mergeCell ref="B693:I693"/>
    <mergeCell ref="B1792:I1792"/>
    <mergeCell ref="B1678:I1678"/>
    <mergeCell ref="B1640:I1640"/>
    <mergeCell ref="B1564:I1564"/>
    <mergeCell ref="B1204:I1204"/>
    <mergeCell ref="B863:I863"/>
    <mergeCell ref="B1206:I1206"/>
    <mergeCell ref="B1602:I1602"/>
    <mergeCell ref="B1526:I1526"/>
    <mergeCell ref="B949:I949"/>
    <mergeCell ref="B951:I951"/>
    <mergeCell ref="B1164:I1164"/>
    <mergeCell ref="B1166:I1166"/>
    <mergeCell ref="B1121:I1121"/>
    <mergeCell ref="B1123:I1123"/>
    <mergeCell ref="B1076:I1076"/>
    <mergeCell ref="B737:B738"/>
    <mergeCell ref="B861:I861"/>
    <mergeCell ref="B906:I906"/>
    <mergeCell ref="B1035:I1035"/>
    <mergeCell ref="B1080:I1080"/>
    <mergeCell ref="B1:I1"/>
    <mergeCell ref="B3:I3"/>
    <mergeCell ref="B5:I5"/>
    <mergeCell ref="B6:B7"/>
    <mergeCell ref="I6:I7"/>
    <mergeCell ref="B47:I47"/>
    <mergeCell ref="B258:I258"/>
    <mergeCell ref="B260:I260"/>
    <mergeCell ref="B43:I43"/>
    <mergeCell ref="B45:I45"/>
    <mergeCell ref="B170:I170"/>
    <mergeCell ref="B172:I172"/>
    <mergeCell ref="B174:I174"/>
    <mergeCell ref="B89:I89"/>
    <mergeCell ref="B349:I349"/>
    <mergeCell ref="B650:I650"/>
    <mergeCell ref="B350:B351"/>
    <mergeCell ref="I350:I351"/>
    <mergeCell ref="B608:B609"/>
    <mergeCell ref="I608:I609"/>
    <mergeCell ref="B646:I646"/>
    <mergeCell ref="B779:I779"/>
    <mergeCell ref="A565:A566"/>
    <mergeCell ref="B565:B566"/>
    <mergeCell ref="I565:I566"/>
    <mergeCell ref="A737:A738"/>
    <mergeCell ref="B734:I734"/>
    <mergeCell ref="B603:I603"/>
    <mergeCell ref="B651:B652"/>
    <mergeCell ref="I651:I652"/>
    <mergeCell ref="B689:I689"/>
    <mergeCell ref="B562:I562"/>
    <mergeCell ref="B564:I564"/>
    <mergeCell ref="A522:A523"/>
    <mergeCell ref="B560:I560"/>
    <mergeCell ref="B522:B523"/>
    <mergeCell ref="I522:I523"/>
    <mergeCell ref="B648:I648"/>
    <mergeCell ref="A694:A695"/>
    <mergeCell ref="B694:B695"/>
    <mergeCell ref="A608:A609"/>
    <mergeCell ref="B605:I605"/>
    <mergeCell ref="B607:I607"/>
    <mergeCell ref="A651:A652"/>
    <mergeCell ref="B691:I691"/>
    <mergeCell ref="A478:A479"/>
    <mergeCell ref="B345:I345"/>
    <mergeCell ref="A48:A49"/>
    <mergeCell ref="B85:I85"/>
    <mergeCell ref="A132:A133"/>
    <mergeCell ref="A175:A176"/>
    <mergeCell ref="B213:I213"/>
    <mergeCell ref="B215:I215"/>
    <mergeCell ref="B217:I217"/>
    <mergeCell ref="A218:A219"/>
    <mergeCell ref="B477:I477"/>
    <mergeCell ref="A435:A436"/>
    <mergeCell ref="B475:I475"/>
    <mergeCell ref="B434:I434"/>
    <mergeCell ref="B435:B436"/>
    <mergeCell ref="B478:B479"/>
    <mergeCell ref="I478:I479"/>
    <mergeCell ref="B129:I129"/>
    <mergeCell ref="B517:I517"/>
    <mergeCell ref="B519:I519"/>
    <mergeCell ref="B521:I521"/>
    <mergeCell ref="B131:I131"/>
    <mergeCell ref="A6:A7"/>
    <mergeCell ref="I435:I436"/>
    <mergeCell ref="B473:I473"/>
    <mergeCell ref="A392:A393"/>
    <mergeCell ref="B392:B393"/>
    <mergeCell ref="I392:I393"/>
    <mergeCell ref="B430:I430"/>
    <mergeCell ref="B432:I432"/>
    <mergeCell ref="B262:I262"/>
    <mergeCell ref="B302:I302"/>
    <mergeCell ref="B304:I304"/>
    <mergeCell ref="B306:I306"/>
    <mergeCell ref="B347:I347"/>
    <mergeCell ref="B387:I387"/>
    <mergeCell ref="B389:I389"/>
    <mergeCell ref="B391:I391"/>
    <mergeCell ref="A350:A351"/>
    <mergeCell ref="B87:I87"/>
    <mergeCell ref="A90:A91"/>
    <mergeCell ref="B127:I127"/>
    <mergeCell ref="A780:A781"/>
    <mergeCell ref="B732:I732"/>
    <mergeCell ref="B775:I775"/>
    <mergeCell ref="B2401:I2401"/>
    <mergeCell ref="I1984:I1985"/>
    <mergeCell ref="A866:A867"/>
    <mergeCell ref="B818:I818"/>
    <mergeCell ref="B820:I820"/>
    <mergeCell ref="B1488:I1488"/>
    <mergeCell ref="B1410:I1410"/>
    <mergeCell ref="B1371:I1371"/>
    <mergeCell ref="B1289:I1289"/>
    <mergeCell ref="B1291:I1291"/>
    <mergeCell ref="B1293:I1293"/>
    <mergeCell ref="B1332:I1332"/>
    <mergeCell ref="B1248:I1248"/>
    <mergeCell ref="B1250:I1250"/>
    <mergeCell ref="B1449:I1449"/>
    <mergeCell ref="B1246:I1246"/>
    <mergeCell ref="B822:I822"/>
    <mergeCell ref="A823:A824"/>
    <mergeCell ref="B1208:I1208"/>
    <mergeCell ref="B1078:I1078"/>
    <mergeCell ref="B777:I777"/>
  </mergeCells>
  <printOptions horizontalCentered="1"/>
  <pageMargins left="0" right="0" top="0.39370078740157483" bottom="0.39370078740157483" header="0.31496062992125984" footer="0.31496062992125984"/>
  <pageSetup paperSize="9" scale="90" orientation="portrait" horizontalDpi="1200" r:id="rId1"/>
  <rowBreaks count="23" manualBreakCount="23">
    <brk id="42" max="8" man="1"/>
    <brk id="84" max="8" man="1"/>
    <brk id="126" max="8" man="1"/>
    <brk id="169" max="8" man="1"/>
    <brk id="212" max="8" man="1"/>
    <brk id="257" max="8" man="1"/>
    <brk id="301" max="8" man="1"/>
    <brk id="344" max="8" man="1"/>
    <brk id="386" max="8" man="1"/>
    <brk id="429" max="8" man="1"/>
    <brk id="472" max="8" man="1"/>
    <brk id="516" max="8" man="1"/>
    <brk id="559" max="8" man="1"/>
    <brk id="602" max="8" man="1"/>
    <brk id="645" max="8" man="1"/>
    <brk id="688" max="8" man="1"/>
    <brk id="731" max="8" man="1"/>
    <brk id="774" max="8" man="1"/>
    <brk id="817" max="8" man="1"/>
    <brk id="860" max="8" man="1"/>
    <brk id="902" max="8" man="1"/>
    <brk id="946" max="8" man="1"/>
    <brk id="989" max="8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1894"/>
  <sheetViews>
    <sheetView zoomScale="85" zoomScaleNormal="85" workbookViewId="0">
      <selection activeCell="D5" sqref="D5:I6"/>
    </sheetView>
  </sheetViews>
  <sheetFormatPr defaultColWidth="9.28515625" defaultRowHeight="15" x14ac:dyDescent="0.25"/>
  <cols>
    <col min="1" max="1" width="9.7109375" style="1" customWidth="1"/>
    <col min="2" max="2" width="34.7109375" style="1" customWidth="1"/>
    <col min="3" max="3" width="18.5703125" style="1" customWidth="1"/>
    <col min="4" max="4" width="8.7109375" style="1" customWidth="1"/>
    <col min="5" max="5" width="0.28515625" style="1" customWidth="1"/>
    <col min="6" max="6" width="11" style="1" customWidth="1"/>
    <col min="7" max="7" width="9.5703125" style="1" customWidth="1"/>
    <col min="8" max="8" width="6.7109375" style="1" customWidth="1"/>
    <col min="9" max="9" width="16.7109375" style="1" customWidth="1"/>
    <col min="10" max="10" width="15.42578125" style="1" customWidth="1"/>
    <col min="11" max="11" width="9.28515625" style="1"/>
    <col min="12" max="12" width="9.7109375" style="1" customWidth="1"/>
    <col min="13" max="13" width="34.7109375" style="1" customWidth="1"/>
    <col min="14" max="14" width="21.5703125" style="1" customWidth="1"/>
    <col min="15" max="15" width="13.140625" style="1" customWidth="1"/>
    <col min="16" max="16" width="0.28515625" style="1" customWidth="1"/>
    <col min="17" max="17" width="14" style="1" customWidth="1"/>
    <col min="18" max="18" width="10.42578125" style="1" customWidth="1"/>
    <col min="19" max="19" width="9.7109375" style="1" customWidth="1"/>
    <col min="20" max="20" width="19.5703125" style="1" customWidth="1"/>
    <col min="21" max="21" width="15.42578125" style="1" customWidth="1"/>
    <col min="22" max="16384" width="9.28515625" style="1"/>
  </cols>
  <sheetData>
    <row r="1" spans="1:21" x14ac:dyDescent="0.25">
      <c r="A1" s="238"/>
      <c r="B1" s="238"/>
      <c r="C1" s="238"/>
      <c r="D1" s="238"/>
      <c r="E1" s="238"/>
      <c r="F1" s="238"/>
      <c r="G1" s="238"/>
      <c r="H1" s="238"/>
      <c r="I1" s="238"/>
      <c r="J1" s="238"/>
    </row>
    <row r="2" spans="1:21" ht="15.75" customHeight="1" x14ac:dyDescent="0.25">
      <c r="A2" s="213" t="s">
        <v>4816</v>
      </c>
      <c r="B2" s="213"/>
      <c r="C2" s="213"/>
      <c r="D2" s="213"/>
      <c r="E2" s="213"/>
      <c r="F2" s="213"/>
      <c r="G2" s="213"/>
      <c r="H2" s="213"/>
      <c r="I2" s="213"/>
      <c r="J2" s="213"/>
      <c r="L2" s="237" t="s">
        <v>4816</v>
      </c>
      <c r="M2" s="237"/>
      <c r="N2" s="237"/>
      <c r="O2" s="237"/>
      <c r="P2" s="237"/>
      <c r="Q2" s="237"/>
      <c r="R2" s="237"/>
      <c r="S2" s="237"/>
      <c r="T2" s="237"/>
      <c r="U2" s="237"/>
    </row>
    <row r="3" spans="1:21" ht="16.5" customHeight="1" thickBot="1" x14ac:dyDescent="0.3">
      <c r="A3" s="214" t="s">
        <v>4843</v>
      </c>
      <c r="B3" s="214"/>
      <c r="C3" s="214"/>
      <c r="D3" s="214"/>
      <c r="E3" s="214"/>
      <c r="F3" s="214"/>
      <c r="G3" s="214"/>
      <c r="H3" s="214"/>
      <c r="I3" s="214"/>
      <c r="J3" s="214"/>
      <c r="L3" s="203" t="s">
        <v>4843</v>
      </c>
      <c r="M3" s="203"/>
      <c r="N3" s="203"/>
      <c r="O3" s="203"/>
      <c r="P3" s="203"/>
      <c r="Q3" s="203"/>
      <c r="R3" s="203"/>
      <c r="S3" s="203"/>
      <c r="T3" s="203"/>
      <c r="U3" s="203"/>
    </row>
    <row r="4" spans="1:21" ht="19.5" customHeight="1" thickTop="1" thickBot="1" x14ac:dyDescent="0.3">
      <c r="A4" s="215" t="s">
        <v>4844</v>
      </c>
      <c r="B4" s="215"/>
      <c r="C4" s="215"/>
      <c r="D4" s="215"/>
      <c r="E4" s="215"/>
      <c r="F4" s="215"/>
      <c r="G4" s="215"/>
      <c r="H4" s="215"/>
      <c r="I4" s="215"/>
      <c r="J4" s="215"/>
      <c r="K4" s="22"/>
      <c r="L4" s="204" t="s">
        <v>4845</v>
      </c>
      <c r="M4" s="204"/>
      <c r="N4" s="204"/>
      <c r="O4" s="204"/>
      <c r="P4" s="204"/>
      <c r="Q4" s="204"/>
      <c r="R4" s="204"/>
      <c r="S4" s="204"/>
      <c r="T4" s="204"/>
      <c r="U4" s="204"/>
    </row>
    <row r="5" spans="1:21" ht="20.100000000000001" customHeight="1" x14ac:dyDescent="0.3">
      <c r="A5" s="19" t="s">
        <v>4846</v>
      </c>
      <c r="B5" s="216" t="s">
        <v>1</v>
      </c>
      <c r="C5" s="221" t="s">
        <v>2</v>
      </c>
      <c r="D5" s="223" t="s">
        <v>4847</v>
      </c>
      <c r="E5" s="160" t="s">
        <v>4848</v>
      </c>
      <c r="F5" s="216" t="s">
        <v>3</v>
      </c>
      <c r="G5" s="216" t="s">
        <v>4</v>
      </c>
      <c r="H5" s="216" t="s">
        <v>5</v>
      </c>
      <c r="I5" s="216" t="s">
        <v>6</v>
      </c>
      <c r="J5" s="218" t="s">
        <v>4849</v>
      </c>
      <c r="L5" s="47" t="s">
        <v>4846</v>
      </c>
      <c r="M5" s="205" t="s">
        <v>1</v>
      </c>
      <c r="N5" s="207" t="s">
        <v>2</v>
      </c>
      <c r="O5" s="209" t="s">
        <v>4847</v>
      </c>
      <c r="P5" s="165" t="s">
        <v>4848</v>
      </c>
      <c r="Q5" s="205" t="s">
        <v>3</v>
      </c>
      <c r="R5" s="205" t="s">
        <v>4</v>
      </c>
      <c r="S5" s="205" t="s">
        <v>5</v>
      </c>
      <c r="T5" s="205" t="s">
        <v>6</v>
      </c>
      <c r="U5" s="211" t="s">
        <v>4849</v>
      </c>
    </row>
    <row r="6" spans="1:21" ht="20.100000000000001" customHeight="1" thickBot="1" x14ac:dyDescent="0.35">
      <c r="A6" s="21" t="s">
        <v>4850</v>
      </c>
      <c r="B6" s="217"/>
      <c r="C6" s="222"/>
      <c r="D6" s="224"/>
      <c r="E6" s="161" t="s">
        <v>4851</v>
      </c>
      <c r="F6" s="217"/>
      <c r="G6" s="217"/>
      <c r="H6" s="217"/>
      <c r="I6" s="217"/>
      <c r="J6" s="219"/>
      <c r="L6" s="48" t="s">
        <v>4850</v>
      </c>
      <c r="M6" s="206"/>
      <c r="N6" s="208"/>
      <c r="O6" s="210"/>
      <c r="P6" s="166" t="s">
        <v>4851</v>
      </c>
      <c r="Q6" s="206"/>
      <c r="R6" s="206"/>
      <c r="S6" s="206"/>
      <c r="T6" s="206"/>
      <c r="U6" s="212"/>
    </row>
    <row r="7" spans="1:21" ht="20.100000000000001" customHeight="1" x14ac:dyDescent="0.25">
      <c r="A7" s="24" t="e">
        <f>CADASTROS!#REF!</f>
        <v>#REF!</v>
      </c>
      <c r="B7" s="15" t="e">
        <f>CADASTROS!#REF!</f>
        <v>#REF!</v>
      </c>
      <c r="C7" s="25"/>
      <c r="D7" s="35">
        <f>PLANILHA_COLHEITA_DIÁRIA!$I$8</f>
        <v>0</v>
      </c>
      <c r="E7" s="17">
        <v>6</v>
      </c>
      <c r="F7" s="26" t="e">
        <f>CADASTROS!#REF!</f>
        <v>#REF!</v>
      </c>
      <c r="G7" s="24" t="e">
        <f>CADASTROS!#REF!</f>
        <v>#REF!</v>
      </c>
      <c r="H7" s="26" t="e">
        <f>CADASTROS!#REF!</f>
        <v>#REF!</v>
      </c>
      <c r="I7" s="16" t="e">
        <f>CADASTROS!#REF!</f>
        <v>#REF!</v>
      </c>
      <c r="J7" s="18">
        <f>D7*E7</f>
        <v>0</v>
      </c>
      <c r="L7" s="24">
        <v>384</v>
      </c>
      <c r="M7" s="15" t="s">
        <v>856</v>
      </c>
      <c r="N7" s="25"/>
      <c r="O7" s="35">
        <v>45</v>
      </c>
      <c r="P7" s="17">
        <v>6</v>
      </c>
      <c r="Q7" s="26" t="s">
        <v>4852</v>
      </c>
      <c r="R7" s="24">
        <v>949</v>
      </c>
      <c r="S7" s="26">
        <v>13</v>
      </c>
      <c r="T7" s="16" t="s">
        <v>47</v>
      </c>
      <c r="U7" s="18">
        <f t="shared" ref="U7:U9" si="0">O7*P7</f>
        <v>270</v>
      </c>
    </row>
    <row r="8" spans="1:21" ht="20.100000000000001" customHeight="1" x14ac:dyDescent="0.25">
      <c r="A8" s="24">
        <f>CADASTROS!$B$3</f>
        <v>1</v>
      </c>
      <c r="B8" s="15" t="str">
        <f>CADASTROS!$C$3</f>
        <v>Rosangela Campos</v>
      </c>
      <c r="C8" s="25"/>
      <c r="D8" s="35">
        <f>PLANILHA_COLHEITA_DIÁRIA!$I$9</f>
        <v>0</v>
      </c>
      <c r="E8" s="17">
        <v>6</v>
      </c>
      <c r="F8" s="26" t="str">
        <f>CADASTROS!$E$3</f>
        <v>Cx. Econômica</v>
      </c>
      <c r="G8" s="24">
        <f>CADASTROS!$F$3</f>
        <v>1192</v>
      </c>
      <c r="H8" s="26">
        <f>CADASTROS!$G$3</f>
        <v>13</v>
      </c>
      <c r="I8" s="16" t="str">
        <f>CADASTROS!$H$3</f>
        <v>00104350-1</v>
      </c>
      <c r="J8" s="18">
        <f t="shared" ref="J8:J55" si="1">D8*E8</f>
        <v>0</v>
      </c>
      <c r="L8" s="24">
        <v>386</v>
      </c>
      <c r="M8" s="15" t="s">
        <v>860</v>
      </c>
      <c r="N8" s="25"/>
      <c r="O8" s="35">
        <v>18</v>
      </c>
      <c r="P8" s="17">
        <v>6</v>
      </c>
      <c r="Q8" s="26" t="s">
        <v>4852</v>
      </c>
      <c r="R8" s="24">
        <v>949</v>
      </c>
      <c r="S8" s="26">
        <v>1288</v>
      </c>
      <c r="T8" s="16" t="s">
        <v>862</v>
      </c>
      <c r="U8" s="18">
        <f t="shared" si="0"/>
        <v>108</v>
      </c>
    </row>
    <row r="9" spans="1:21" ht="20.100000000000001" customHeight="1" x14ac:dyDescent="0.25">
      <c r="A9" s="24">
        <f>CADASTROS!$B$4</f>
        <v>2</v>
      </c>
      <c r="B9" s="15" t="str">
        <f>CADASTROS!$C$4</f>
        <v>Tamires Lima de Jesus</v>
      </c>
      <c r="C9" s="25"/>
      <c r="D9" s="35">
        <f>PLANILHA_COLHEITA_DIÁRIA!$I$10</f>
        <v>0</v>
      </c>
      <c r="E9" s="17">
        <v>6</v>
      </c>
      <c r="F9" s="26" t="str">
        <f>CADASTROS!$E$4</f>
        <v>Cx. Econômica</v>
      </c>
      <c r="G9" s="24">
        <f>CADASTROS!$F$4</f>
        <v>4825</v>
      </c>
      <c r="H9" s="26">
        <f>CADASTROS!$G$4</f>
        <v>13</v>
      </c>
      <c r="I9" s="16" t="str">
        <f>CADASTROS!$H$4</f>
        <v>00022280-0</v>
      </c>
      <c r="J9" s="18">
        <f t="shared" si="1"/>
        <v>0</v>
      </c>
      <c r="L9" s="36">
        <v>402</v>
      </c>
      <c r="M9" s="37" t="s">
        <v>894</v>
      </c>
      <c r="N9" s="35"/>
      <c r="O9" s="35">
        <v>64</v>
      </c>
      <c r="P9" s="17">
        <v>6</v>
      </c>
      <c r="Q9" s="38" t="s">
        <v>4852</v>
      </c>
      <c r="R9" s="36">
        <v>4825</v>
      </c>
      <c r="S9" s="38">
        <v>13</v>
      </c>
      <c r="T9" s="39" t="s">
        <v>896</v>
      </c>
      <c r="U9" s="18">
        <f t="shared" si="0"/>
        <v>384</v>
      </c>
    </row>
    <row r="10" spans="1:21" ht="20.100000000000001" customHeight="1" x14ac:dyDescent="0.25">
      <c r="A10" s="24">
        <f>CADASTROS!$B$5</f>
        <v>3</v>
      </c>
      <c r="B10" s="15" t="str">
        <f>CADASTROS!$C$5</f>
        <v>Laede Andrade Reis</v>
      </c>
      <c r="C10" s="25"/>
      <c r="D10" s="35">
        <f>PLANILHA_COLHEITA_DIÁRIA!$I$11</f>
        <v>0</v>
      </c>
      <c r="E10" s="17">
        <v>6</v>
      </c>
      <c r="F10" s="26" t="str">
        <f>CADASTROS!$E$5</f>
        <v>Cx. Econômica</v>
      </c>
      <c r="G10" s="24">
        <f>CADASTROS!$F$5</f>
        <v>4818</v>
      </c>
      <c r="H10" s="26">
        <f>CADASTROS!$G$5</f>
        <v>13</v>
      </c>
      <c r="I10" s="16" t="str">
        <f>CADASTROS!$H$5</f>
        <v>00005763-0</v>
      </c>
      <c r="J10" s="18">
        <f t="shared" si="1"/>
        <v>0</v>
      </c>
      <c r="L10" s="24">
        <f>CADASTROS!$B$71</f>
        <v>69</v>
      </c>
      <c r="M10" s="15">
        <f>CADASTROS!$C$71</f>
        <v>0</v>
      </c>
      <c r="N10" s="25"/>
      <c r="O10" s="35">
        <f>PLANILHA_COLHEITA_DIÁRIA!$I$109</f>
        <v>68.5</v>
      </c>
      <c r="P10" s="17">
        <v>6</v>
      </c>
      <c r="Q10" s="26">
        <f>CADASTROS!$E$71</f>
        <v>0</v>
      </c>
      <c r="R10" s="24">
        <f>CADASTROS!$F$71</f>
        <v>0</v>
      </c>
      <c r="S10" s="26">
        <f>CADASTROS!$G$71</f>
        <v>0</v>
      </c>
      <c r="T10" s="16">
        <f>CADASTROS!$H$71</f>
        <v>0</v>
      </c>
      <c r="U10" s="18">
        <f t="shared" ref="U10:U55" si="2">O10*P10</f>
        <v>411</v>
      </c>
    </row>
    <row r="11" spans="1:21" ht="20.100000000000001" customHeight="1" x14ac:dyDescent="0.25">
      <c r="A11" s="24">
        <f>CADASTROS!$B$6</f>
        <v>4</v>
      </c>
      <c r="B11" s="15" t="str">
        <f>CADASTROS!$C$6</f>
        <v>Pedro Gomes Lima</v>
      </c>
      <c r="C11" s="25"/>
      <c r="D11" s="35">
        <f>PLANILHA_COLHEITA_DIÁRIA!$I$12</f>
        <v>0</v>
      </c>
      <c r="E11" s="17">
        <v>6</v>
      </c>
      <c r="F11" s="26" t="str">
        <f>CADASTROS!$E$6</f>
        <v>Cx. Econômica</v>
      </c>
      <c r="G11" s="24">
        <f>CADASTROS!$F$6</f>
        <v>2734</v>
      </c>
      <c r="H11" s="26">
        <f>CADASTROS!$G$6</f>
        <v>13</v>
      </c>
      <c r="I11" s="16" t="str">
        <f>CADASTROS!$H$6</f>
        <v>00008464-4</v>
      </c>
      <c r="J11" s="18">
        <f t="shared" si="1"/>
        <v>0</v>
      </c>
      <c r="L11" s="24">
        <f>CADASTROS!$B$193</f>
        <v>191</v>
      </c>
      <c r="M11" s="15" t="str">
        <f>CADASTROS!$C$193</f>
        <v>Iranilda M Souza</v>
      </c>
      <c r="N11" s="25"/>
      <c r="O11" s="35">
        <f>PLANILHA_COLHEITA_DIÁRIA!$I$320</f>
        <v>109</v>
      </c>
      <c r="P11" s="17">
        <v>6</v>
      </c>
      <c r="Q11" s="26" t="str">
        <f>CADASTROS!$E$193</f>
        <v>Banco do Brasil</v>
      </c>
      <c r="R11" s="24" t="str">
        <f>CADASTROS!$F$193</f>
        <v>2760-X</v>
      </c>
      <c r="S11" s="26" t="str">
        <f>CADASTROS!$G$193</f>
        <v>c/poup</v>
      </c>
      <c r="T11" s="16" t="str">
        <f>CADASTROS!$H$193</f>
        <v>22.200-3</v>
      </c>
      <c r="U11" s="18">
        <f t="shared" si="2"/>
        <v>654</v>
      </c>
    </row>
    <row r="12" spans="1:21" ht="20.100000000000001" customHeight="1" x14ac:dyDescent="0.25">
      <c r="A12" s="24">
        <f>CADASTROS!$B$7</f>
        <v>5</v>
      </c>
      <c r="B12" s="15" t="str">
        <f>CADASTROS!$C$7</f>
        <v>Itala Diane Lopes de Oliveira</v>
      </c>
      <c r="C12" s="25"/>
      <c r="D12" s="35">
        <f>PLANILHA_COLHEITA_DIÁRIA!$I$13</f>
        <v>0</v>
      </c>
      <c r="E12" s="17">
        <v>6</v>
      </c>
      <c r="F12" s="26" t="s">
        <v>4852</v>
      </c>
      <c r="G12" s="24">
        <f>CADASTROS!$F$7</f>
        <v>780</v>
      </c>
      <c r="H12" s="26">
        <f>CADASTROS!$G$7</f>
        <v>1288</v>
      </c>
      <c r="I12" s="16" t="str">
        <f>CADASTROS!$H$7</f>
        <v>835383045-9</v>
      </c>
      <c r="J12" s="18">
        <f t="shared" si="1"/>
        <v>0</v>
      </c>
      <c r="L12" s="24">
        <v>419</v>
      </c>
      <c r="M12" s="15" t="s">
        <v>4853</v>
      </c>
      <c r="N12" s="25"/>
      <c r="O12" s="25">
        <v>104</v>
      </c>
      <c r="P12" s="17">
        <v>6</v>
      </c>
      <c r="Q12" s="26" t="s">
        <v>4852</v>
      </c>
      <c r="R12" s="24">
        <v>780</v>
      </c>
      <c r="S12" s="26" t="s">
        <v>731</v>
      </c>
      <c r="T12" s="16" t="s">
        <v>923</v>
      </c>
      <c r="U12" s="18">
        <f t="shared" si="2"/>
        <v>624</v>
      </c>
    </row>
    <row r="13" spans="1:21" ht="20.100000000000001" customHeight="1" x14ac:dyDescent="0.25">
      <c r="A13" s="24">
        <f>CADASTROS!$B$8</f>
        <v>6</v>
      </c>
      <c r="B13" s="15" t="str">
        <f>CADASTROS!$C$8</f>
        <v>Luciana Lopes dos Santos</v>
      </c>
      <c r="C13" s="25"/>
      <c r="D13" s="35">
        <f>PLANILHA_COLHEITA_DIÁRIA!$I$14</f>
        <v>0</v>
      </c>
      <c r="E13" s="17">
        <v>6</v>
      </c>
      <c r="F13" s="26" t="str">
        <f>CADASTROS!$E$8</f>
        <v>Bradesco</v>
      </c>
      <c r="G13" s="24">
        <f>CADASTROS!$F$8</f>
        <v>3871</v>
      </c>
      <c r="H13" s="26" t="str">
        <f>CADASTROS!$G$8</f>
        <v>c/corr</v>
      </c>
      <c r="I13" s="16" t="str">
        <f>CADASTROS!$H$8</f>
        <v>0001786-8</v>
      </c>
      <c r="J13" s="18">
        <f t="shared" si="1"/>
        <v>0</v>
      </c>
      <c r="L13" s="24">
        <v>461</v>
      </c>
      <c r="M13" s="15" t="s">
        <v>1008</v>
      </c>
      <c r="N13" s="25"/>
      <c r="O13" s="35">
        <v>24.5</v>
      </c>
      <c r="P13" s="17">
        <v>6</v>
      </c>
      <c r="Q13" s="26" t="s">
        <v>4852</v>
      </c>
      <c r="R13" s="24">
        <v>4825</v>
      </c>
      <c r="S13" s="26" t="s">
        <v>784</v>
      </c>
      <c r="T13" s="16" t="s">
        <v>1009</v>
      </c>
      <c r="U13" s="18">
        <f t="shared" si="2"/>
        <v>147</v>
      </c>
    </row>
    <row r="14" spans="1:21" ht="20.100000000000001" customHeight="1" x14ac:dyDescent="0.25">
      <c r="A14" s="24">
        <f>CADASTROS!$B$9</f>
        <v>7</v>
      </c>
      <c r="B14" s="15" t="str">
        <f>CADASTROS!$C$9</f>
        <v>João Florencio dos Santos</v>
      </c>
      <c r="C14" s="25"/>
      <c r="D14" s="35">
        <f>PLANILHA_COLHEITA_DIÁRIA!$I$15</f>
        <v>0</v>
      </c>
      <c r="E14" s="17">
        <v>6</v>
      </c>
      <c r="F14" s="26" t="str">
        <f>CADASTROS!$E$9</f>
        <v>Cx. Econômica</v>
      </c>
      <c r="G14" s="24">
        <f>CADASTROS!$F$9</f>
        <v>4134</v>
      </c>
      <c r="H14" s="26">
        <f>CADASTROS!$G$9</f>
        <v>1288</v>
      </c>
      <c r="I14" s="16" t="str">
        <f>CADASTROS!$H$9</f>
        <v>834865481-8</v>
      </c>
      <c r="J14" s="18">
        <f t="shared" si="1"/>
        <v>0</v>
      </c>
      <c r="L14" s="24">
        <v>468</v>
      </c>
      <c r="M14" s="15" t="s">
        <v>1022</v>
      </c>
      <c r="N14" s="25"/>
      <c r="O14" s="35">
        <v>48.5</v>
      </c>
      <c r="P14" s="17">
        <v>6</v>
      </c>
      <c r="Q14" s="26" t="s">
        <v>4852</v>
      </c>
      <c r="R14" s="24">
        <v>4825</v>
      </c>
      <c r="S14" s="26" t="s">
        <v>720</v>
      </c>
      <c r="T14" s="16" t="s">
        <v>1024</v>
      </c>
      <c r="U14" s="18">
        <f t="shared" si="2"/>
        <v>291</v>
      </c>
    </row>
    <row r="15" spans="1:21" ht="20.100000000000001" customHeight="1" x14ac:dyDescent="0.25">
      <c r="A15" s="24">
        <f>CADASTROS!$B$10</f>
        <v>8</v>
      </c>
      <c r="B15" s="15" t="str">
        <f>CADASTROS!$C$10</f>
        <v>Adimaura Pires Alves</v>
      </c>
      <c r="C15" s="25"/>
      <c r="D15" s="35">
        <f>PLANILHA_COLHEITA_DIÁRIA!$I$16</f>
        <v>0</v>
      </c>
      <c r="E15" s="17">
        <v>6</v>
      </c>
      <c r="F15" s="26" t="str">
        <f>CADASTROS!$E$10</f>
        <v>Cx. Econômica</v>
      </c>
      <c r="G15" s="24">
        <f>CADASTROS!$F$10</f>
        <v>949</v>
      </c>
      <c r="H15" s="26">
        <f>CADASTROS!$G$10</f>
        <v>1288</v>
      </c>
      <c r="I15" s="16" t="str">
        <f>CADASTROS!$H$10</f>
        <v>834387733-9</v>
      </c>
      <c r="J15" s="18">
        <f t="shared" si="1"/>
        <v>0</v>
      </c>
      <c r="L15" s="24">
        <v>511</v>
      </c>
      <c r="M15" s="15" t="s">
        <v>1103</v>
      </c>
      <c r="N15" s="25"/>
      <c r="O15" s="25">
        <v>18</v>
      </c>
      <c r="P15" s="17">
        <v>6</v>
      </c>
      <c r="Q15" s="26" t="s">
        <v>4852</v>
      </c>
      <c r="R15" s="24">
        <v>4818</v>
      </c>
      <c r="S15" s="26">
        <v>13</v>
      </c>
      <c r="T15" s="16" t="s">
        <v>1104</v>
      </c>
      <c r="U15" s="18">
        <f t="shared" si="2"/>
        <v>108</v>
      </c>
    </row>
    <row r="16" spans="1:21" ht="20.100000000000001" customHeight="1" x14ac:dyDescent="0.25">
      <c r="A16" s="24">
        <f>CADASTROS!$B$11</f>
        <v>9</v>
      </c>
      <c r="B16" s="15" t="str">
        <f>CADASTROS!$C$11</f>
        <v>Railda Borges dos Santos</v>
      </c>
      <c r="C16" s="25"/>
      <c r="D16" s="35">
        <f>PLANILHA_COLHEITA_DIÁRIA!$I$17</f>
        <v>0</v>
      </c>
      <c r="E16" s="17">
        <v>6</v>
      </c>
      <c r="F16" s="26" t="str">
        <f>CADASTROS!$E$11</f>
        <v>Cx. Econômica</v>
      </c>
      <c r="G16" s="24">
        <f>CADASTROS!$F$11</f>
        <v>4825</v>
      </c>
      <c r="H16" s="26">
        <f>CADASTROS!$G$11</f>
        <v>13</v>
      </c>
      <c r="I16" s="16" t="str">
        <f>CADASTROS!$H$11</f>
        <v>00014686-0</v>
      </c>
      <c r="J16" s="18">
        <f t="shared" si="1"/>
        <v>0</v>
      </c>
      <c r="L16" s="24">
        <v>517</v>
      </c>
      <c r="M16" s="15" t="s">
        <v>4854</v>
      </c>
      <c r="N16" s="25"/>
      <c r="O16" s="35">
        <v>54.5</v>
      </c>
      <c r="P16" s="17">
        <v>6</v>
      </c>
      <c r="Q16" s="26" t="s">
        <v>4852</v>
      </c>
      <c r="R16" s="24">
        <v>949</v>
      </c>
      <c r="S16" s="26">
        <v>23</v>
      </c>
      <c r="T16" s="16" t="s">
        <v>4855</v>
      </c>
      <c r="U16" s="18">
        <f t="shared" si="2"/>
        <v>327</v>
      </c>
    </row>
    <row r="17" spans="1:21" ht="20.100000000000001" customHeight="1" x14ac:dyDescent="0.25">
      <c r="A17" s="24">
        <f>CADASTROS!$B$12</f>
        <v>10</v>
      </c>
      <c r="B17" s="15" t="str">
        <f>CADASTROS!$C$12</f>
        <v>Isabel Martins de Araújo</v>
      </c>
      <c r="C17" s="25"/>
      <c r="D17" s="35">
        <f>PLANILHA_COLHEITA_DIÁRIA!$I$18</f>
        <v>0</v>
      </c>
      <c r="E17" s="17">
        <v>6</v>
      </c>
      <c r="F17" s="26" t="str">
        <f>CADASTROS!$E$12</f>
        <v>Cx. Econômica</v>
      </c>
      <c r="G17" s="24">
        <f>CADASTROS!$F$12</f>
        <v>780</v>
      </c>
      <c r="H17" s="26">
        <f>CADASTROS!$G$12</f>
        <v>13</v>
      </c>
      <c r="I17" s="16" t="str">
        <f>CADASTROS!$H$12</f>
        <v>00067922-8</v>
      </c>
      <c r="J17" s="18">
        <f t="shared" si="1"/>
        <v>0</v>
      </c>
      <c r="L17" s="24">
        <v>696</v>
      </c>
      <c r="M17" s="15" t="s">
        <v>4856</v>
      </c>
      <c r="N17" s="25"/>
      <c r="O17" s="35">
        <v>77.5</v>
      </c>
      <c r="P17" s="17">
        <v>6</v>
      </c>
      <c r="Q17" s="26" t="s">
        <v>4852</v>
      </c>
      <c r="R17" s="24">
        <v>4818</v>
      </c>
      <c r="S17" s="26">
        <v>13</v>
      </c>
      <c r="T17" s="16" t="s">
        <v>4857</v>
      </c>
      <c r="U17" s="18">
        <f t="shared" si="2"/>
        <v>465</v>
      </c>
    </row>
    <row r="18" spans="1:21" ht="20.100000000000001" customHeight="1" x14ac:dyDescent="0.25">
      <c r="A18" s="24">
        <f>CADASTROS!$B$13</f>
        <v>11</v>
      </c>
      <c r="B18" s="15" t="str">
        <f>CADASTROS!$C$13</f>
        <v>Carlos Machado Gonçalves</v>
      </c>
      <c r="C18" s="25"/>
      <c r="D18" s="35">
        <f>PLANILHA_COLHEITA_DIÁRIA!$I$19</f>
        <v>0</v>
      </c>
      <c r="E18" s="17">
        <v>6</v>
      </c>
      <c r="F18" s="26" t="str">
        <f>CADASTROS!$E$13</f>
        <v>Banco do Brasil</v>
      </c>
      <c r="G18" s="24" t="str">
        <f>CADASTROS!$F$13</f>
        <v>2760-X</v>
      </c>
      <c r="H18" s="26" t="str">
        <f>CADASTROS!$G$13</f>
        <v>poup</v>
      </c>
      <c r="I18" s="16" t="str">
        <f>CADASTROS!$H$13</f>
        <v>21.346-2</v>
      </c>
      <c r="J18" s="18">
        <f t="shared" si="1"/>
        <v>0</v>
      </c>
      <c r="L18" s="24">
        <f>CADASTROS!$B$350</f>
        <v>348</v>
      </c>
      <c r="M18" s="15" t="str">
        <f>CADASTROS!$C$350</f>
        <v>Maria de Fátima da Silva</v>
      </c>
      <c r="N18" s="25"/>
      <c r="O18" s="25">
        <f>PLANILHA_COLHEITA_DIÁRIA!$I$573</f>
        <v>54</v>
      </c>
      <c r="P18" s="17">
        <v>6</v>
      </c>
      <c r="Q18" s="26" t="str">
        <f>CADASTROS!$E$350</f>
        <v>Cx. Econômica</v>
      </c>
      <c r="R18" s="24">
        <f>CADASTROS!$F$350</f>
        <v>4825</v>
      </c>
      <c r="S18" s="26" t="str">
        <f>CADASTROS!$G$350</f>
        <v>013</v>
      </c>
      <c r="T18" s="16" t="str">
        <f>CADASTROS!$H$350</f>
        <v>00007920-9</v>
      </c>
      <c r="U18" s="18">
        <f t="shared" si="2"/>
        <v>324</v>
      </c>
    </row>
    <row r="19" spans="1:21" ht="20.100000000000001" customHeight="1" x14ac:dyDescent="0.25">
      <c r="A19" s="24">
        <f>CADASTROS!$B$14</f>
        <v>12</v>
      </c>
      <c r="B19" s="15" t="str">
        <f>CADASTROS!$C$14</f>
        <v>Laura Mª de Jesus</v>
      </c>
      <c r="C19" s="25"/>
      <c r="D19" s="35">
        <f>PLANILHA_COLHEITA_DIÁRIA!$I$20</f>
        <v>0</v>
      </c>
      <c r="E19" s="17">
        <v>6</v>
      </c>
      <c r="F19" s="26" t="str">
        <f>CADASTROS!$E$14</f>
        <v>Cx. Econômica</v>
      </c>
      <c r="G19" s="24">
        <f>CADASTROS!$F$14</f>
        <v>4825</v>
      </c>
      <c r="H19" s="26">
        <f>CADASTROS!$G$14</f>
        <v>1288</v>
      </c>
      <c r="I19" s="16" t="str">
        <f>CADASTROS!$H$14</f>
        <v>858060344-5</v>
      </c>
      <c r="J19" s="18">
        <f t="shared" si="1"/>
        <v>0</v>
      </c>
      <c r="L19" s="24">
        <v>620</v>
      </c>
      <c r="M19" s="15" t="s">
        <v>1320</v>
      </c>
      <c r="N19" s="25"/>
      <c r="O19" s="25">
        <v>48</v>
      </c>
      <c r="P19" s="17">
        <v>6</v>
      </c>
      <c r="Q19" s="26" t="s">
        <v>4852</v>
      </c>
      <c r="R19" s="24">
        <v>780</v>
      </c>
      <c r="S19" s="26" t="s">
        <v>731</v>
      </c>
      <c r="T19" s="16" t="s">
        <v>1322</v>
      </c>
      <c r="U19" s="18">
        <f t="shared" si="2"/>
        <v>288</v>
      </c>
    </row>
    <row r="20" spans="1:21" ht="20.100000000000001" customHeight="1" x14ac:dyDescent="0.25">
      <c r="A20" s="24">
        <f>CADASTROS!$B$15</f>
        <v>13</v>
      </c>
      <c r="B20" s="15" t="str">
        <f>CADASTROS!$C$15</f>
        <v>Agamenon de Sousa Teixeira</v>
      </c>
      <c r="C20" s="25"/>
      <c r="D20" s="35">
        <f>PLANILHA_COLHEITA_DIÁRIA!$I$21</f>
        <v>0</v>
      </c>
      <c r="E20" s="17">
        <v>6</v>
      </c>
      <c r="F20" s="26" t="str">
        <f>CADASTROS!$E$15</f>
        <v>Bradesco</v>
      </c>
      <c r="G20" s="24">
        <f>CADASTROS!$F$15</f>
        <v>3925</v>
      </c>
      <c r="H20" s="26" t="str">
        <f>CADASTROS!$G$15</f>
        <v>c/corr</v>
      </c>
      <c r="I20" s="16" t="str">
        <f>CADASTROS!$H$15</f>
        <v>0799579-2</v>
      </c>
      <c r="J20" s="18">
        <f t="shared" si="1"/>
        <v>0</v>
      </c>
      <c r="L20" s="24">
        <v>622</v>
      </c>
      <c r="M20" s="15" t="s">
        <v>4858</v>
      </c>
      <c r="N20" s="25"/>
      <c r="O20" s="35">
        <v>43</v>
      </c>
      <c r="P20" s="17">
        <v>6</v>
      </c>
      <c r="Q20" s="26" t="s">
        <v>4852</v>
      </c>
      <c r="R20" s="24">
        <v>780</v>
      </c>
      <c r="S20" s="26" t="s">
        <v>731</v>
      </c>
      <c r="T20" s="16" t="s">
        <v>1326</v>
      </c>
      <c r="U20" s="18">
        <f t="shared" si="2"/>
        <v>258</v>
      </c>
    </row>
    <row r="21" spans="1:21" ht="20.100000000000001" customHeight="1" x14ac:dyDescent="0.25">
      <c r="A21" s="24">
        <f>CADASTROS!$B$16</f>
        <v>14</v>
      </c>
      <c r="B21" s="15" t="str">
        <f>CADASTROS!$C$16</f>
        <v>Gabriel Souza dos Santos</v>
      </c>
      <c r="C21" s="25"/>
      <c r="D21" s="35">
        <f>PLANILHA_COLHEITA_DIÁRIA!$I$22</f>
        <v>0</v>
      </c>
      <c r="E21" s="17">
        <v>6</v>
      </c>
      <c r="F21" s="26" t="str">
        <f>CADASTROS!$E$16</f>
        <v>Bradesco</v>
      </c>
      <c r="G21" s="24" t="str">
        <f>CADASTROS!$F$16</f>
        <v>3801-6</v>
      </c>
      <c r="H21" s="26" t="str">
        <f>CADASTROS!$G$16</f>
        <v>c/corr</v>
      </c>
      <c r="I21" s="16" t="str">
        <f>CADASTROS!$H$16</f>
        <v>0003748-6</v>
      </c>
      <c r="J21" s="18">
        <f t="shared" si="1"/>
        <v>0</v>
      </c>
      <c r="L21" s="24">
        <f>CADASTROS!$B$421</f>
        <v>419</v>
      </c>
      <c r="M21" s="15" t="str">
        <f>CADASTROS!$C$421</f>
        <v>Maria Núbia Fernandes da Silva</v>
      </c>
      <c r="N21" s="25"/>
      <c r="O21" s="35">
        <f>PLANILHA_COLHEITA_DIÁRIA!$I$676</f>
        <v>9</v>
      </c>
      <c r="P21" s="17">
        <v>6</v>
      </c>
      <c r="Q21" s="26" t="str">
        <f>CADASTROS!$E$421</f>
        <v>Cx. Econômica</v>
      </c>
      <c r="R21" s="24">
        <f>CADASTROS!$F$421</f>
        <v>780</v>
      </c>
      <c r="S21" s="26" t="str">
        <f>CADASTROS!$G$421</f>
        <v>023</v>
      </c>
      <c r="T21" s="16" t="str">
        <f>CADASTROS!$H$421</f>
        <v>00012471-1</v>
      </c>
      <c r="U21" s="18">
        <f t="shared" si="2"/>
        <v>54</v>
      </c>
    </row>
    <row r="22" spans="1:21" ht="20.100000000000001" customHeight="1" x14ac:dyDescent="0.25">
      <c r="A22" s="24">
        <f>CADASTROS!$B$17</f>
        <v>15</v>
      </c>
      <c r="B22" s="15" t="str">
        <f>CADASTROS!$C$17</f>
        <v>Maurivalda O Santana</v>
      </c>
      <c r="C22" s="25"/>
      <c r="D22" s="35">
        <f>PLANILHA_COLHEITA_DIÁRIA!$I$23</f>
        <v>0</v>
      </c>
      <c r="E22" s="17">
        <v>6</v>
      </c>
      <c r="F22" s="26" t="str">
        <f>CADASTROS!$E$17</f>
        <v>Cx. Econômica</v>
      </c>
      <c r="G22" s="24">
        <f>CADASTROS!$F$17</f>
        <v>949</v>
      </c>
      <c r="H22" s="26">
        <f>CADASTROS!$G$17</f>
        <v>13</v>
      </c>
      <c r="I22" s="16" t="str">
        <f>CADASTROS!$H$17</f>
        <v>00063978-0</v>
      </c>
      <c r="J22" s="18">
        <f t="shared" si="1"/>
        <v>0</v>
      </c>
      <c r="L22" s="24">
        <v>719</v>
      </c>
      <c r="M22" s="15" t="s">
        <v>1519</v>
      </c>
      <c r="N22" s="25"/>
      <c r="O22" s="35">
        <v>21</v>
      </c>
      <c r="P22" s="17">
        <v>6</v>
      </c>
      <c r="Q22" s="26" t="s">
        <v>4852</v>
      </c>
      <c r="R22" s="24">
        <v>4825</v>
      </c>
      <c r="S22" s="26">
        <v>1288</v>
      </c>
      <c r="T22" s="16" t="s">
        <v>1520</v>
      </c>
      <c r="U22" s="18">
        <f t="shared" si="2"/>
        <v>126</v>
      </c>
    </row>
    <row r="23" spans="1:21" ht="20.100000000000001" customHeight="1" x14ac:dyDescent="0.25">
      <c r="A23" s="24">
        <f>CADASTROS!$B$18</f>
        <v>16</v>
      </c>
      <c r="B23" s="15" t="str">
        <f>CADASTROS!$C$18</f>
        <v>Mª da Conceição P Silva</v>
      </c>
      <c r="C23" s="25"/>
      <c r="D23" s="35">
        <f>PLANILHA_COLHEITA_DIÁRIA!$I$24</f>
        <v>0</v>
      </c>
      <c r="E23" s="17">
        <v>6</v>
      </c>
      <c r="F23" s="26" t="str">
        <f>CADASTROS!$E$18</f>
        <v>Cx. Econômica</v>
      </c>
      <c r="G23" s="24">
        <f>CADASTROS!$F$18</f>
        <v>949</v>
      </c>
      <c r="H23" s="26">
        <f>CADASTROS!$G$18</f>
        <v>23</v>
      </c>
      <c r="I23" s="16" t="str">
        <f>CADASTROS!$H$18</f>
        <v>00011696-2</v>
      </c>
      <c r="J23" s="18">
        <f t="shared" si="1"/>
        <v>0</v>
      </c>
      <c r="L23" s="24">
        <v>811</v>
      </c>
      <c r="M23" s="15" t="s">
        <v>1705</v>
      </c>
      <c r="N23" s="25"/>
      <c r="O23" s="35">
        <v>35</v>
      </c>
      <c r="P23" s="17">
        <v>6</v>
      </c>
      <c r="Q23" s="26" t="s">
        <v>4852</v>
      </c>
      <c r="R23" s="24">
        <v>4818</v>
      </c>
      <c r="S23" s="26">
        <v>13</v>
      </c>
      <c r="T23" s="16" t="s">
        <v>4859</v>
      </c>
      <c r="U23" s="18">
        <f t="shared" si="2"/>
        <v>210</v>
      </c>
    </row>
    <row r="24" spans="1:21" ht="20.100000000000001" customHeight="1" x14ac:dyDescent="0.25">
      <c r="A24" s="24">
        <f>CADASTROS!$B$19</f>
        <v>17</v>
      </c>
      <c r="B24" s="15" t="str">
        <f>CADASTROS!$C$19</f>
        <v>Juliana Soares Silva</v>
      </c>
      <c r="C24" s="25"/>
      <c r="D24" s="41">
        <f>PLANILHA_COLHEITA_DIÁRIA!$I$25</f>
        <v>0</v>
      </c>
      <c r="E24" s="17">
        <v>6</v>
      </c>
      <c r="F24" s="26" t="str">
        <f>CADASTROS!$E$19</f>
        <v>Sincoob</v>
      </c>
      <c r="G24" s="24">
        <f>CADASTROS!$F$19</f>
        <v>3025</v>
      </c>
      <c r="H24" s="26">
        <f>CADASTROS!$G$19</f>
        <v>0</v>
      </c>
      <c r="I24" s="16">
        <f>CADASTROS!$H$19</f>
        <v>0</v>
      </c>
      <c r="J24" s="18">
        <f t="shared" si="1"/>
        <v>0</v>
      </c>
      <c r="L24" s="24">
        <v>868</v>
      </c>
      <c r="M24" s="15" t="s">
        <v>1825</v>
      </c>
      <c r="N24" s="25"/>
      <c r="O24" s="25">
        <v>28.5</v>
      </c>
      <c r="P24" s="17">
        <v>6</v>
      </c>
      <c r="Q24" s="26" t="s">
        <v>4852</v>
      </c>
      <c r="R24" s="24">
        <v>4818</v>
      </c>
      <c r="S24" s="26">
        <v>1288</v>
      </c>
      <c r="T24" s="16" t="s">
        <v>1826</v>
      </c>
      <c r="U24" s="18">
        <f t="shared" si="2"/>
        <v>171</v>
      </c>
    </row>
    <row r="25" spans="1:21" ht="20.100000000000001" customHeight="1" x14ac:dyDescent="0.25">
      <c r="A25" s="24">
        <f>CADASTROS!$B$20</f>
        <v>18</v>
      </c>
      <c r="B25" s="15" t="str">
        <f>CADASTROS!$C$20</f>
        <v>Elixandra Paiva de Souza</v>
      </c>
      <c r="C25" s="25"/>
      <c r="D25" s="35">
        <f>PLANILHA_COLHEITA_DIÁRIA!$I$26</f>
        <v>0</v>
      </c>
      <c r="E25" s="17">
        <v>6</v>
      </c>
      <c r="F25" s="26" t="str">
        <f>CADASTROS!$E$20</f>
        <v>Cx. Econômica</v>
      </c>
      <c r="G25" s="24">
        <f>CADASTROS!$F$20</f>
        <v>780</v>
      </c>
      <c r="H25" s="26">
        <f>CADASTROS!$G$20</f>
        <v>1288</v>
      </c>
      <c r="I25" s="16" t="str">
        <f>CADASTROS!$H$20</f>
        <v>833543019-3</v>
      </c>
      <c r="J25" s="18">
        <f t="shared" si="1"/>
        <v>0</v>
      </c>
      <c r="L25" s="24">
        <v>887</v>
      </c>
      <c r="M25" s="15" t="s">
        <v>1863</v>
      </c>
      <c r="N25" s="25"/>
      <c r="O25" s="25">
        <v>22.5</v>
      </c>
      <c r="P25" s="17">
        <v>6</v>
      </c>
      <c r="Q25" s="26" t="s">
        <v>4852</v>
      </c>
      <c r="R25" s="24">
        <v>949</v>
      </c>
      <c r="S25" s="26">
        <v>23</v>
      </c>
      <c r="T25" s="16" t="s">
        <v>4860</v>
      </c>
      <c r="U25" s="18">
        <f t="shared" si="2"/>
        <v>135</v>
      </c>
    </row>
    <row r="26" spans="1:21" ht="20.100000000000001" customHeight="1" x14ac:dyDescent="0.25">
      <c r="A26" s="24">
        <f>CADASTROS!$B$21</f>
        <v>19</v>
      </c>
      <c r="B26" s="15" t="str">
        <f>CADASTROS!$C$21</f>
        <v>Eletícia Rodrigues Oliveira</v>
      </c>
      <c r="C26" s="25"/>
      <c r="D26" s="41">
        <f>PLANILHA_COLHEITA_DIÁRIA!$I$27</f>
        <v>0</v>
      </c>
      <c r="E26" s="17">
        <v>6</v>
      </c>
      <c r="F26" s="26" t="str">
        <f>CADASTROS!$E$21</f>
        <v>Cx. Econômica</v>
      </c>
      <c r="G26" s="24">
        <f>CADASTROS!$F$21</f>
        <v>780</v>
      </c>
      <c r="H26" s="26" t="s">
        <v>4861</v>
      </c>
      <c r="I26" s="16" t="str">
        <f>CADASTROS!$H$21</f>
        <v>835383228-1</v>
      </c>
      <c r="J26" s="18">
        <f t="shared" si="1"/>
        <v>0</v>
      </c>
      <c r="L26" s="24">
        <f>CADASTROS!$B$526</f>
        <v>524</v>
      </c>
      <c r="M26" s="15" t="str">
        <f>CADASTROS!$C$526</f>
        <v>Maria Fonseca de Oliveira</v>
      </c>
      <c r="N26" s="25"/>
      <c r="O26" s="25">
        <f>PLANILHA_COLHEITA_DIÁRIA!$I$845</f>
        <v>12</v>
      </c>
      <c r="P26" s="17">
        <v>6</v>
      </c>
      <c r="Q26" s="26" t="str">
        <f>CADASTROS!$E$526</f>
        <v>Cx. Econômica</v>
      </c>
      <c r="R26" s="24">
        <f>CADASTROS!$F$526</f>
        <v>780</v>
      </c>
      <c r="S26" s="26">
        <f>CADASTROS!$G$526</f>
        <v>13</v>
      </c>
      <c r="T26" s="16" t="str">
        <f>CADASTROS!$H$526</f>
        <v>00014508-8</v>
      </c>
      <c r="U26" s="18">
        <f t="shared" si="2"/>
        <v>72</v>
      </c>
    </row>
    <row r="27" spans="1:21" ht="20.100000000000001" customHeight="1" x14ac:dyDescent="0.25">
      <c r="A27" s="24">
        <f>CADASTROS!$B$22</f>
        <v>20</v>
      </c>
      <c r="B27" s="15" t="str">
        <f>CADASTROS!$C$22</f>
        <v>Patrícia Santos dos Anjos</v>
      </c>
      <c r="C27" s="25"/>
      <c r="D27" s="41">
        <f>PLANILHA_COLHEITA_DIÁRIA!$I$28</f>
        <v>0</v>
      </c>
      <c r="E27" s="17">
        <v>6</v>
      </c>
      <c r="F27" s="26" t="str">
        <f>CADASTROS!$E$22</f>
        <v>Cx. Econômica</v>
      </c>
      <c r="G27" s="24">
        <f>CADASTROS!$F$22</f>
        <v>4825</v>
      </c>
      <c r="H27" s="26">
        <f>CADASTROS!$G$22</f>
        <v>1288</v>
      </c>
      <c r="I27" s="16" t="str">
        <f>CADASTROS!$H$22</f>
        <v>849661684-1</v>
      </c>
      <c r="J27" s="18">
        <f t="shared" si="1"/>
        <v>0</v>
      </c>
      <c r="L27" s="24">
        <v>834</v>
      </c>
      <c r="M27" s="15" t="s">
        <v>1753</v>
      </c>
      <c r="N27" s="25"/>
      <c r="O27" s="35">
        <v>67.5</v>
      </c>
      <c r="P27" s="17">
        <v>6</v>
      </c>
      <c r="Q27" s="26" t="s">
        <v>4852</v>
      </c>
      <c r="R27" s="24">
        <v>128</v>
      </c>
      <c r="S27" s="26">
        <v>13</v>
      </c>
      <c r="T27" s="16" t="s">
        <v>1754</v>
      </c>
      <c r="U27" s="18">
        <f t="shared" si="2"/>
        <v>405</v>
      </c>
    </row>
    <row r="28" spans="1:21" ht="20.100000000000001" customHeight="1" x14ac:dyDescent="0.25">
      <c r="A28" s="24">
        <f>CADASTROS!$B$23</f>
        <v>21</v>
      </c>
      <c r="B28" s="15" t="str">
        <f>CADASTROS!$C$23</f>
        <v>Leonete Santiago dos Santos</v>
      </c>
      <c r="C28" s="25"/>
      <c r="D28" s="35">
        <f>PLANILHA_COLHEITA_DIÁRIA!$I$29</f>
        <v>0</v>
      </c>
      <c r="E28" s="17">
        <v>6</v>
      </c>
      <c r="F28" s="26" t="str">
        <f>CADASTROS!$E$23</f>
        <v>Bradesco</v>
      </c>
      <c r="G28" s="24" t="str">
        <f>CADASTROS!$F$23</f>
        <v>0373-7</v>
      </c>
      <c r="H28" s="26" t="str">
        <f>CADASTROS!$G$23</f>
        <v>c/corr</v>
      </c>
      <c r="I28" s="16" t="str">
        <f>CADASTROS!$H$23</f>
        <v>0241766-9</v>
      </c>
      <c r="J28" s="18">
        <f t="shared" si="1"/>
        <v>0</v>
      </c>
      <c r="L28" s="24">
        <v>846</v>
      </c>
      <c r="M28" s="15" t="s">
        <v>4862</v>
      </c>
      <c r="N28" s="25"/>
      <c r="O28" s="35">
        <v>87.5</v>
      </c>
      <c r="P28" s="17">
        <v>6</v>
      </c>
      <c r="Q28" s="26" t="s">
        <v>4852</v>
      </c>
      <c r="R28" s="24">
        <v>4825</v>
      </c>
      <c r="S28" s="26">
        <v>13</v>
      </c>
      <c r="T28" s="16" t="s">
        <v>1781</v>
      </c>
      <c r="U28" s="18">
        <f t="shared" si="2"/>
        <v>525</v>
      </c>
    </row>
    <row r="29" spans="1:21" ht="20.100000000000001" customHeight="1" x14ac:dyDescent="0.25">
      <c r="A29" s="24">
        <f>CADASTROS!$B$24</f>
        <v>22</v>
      </c>
      <c r="B29" s="15" t="str">
        <f>CADASTROS!$C$24</f>
        <v>Joelma Mª de Jesus</v>
      </c>
      <c r="C29" s="25"/>
      <c r="D29" s="41">
        <f>PLANILHA_COLHEITA_DIÁRIA!$I$30</f>
        <v>22</v>
      </c>
      <c r="E29" s="17">
        <v>6</v>
      </c>
      <c r="F29" s="26" t="str">
        <f>CADASTROS!$E$24</f>
        <v>Cx. Econômica</v>
      </c>
      <c r="G29" s="24">
        <f>CADASTROS!$F$24</f>
        <v>780</v>
      </c>
      <c r="H29" s="26">
        <f>CADASTROS!$G$24</f>
        <v>23</v>
      </c>
      <c r="I29" s="16" t="str">
        <f>CADASTROS!$H$24</f>
        <v>00009523-1</v>
      </c>
      <c r="J29" s="18">
        <f t="shared" si="1"/>
        <v>132</v>
      </c>
      <c r="L29" s="24">
        <v>848</v>
      </c>
      <c r="M29" s="15" t="s">
        <v>1784</v>
      </c>
      <c r="N29" s="25"/>
      <c r="O29" s="35">
        <v>206</v>
      </c>
      <c r="P29" s="17">
        <v>6</v>
      </c>
      <c r="Q29" s="26" t="s">
        <v>4852</v>
      </c>
      <c r="R29" s="24">
        <v>4825</v>
      </c>
      <c r="S29" s="26">
        <v>13</v>
      </c>
      <c r="T29" s="16" t="s">
        <v>1785</v>
      </c>
      <c r="U29" s="18">
        <f t="shared" si="2"/>
        <v>1236</v>
      </c>
    </row>
    <row r="30" spans="1:21" ht="20.100000000000001" customHeight="1" x14ac:dyDescent="0.25">
      <c r="A30" s="24">
        <f>CADASTROS!$B$25</f>
        <v>23</v>
      </c>
      <c r="B30" s="15" t="str">
        <f>CADASTROS!$C$25</f>
        <v>Adriana Silva da Cruz</v>
      </c>
      <c r="C30" s="25"/>
      <c r="D30" s="35">
        <f>PLANILHA_COLHEITA_DIÁRIA!$I$31</f>
        <v>0</v>
      </c>
      <c r="E30" s="17">
        <v>6</v>
      </c>
      <c r="F30" s="26" t="str">
        <f>CADASTROS!$E$25</f>
        <v>Cx. Econômica</v>
      </c>
      <c r="G30" s="24">
        <f>CADASTROS!$F$25</f>
        <v>2734</v>
      </c>
      <c r="H30" s="26">
        <f>CADASTROS!$G$25</f>
        <v>1288</v>
      </c>
      <c r="I30" s="16" t="str">
        <f>CADASTROS!$H$25</f>
        <v>802856816-3</v>
      </c>
      <c r="J30" s="18">
        <f t="shared" si="1"/>
        <v>0</v>
      </c>
      <c r="L30" s="24">
        <f>CADASTROS!$B$600</f>
        <v>598</v>
      </c>
      <c r="M30" s="15" t="str">
        <f>CADASTROS!$C$600</f>
        <v>Elissandro Lopes de Souza</v>
      </c>
      <c r="N30" s="25"/>
      <c r="O30" s="35">
        <f>PLANILHA_COLHEITA_DIÁRIA!$I$967</f>
        <v>13.5</v>
      </c>
      <c r="P30" s="17">
        <v>6</v>
      </c>
      <c r="Q30" s="26" t="str">
        <f>CADASTROS!$E$600</f>
        <v>Cx. Econômica</v>
      </c>
      <c r="R30" s="24">
        <f>CADASTROS!$F$600</f>
        <v>2734</v>
      </c>
      <c r="S30" s="26" t="str">
        <f>CADASTROS!$G$600</f>
        <v>013</v>
      </c>
      <c r="T30" s="16" t="str">
        <f>CADASTROS!$H$600</f>
        <v>00055191-9</v>
      </c>
      <c r="U30" s="18">
        <f t="shared" si="2"/>
        <v>81</v>
      </c>
    </row>
    <row r="31" spans="1:21" ht="20.100000000000001" customHeight="1" x14ac:dyDescent="0.25">
      <c r="A31" s="24">
        <f>CADASTROS!$B$26</f>
        <v>24</v>
      </c>
      <c r="B31" s="15" t="str">
        <f>CADASTROS!$C$26</f>
        <v>Neusvaldo Ferreira Miranda</v>
      </c>
      <c r="C31" s="25"/>
      <c r="D31" s="35">
        <f>PLANILHA_COLHEITA_DIÁRIA!$I$32</f>
        <v>0</v>
      </c>
      <c r="E31" s="17">
        <v>6</v>
      </c>
      <c r="F31" s="26" t="str">
        <f>CADASTROS!$E$26</f>
        <v>Bradesco</v>
      </c>
      <c r="G31" s="24" t="str">
        <f>CADASTROS!$F$26</f>
        <v>1958-5</v>
      </c>
      <c r="H31" s="26" t="str">
        <f>CADASTROS!$G$26</f>
        <v>c/corr</v>
      </c>
      <c r="I31" s="16" t="str">
        <f>CADASTROS!$H$26</f>
        <v>0033847-8</v>
      </c>
      <c r="J31" s="18">
        <f t="shared" si="1"/>
        <v>0</v>
      </c>
      <c r="L31" s="24">
        <v>909</v>
      </c>
      <c r="M31" s="15" t="s">
        <v>1906</v>
      </c>
      <c r="N31" s="25"/>
      <c r="O31" s="25">
        <v>50</v>
      </c>
      <c r="P31" s="17">
        <v>6</v>
      </c>
      <c r="Q31" s="26" t="s">
        <v>4852</v>
      </c>
      <c r="R31" s="24">
        <v>4818</v>
      </c>
      <c r="S31" s="26">
        <v>13</v>
      </c>
      <c r="T31" s="16" t="s">
        <v>1908</v>
      </c>
      <c r="U31" s="18">
        <f t="shared" si="2"/>
        <v>300</v>
      </c>
    </row>
    <row r="32" spans="1:21" ht="20.100000000000001" customHeight="1" x14ac:dyDescent="0.25">
      <c r="A32" s="24">
        <f>CADASTROS!$B$27</f>
        <v>25</v>
      </c>
      <c r="B32" s="15" t="str">
        <f>CADASTROS!$C$27</f>
        <v>Silvania Conceição Cedro</v>
      </c>
      <c r="C32" s="25"/>
      <c r="D32" s="35">
        <f>PLANILHA_COLHEITA_DIÁRIA!$I$33</f>
        <v>0</v>
      </c>
      <c r="E32" s="17">
        <v>6</v>
      </c>
      <c r="F32" s="26" t="str">
        <f>CADASTROS!$E$27</f>
        <v>Cx. Econômica</v>
      </c>
      <c r="G32" s="24">
        <f>CADASTROS!$F$27</f>
        <v>4825</v>
      </c>
      <c r="H32" s="26">
        <f>CADASTROS!$G$27</f>
        <v>0</v>
      </c>
      <c r="I32" s="16" t="str">
        <f>CADASTROS!$H$27</f>
        <v>000850740704-6</v>
      </c>
      <c r="J32" s="18">
        <f t="shared" si="1"/>
        <v>0</v>
      </c>
      <c r="L32" s="24">
        <v>920</v>
      </c>
      <c r="M32" s="15" t="s">
        <v>1927</v>
      </c>
      <c r="N32" s="25"/>
      <c r="O32" s="25">
        <v>24.5</v>
      </c>
      <c r="P32" s="17">
        <v>6</v>
      </c>
      <c r="Q32" s="26" t="s">
        <v>4852</v>
      </c>
      <c r="R32" s="24">
        <v>949</v>
      </c>
      <c r="S32" s="26">
        <v>23</v>
      </c>
      <c r="T32" s="16" t="s">
        <v>4863</v>
      </c>
      <c r="U32" s="18">
        <f t="shared" si="2"/>
        <v>147</v>
      </c>
    </row>
    <row r="33" spans="1:21" ht="20.100000000000001" customHeight="1" x14ac:dyDescent="0.25">
      <c r="A33" s="24">
        <f>CADASTROS!$B$28</f>
        <v>26</v>
      </c>
      <c r="B33" s="15" t="str">
        <f>CADASTROS!$C$28</f>
        <v>Jeane Boaventura de Carvalho</v>
      </c>
      <c r="C33" s="25"/>
      <c r="D33" s="35">
        <f>PLANILHA_COLHEITA_DIÁRIA!$I$34</f>
        <v>0</v>
      </c>
      <c r="E33" s="17">
        <v>6</v>
      </c>
      <c r="F33" s="26" t="str">
        <f>CADASTROS!$E$28</f>
        <v>Cx. Econômica</v>
      </c>
      <c r="G33" s="24">
        <f>CADASTROS!$F$28</f>
        <v>780</v>
      </c>
      <c r="H33" s="26">
        <f>CADASTROS!$G$28</f>
        <v>1288</v>
      </c>
      <c r="I33" s="16" t="str">
        <f>CADASTROS!$H$28</f>
        <v>834462003-0</v>
      </c>
      <c r="J33" s="18">
        <f t="shared" si="1"/>
        <v>0</v>
      </c>
      <c r="L33" s="24">
        <v>956</v>
      </c>
      <c r="M33" s="15" t="s">
        <v>1995</v>
      </c>
      <c r="N33" s="25"/>
      <c r="O33" s="35">
        <v>36.5</v>
      </c>
      <c r="P33" s="17">
        <v>6</v>
      </c>
      <c r="Q33" s="26" t="s">
        <v>4852</v>
      </c>
      <c r="R33" s="24">
        <v>2712</v>
      </c>
      <c r="S33" s="26">
        <v>13</v>
      </c>
      <c r="T33" s="16" t="s">
        <v>4864</v>
      </c>
      <c r="U33" s="18">
        <f t="shared" si="2"/>
        <v>219</v>
      </c>
    </row>
    <row r="34" spans="1:21" ht="20.100000000000001" customHeight="1" x14ac:dyDescent="0.25">
      <c r="A34" s="24">
        <f>CADASTROS!$B$29</f>
        <v>27</v>
      </c>
      <c r="B34" s="15" t="str">
        <f>CADASTROS!$C$29</f>
        <v>Anisia Teles dos Santos</v>
      </c>
      <c r="C34" s="25"/>
      <c r="D34" s="41">
        <f>PLANILHA_COLHEITA_DIÁRIA!$I$50</f>
        <v>0</v>
      </c>
      <c r="E34" s="17">
        <v>6</v>
      </c>
      <c r="F34" s="26" t="str">
        <f>CADASTROS!$E$29</f>
        <v>Bradesco</v>
      </c>
      <c r="G34" s="24" t="str">
        <f>CADASTROS!$F$29</f>
        <v>3655-2</v>
      </c>
      <c r="H34" s="26" t="str">
        <f>CADASTROS!$G$29</f>
        <v>c/corr</v>
      </c>
      <c r="I34" s="16" t="str">
        <f>CADASTROS!$H$29</f>
        <v>0521664-8</v>
      </c>
      <c r="J34" s="18">
        <f t="shared" si="1"/>
        <v>0</v>
      </c>
      <c r="L34" s="24">
        <v>970</v>
      </c>
      <c r="M34" s="15" t="s">
        <v>2023</v>
      </c>
      <c r="N34" s="25"/>
      <c r="O34" s="35">
        <v>44.5</v>
      </c>
      <c r="P34" s="17">
        <v>6</v>
      </c>
      <c r="Q34" s="26" t="s">
        <v>4865</v>
      </c>
      <c r="R34" s="24">
        <v>4818</v>
      </c>
      <c r="S34" s="26">
        <v>13</v>
      </c>
      <c r="T34" s="16" t="s">
        <v>2024</v>
      </c>
      <c r="U34" s="18">
        <f t="shared" si="2"/>
        <v>267</v>
      </c>
    </row>
    <row r="35" spans="1:21" ht="20.100000000000001" customHeight="1" x14ac:dyDescent="0.25">
      <c r="A35" s="24">
        <f>CADASTROS!$B$30</f>
        <v>28</v>
      </c>
      <c r="B35" s="15" t="str">
        <f>CADASTROS!$C$30</f>
        <v>Evani Claudina de Oliveira</v>
      </c>
      <c r="C35" s="25"/>
      <c r="D35" s="35">
        <f>PLANILHA_COLHEITA_DIÁRIA!$I$51</f>
        <v>0</v>
      </c>
      <c r="E35" s="17">
        <v>6</v>
      </c>
      <c r="F35" s="26" t="str">
        <f>CADASTROS!$E$30</f>
        <v>Cx. Econômica</v>
      </c>
      <c r="G35" s="24">
        <f>CADASTROS!$F$30</f>
        <v>4601</v>
      </c>
      <c r="H35" s="26">
        <f>CADASTROS!$G$30</f>
        <v>1288</v>
      </c>
      <c r="I35" s="16" t="str">
        <f>CADASTROS!$H$30</f>
        <v>875903347-7</v>
      </c>
      <c r="J35" s="18">
        <f t="shared" si="1"/>
        <v>0</v>
      </c>
      <c r="L35" s="24">
        <v>997</v>
      </c>
      <c r="M35" s="15" t="s">
        <v>2078</v>
      </c>
      <c r="N35" s="25"/>
      <c r="O35" s="35">
        <v>32</v>
      </c>
      <c r="P35" s="17">
        <v>6</v>
      </c>
      <c r="Q35" s="26" t="s">
        <v>4865</v>
      </c>
      <c r="R35" s="24">
        <v>949</v>
      </c>
      <c r="S35" s="26">
        <v>23</v>
      </c>
      <c r="T35" s="16" t="s">
        <v>2079</v>
      </c>
      <c r="U35" s="18">
        <f t="shared" si="2"/>
        <v>192</v>
      </c>
    </row>
    <row r="36" spans="1:21" ht="20.100000000000001" customHeight="1" x14ac:dyDescent="0.25">
      <c r="A36" s="24">
        <f>CADASTROS!$B$31</f>
        <v>29</v>
      </c>
      <c r="B36" s="15" t="str">
        <f>CADASTROS!$C$31</f>
        <v>Eugênio Sérgio dos S Pereira</v>
      </c>
      <c r="C36" s="25"/>
      <c r="D36" s="35">
        <f>PLANILHA_COLHEITA_DIÁRIA!$I$52</f>
        <v>45</v>
      </c>
      <c r="E36" s="17">
        <v>6</v>
      </c>
      <c r="F36" s="26" t="str">
        <f>CADASTROS!$E$31</f>
        <v>Cx. Econômica</v>
      </c>
      <c r="G36" s="24">
        <f>CADASTROS!$F$31</f>
        <v>4825</v>
      </c>
      <c r="H36" s="26">
        <f>CADASTROS!$G$31</f>
        <v>13</v>
      </c>
      <c r="I36" s="16" t="str">
        <f>CADASTROS!$H$31</f>
        <v>00003737-9</v>
      </c>
      <c r="J36" s="18">
        <f t="shared" si="1"/>
        <v>270</v>
      </c>
      <c r="L36" s="24">
        <v>1013</v>
      </c>
      <c r="M36" s="15" t="s">
        <v>2107</v>
      </c>
      <c r="N36" s="25"/>
      <c r="O36" s="35">
        <v>17.5</v>
      </c>
      <c r="P36" s="17">
        <v>6</v>
      </c>
      <c r="Q36" s="26" t="s">
        <v>4865</v>
      </c>
      <c r="R36" s="24">
        <v>949</v>
      </c>
      <c r="S36" s="26">
        <v>1288</v>
      </c>
      <c r="T36" s="16" t="s">
        <v>2109</v>
      </c>
      <c r="U36" s="18">
        <f t="shared" si="2"/>
        <v>105</v>
      </c>
    </row>
    <row r="37" spans="1:21" ht="20.100000000000001" customHeight="1" x14ac:dyDescent="0.25">
      <c r="A37" s="24">
        <f>CADASTROS!$B$32</f>
        <v>30</v>
      </c>
      <c r="B37" s="15" t="str">
        <f>CADASTROS!$C$32</f>
        <v>Sirleide Miranda D Santos</v>
      </c>
      <c r="C37" s="25"/>
      <c r="D37" s="35">
        <f>PLANILHA_COLHEITA_DIÁRIA!$I$53</f>
        <v>0</v>
      </c>
      <c r="E37" s="17">
        <v>6</v>
      </c>
      <c r="F37" s="26" t="str">
        <f>CADASTROS!$E$32</f>
        <v>Cx. Econômica</v>
      </c>
      <c r="G37" s="24">
        <f>CADASTROS!$F$32</f>
        <v>4825</v>
      </c>
      <c r="H37" s="26">
        <f>CADASTROS!$G$32</f>
        <v>13</v>
      </c>
      <c r="I37" s="16" t="str">
        <f>CADASTROS!$H$32</f>
        <v>00009065-2</v>
      </c>
      <c r="J37" s="18">
        <f t="shared" si="1"/>
        <v>0</v>
      </c>
      <c r="L37" s="24">
        <f>CADASTROS!$B$727</f>
        <v>725</v>
      </c>
      <c r="M37" s="15" t="str">
        <f>CADASTROS!$C$727</f>
        <v>Valdionor Caetano de Souza</v>
      </c>
      <c r="N37" s="25"/>
      <c r="O37" s="35">
        <f>PLANILHA_COLHEITA_DIÁRIA!$I$1106</f>
        <v>66</v>
      </c>
      <c r="P37" s="17">
        <v>6</v>
      </c>
      <c r="Q37" s="26" t="str">
        <f>CADASTROS!$E$727</f>
        <v>Cx. Econômica</v>
      </c>
      <c r="R37" s="24">
        <f>CADASTROS!$F$727</f>
        <v>780</v>
      </c>
      <c r="S37" s="26">
        <f>CADASTROS!$G$727</f>
        <v>13</v>
      </c>
      <c r="T37" s="16" t="str">
        <f>CADASTROS!$H$727</f>
        <v>00009893-4</v>
      </c>
      <c r="U37" s="18">
        <f t="shared" si="2"/>
        <v>396</v>
      </c>
    </row>
    <row r="38" spans="1:21" ht="20.100000000000001" customHeight="1" x14ac:dyDescent="0.25">
      <c r="A38" s="24">
        <f>CADASTROS!$B$33</f>
        <v>31</v>
      </c>
      <c r="B38" s="15" t="str">
        <f>CADASTROS!$C$33</f>
        <v>Neuraci Marques Ramos</v>
      </c>
      <c r="C38" s="25"/>
      <c r="D38" s="35">
        <f>PLANILHA_COLHEITA_DIÁRIA!$I$54</f>
        <v>18</v>
      </c>
      <c r="E38" s="17">
        <v>6</v>
      </c>
      <c r="F38" s="26" t="str">
        <f>CADASTROS!$E$33</f>
        <v>Cx. Econômica</v>
      </c>
      <c r="G38" s="24">
        <f>CADASTROS!$F$32</f>
        <v>4825</v>
      </c>
      <c r="H38" s="26">
        <f>CADASTROS!$G$33</f>
        <v>23</v>
      </c>
      <c r="I38" s="16" t="str">
        <f>CADASTROS!$H$33</f>
        <v>00011578-0</v>
      </c>
      <c r="J38" s="18">
        <f t="shared" si="1"/>
        <v>108</v>
      </c>
      <c r="L38" s="24">
        <v>1120</v>
      </c>
      <c r="M38" s="15" t="s">
        <v>2326</v>
      </c>
      <c r="N38" s="25"/>
      <c r="O38" s="35">
        <v>39</v>
      </c>
      <c r="P38" s="17">
        <v>6</v>
      </c>
      <c r="Q38" s="26" t="s">
        <v>4852</v>
      </c>
      <c r="R38" s="24">
        <v>4825</v>
      </c>
      <c r="S38" s="26">
        <v>13</v>
      </c>
      <c r="T38" s="16" t="s">
        <v>2327</v>
      </c>
      <c r="U38" s="18">
        <f t="shared" si="2"/>
        <v>234</v>
      </c>
    </row>
    <row r="39" spans="1:21" ht="20.100000000000001" customHeight="1" x14ac:dyDescent="0.25">
      <c r="A39" s="24">
        <f>CADASTROS!$B$34</f>
        <v>32</v>
      </c>
      <c r="B39" s="15" t="str">
        <f>CADASTROS!$C$34</f>
        <v>Uilson José de Miranda</v>
      </c>
      <c r="C39" s="25"/>
      <c r="D39" s="35">
        <f>PLANILHA_COLHEITA_DIÁRIA!$I$55</f>
        <v>0</v>
      </c>
      <c r="E39" s="17">
        <v>6</v>
      </c>
      <c r="F39" s="26" t="str">
        <f>CADASTROS!$E$34</f>
        <v>Cx. Econômica</v>
      </c>
      <c r="G39" s="24">
        <f>CADASTROS!$F$34</f>
        <v>4139</v>
      </c>
      <c r="H39" s="26">
        <f>CADASTROS!$G$34</f>
        <v>13</v>
      </c>
      <c r="I39" s="16" t="str">
        <f>CADASTROS!$H$34</f>
        <v>00011073-5</v>
      </c>
      <c r="J39" s="18">
        <f t="shared" si="1"/>
        <v>0</v>
      </c>
      <c r="L39" s="24">
        <v>1133</v>
      </c>
      <c r="M39" s="15" t="s">
        <v>2355</v>
      </c>
      <c r="N39" s="25"/>
      <c r="O39" s="35">
        <v>13</v>
      </c>
      <c r="P39" s="17">
        <v>6</v>
      </c>
      <c r="Q39" s="26" t="s">
        <v>4852</v>
      </c>
      <c r="R39" s="24">
        <v>4825</v>
      </c>
      <c r="S39" s="26">
        <v>1288</v>
      </c>
      <c r="T39" s="16" t="s">
        <v>2357</v>
      </c>
      <c r="U39" s="18">
        <f t="shared" si="2"/>
        <v>78</v>
      </c>
    </row>
    <row r="40" spans="1:21" ht="20.100000000000001" customHeight="1" x14ac:dyDescent="0.25">
      <c r="A40" s="24">
        <f>CADASTROS!$B$35</f>
        <v>33</v>
      </c>
      <c r="B40" s="15" t="str">
        <f>CADASTROS!$C$35</f>
        <v>Daniela da Silva Lima</v>
      </c>
      <c r="C40" s="25"/>
      <c r="D40" s="52">
        <f>PLANILHA_COLHEITA_DIÁRIA!$I$56</f>
        <v>0</v>
      </c>
      <c r="E40" s="17">
        <v>6</v>
      </c>
      <c r="F40" s="26" t="str">
        <f>CADASTROS!$E$35</f>
        <v>Cx. Econômica</v>
      </c>
      <c r="G40" s="24">
        <f>CADASTROS!$F$35</f>
        <v>4825</v>
      </c>
      <c r="H40" s="26" t="s">
        <v>22</v>
      </c>
      <c r="I40" s="16" t="str">
        <f>CADASTROS!$H$35</f>
        <v>857552296-3</v>
      </c>
      <c r="J40" s="18">
        <f t="shared" si="1"/>
        <v>0</v>
      </c>
      <c r="L40" s="24">
        <v>1166</v>
      </c>
      <c r="M40" s="15" t="s">
        <v>2423</v>
      </c>
      <c r="N40" s="25"/>
      <c r="O40" s="35">
        <v>38</v>
      </c>
      <c r="P40" s="17">
        <v>6</v>
      </c>
      <c r="Q40" s="26" t="s">
        <v>4852</v>
      </c>
      <c r="R40" s="24">
        <v>4825</v>
      </c>
      <c r="S40" s="26">
        <v>13</v>
      </c>
      <c r="T40" s="16" t="s">
        <v>2424</v>
      </c>
      <c r="U40" s="18">
        <f t="shared" si="2"/>
        <v>228</v>
      </c>
    </row>
    <row r="41" spans="1:21" ht="20.100000000000001" customHeight="1" x14ac:dyDescent="0.25">
      <c r="A41" s="24">
        <f>CADASTROS!$B$36</f>
        <v>34</v>
      </c>
      <c r="B41" s="15" t="str">
        <f>CADASTROS!$C$36</f>
        <v>Verônica Jesus Damasceno</v>
      </c>
      <c r="C41" s="25"/>
      <c r="D41" s="35">
        <f>PLANILHA_COLHEITA_DIÁRIA!$I$57</f>
        <v>0</v>
      </c>
      <c r="E41" s="17">
        <v>6</v>
      </c>
      <c r="F41" s="26" t="str">
        <f>CADASTROS!$E$36</f>
        <v>Banco do Brasil</v>
      </c>
      <c r="G41" s="24" t="str">
        <f>CADASTROS!$F$36</f>
        <v>2760-X</v>
      </c>
      <c r="H41" s="26" t="str">
        <f>CADASTROS!$G$36</f>
        <v>c/poup</v>
      </c>
      <c r="I41" s="16" t="str">
        <f>CADASTROS!$H$36</f>
        <v>14.735-4</v>
      </c>
      <c r="J41" s="18">
        <f t="shared" si="1"/>
        <v>0</v>
      </c>
      <c r="L41" s="24">
        <v>1175</v>
      </c>
      <c r="M41" s="15" t="s">
        <v>4866</v>
      </c>
      <c r="N41" s="25"/>
      <c r="O41" s="35">
        <v>76</v>
      </c>
      <c r="P41" s="17">
        <v>6</v>
      </c>
      <c r="Q41" s="26" t="s">
        <v>4852</v>
      </c>
      <c r="R41" s="24">
        <v>4818</v>
      </c>
      <c r="S41" s="26">
        <v>13</v>
      </c>
      <c r="T41" s="16" t="s">
        <v>2439</v>
      </c>
      <c r="U41" s="18">
        <f t="shared" si="2"/>
        <v>456</v>
      </c>
    </row>
    <row r="42" spans="1:21" ht="20.100000000000001" customHeight="1" x14ac:dyDescent="0.25">
      <c r="A42" s="24">
        <f>CADASTROS!$B$37</f>
        <v>35</v>
      </c>
      <c r="B42" s="15" t="str">
        <f>CADASTROS!$C$37</f>
        <v>Gabriela de Jesus Silva</v>
      </c>
      <c r="C42" s="25"/>
      <c r="D42" s="35">
        <f>PLANILHA_COLHEITA_DIÁRIA!$I$58</f>
        <v>0</v>
      </c>
      <c r="E42" s="17">
        <v>6</v>
      </c>
      <c r="F42" s="26" t="str">
        <f>CADASTROS!$E$37</f>
        <v>Cx. Econômica</v>
      </c>
      <c r="G42" s="24">
        <f>CADASTROS!$F$37</f>
        <v>949</v>
      </c>
      <c r="H42" s="26">
        <f>CADASTROS!$G$37</f>
        <v>13</v>
      </c>
      <c r="I42" s="16" t="str">
        <f>CADASTROS!$H$37</f>
        <v>00028689-5</v>
      </c>
      <c r="J42" s="18">
        <f t="shared" si="1"/>
        <v>0</v>
      </c>
      <c r="L42" s="24">
        <v>1177</v>
      </c>
      <c r="M42" s="15" t="s">
        <v>2443</v>
      </c>
      <c r="N42" s="25"/>
      <c r="O42" s="35">
        <v>94.5</v>
      </c>
      <c r="P42" s="17">
        <v>6</v>
      </c>
      <c r="Q42" s="26" t="s">
        <v>4852</v>
      </c>
      <c r="R42" s="24">
        <v>4818</v>
      </c>
      <c r="S42" s="26">
        <v>13</v>
      </c>
      <c r="T42" s="16" t="s">
        <v>4867</v>
      </c>
      <c r="U42" s="18">
        <f t="shared" si="2"/>
        <v>567</v>
      </c>
    </row>
    <row r="43" spans="1:21" ht="20.100000000000001" customHeight="1" x14ac:dyDescent="0.25">
      <c r="A43" s="24">
        <f>CADASTROS!$B$38</f>
        <v>36</v>
      </c>
      <c r="B43" s="15" t="str">
        <f>CADASTROS!$C$38</f>
        <v>Luiz Sérgio Rosa de Jesus</v>
      </c>
      <c r="C43" s="25"/>
      <c r="D43" s="35">
        <f>PLANILHA_COLHEITA_DIÁRIA!$I$59</f>
        <v>0</v>
      </c>
      <c r="E43" s="17">
        <v>6</v>
      </c>
      <c r="F43" s="26" t="str">
        <f>CADASTROS!$E$38</f>
        <v>Cx. Econômica</v>
      </c>
      <c r="G43" s="24">
        <f>CADASTROS!$F$38</f>
        <v>4825</v>
      </c>
      <c r="H43" s="26">
        <f>CADASTROS!$G$38</f>
        <v>13</v>
      </c>
      <c r="I43" s="16" t="str">
        <f>CADASTROS!$H$38</f>
        <v>00018957-8</v>
      </c>
      <c r="J43" s="18">
        <f t="shared" si="1"/>
        <v>0</v>
      </c>
      <c r="L43" s="24">
        <v>1182</v>
      </c>
      <c r="M43" s="15" t="s">
        <v>2455</v>
      </c>
      <c r="N43" s="25"/>
      <c r="O43" s="35">
        <v>84</v>
      </c>
      <c r="P43" s="17">
        <v>6</v>
      </c>
      <c r="Q43" s="26" t="s">
        <v>4852</v>
      </c>
      <c r="R43" s="24">
        <v>4818</v>
      </c>
      <c r="S43" s="26">
        <v>13</v>
      </c>
      <c r="T43" s="16" t="s">
        <v>1878</v>
      </c>
      <c r="U43" s="18">
        <f t="shared" si="2"/>
        <v>504</v>
      </c>
    </row>
    <row r="44" spans="1:21" ht="20.100000000000001" customHeight="1" x14ac:dyDescent="0.25">
      <c r="A44" s="24">
        <f>CADASTROS!$B$39</f>
        <v>37</v>
      </c>
      <c r="B44" s="15" t="str">
        <f>CADASTROS!$C$39</f>
        <v>Silvana Lima Nascimento</v>
      </c>
      <c r="C44" s="25"/>
      <c r="D44" s="35">
        <f>PLANILHA_COLHEITA_DIÁRIA!$I$60</f>
        <v>0</v>
      </c>
      <c r="E44" s="17">
        <v>6</v>
      </c>
      <c r="F44" s="26" t="str">
        <f>CADASTROS!$E$39</f>
        <v>Bradesco</v>
      </c>
      <c r="G44" s="24" t="str">
        <f>CADASTROS!$F$39</f>
        <v>3801-6</v>
      </c>
      <c r="H44" s="26" t="str">
        <f>CADASTROS!$G$39</f>
        <v>c/corr</v>
      </c>
      <c r="I44" s="16" t="str">
        <f>CADASTROS!$H$39</f>
        <v>0003098-8</v>
      </c>
      <c r="J44" s="18">
        <f t="shared" si="1"/>
        <v>0</v>
      </c>
      <c r="L44" s="24">
        <v>1194</v>
      </c>
      <c r="M44" s="15" t="s">
        <v>2478</v>
      </c>
      <c r="N44" s="25"/>
      <c r="O44" s="35">
        <v>59.5</v>
      </c>
      <c r="P44" s="17">
        <v>6</v>
      </c>
      <c r="Q44" s="26" t="s">
        <v>4852</v>
      </c>
      <c r="R44" s="24">
        <v>780</v>
      </c>
      <c r="S44" s="26">
        <v>13</v>
      </c>
      <c r="T44" s="16" t="s">
        <v>2479</v>
      </c>
      <c r="U44" s="18">
        <f t="shared" si="2"/>
        <v>357</v>
      </c>
    </row>
    <row r="45" spans="1:21" ht="20.100000000000001" customHeight="1" x14ac:dyDescent="0.25">
      <c r="A45" s="24">
        <f>CADASTROS!$B$40</f>
        <v>38</v>
      </c>
      <c r="B45" s="15" t="str">
        <f>CADASTROS!$C$40</f>
        <v>Mateus Andrade de Jesus</v>
      </c>
      <c r="C45" s="25"/>
      <c r="D45" s="35">
        <f>PLANILHA_COLHEITA_DIÁRIA!$I$61</f>
        <v>0</v>
      </c>
      <c r="E45" s="17">
        <v>6</v>
      </c>
      <c r="F45" s="26" t="str">
        <f>CADASTROS!$E$40</f>
        <v>Cx. Econômica</v>
      </c>
      <c r="G45" s="24">
        <f>CADASTROS!$F$40</f>
        <v>4825</v>
      </c>
      <c r="H45" s="26">
        <f>CADASTROS!$G$40</f>
        <v>13</v>
      </c>
      <c r="I45" s="16" t="str">
        <f>CADASTROS!$H$40</f>
        <v>00008447-4</v>
      </c>
      <c r="J45" s="18">
        <f t="shared" si="1"/>
        <v>0</v>
      </c>
      <c r="L45" s="24">
        <v>1195</v>
      </c>
      <c r="M45" s="15" t="s">
        <v>2480</v>
      </c>
      <c r="N45" s="25"/>
      <c r="O45" s="35">
        <v>83.5</v>
      </c>
      <c r="P45" s="17">
        <v>6</v>
      </c>
      <c r="Q45" s="26" t="s">
        <v>4852</v>
      </c>
      <c r="R45" s="24">
        <v>4601</v>
      </c>
      <c r="S45" s="26">
        <v>13</v>
      </c>
      <c r="T45" s="16" t="s">
        <v>2481</v>
      </c>
      <c r="U45" s="18">
        <f t="shared" si="2"/>
        <v>501</v>
      </c>
    </row>
    <row r="46" spans="1:21" ht="20.100000000000001" customHeight="1" x14ac:dyDescent="0.25">
      <c r="A46" s="24">
        <f>CADASTROS!$B$41</f>
        <v>39</v>
      </c>
      <c r="B46" s="15" t="str">
        <f>CADASTROS!$C$41</f>
        <v>Luiz Fernando P de  Jesus</v>
      </c>
      <c r="C46" s="25"/>
      <c r="D46" s="35">
        <f>PLANILHA_COLHEITA_DIÁRIA!$I$62</f>
        <v>0</v>
      </c>
      <c r="E46" s="17">
        <v>6</v>
      </c>
      <c r="F46" s="26" t="str">
        <f>CADASTROS!$E$41</f>
        <v>Cx. Econômica</v>
      </c>
      <c r="G46" s="24">
        <f>CADASTROS!$F$41</f>
        <v>4825</v>
      </c>
      <c r="H46" s="26">
        <f>CADASTROS!$G$41</f>
        <v>1288</v>
      </c>
      <c r="I46" s="16" t="str">
        <f>CADASTROS!$H$41</f>
        <v>849591946-8</v>
      </c>
      <c r="J46" s="18">
        <f t="shared" si="1"/>
        <v>0</v>
      </c>
      <c r="L46" s="24">
        <v>1200</v>
      </c>
      <c r="M46" s="15" t="s">
        <v>2490</v>
      </c>
      <c r="N46" s="25"/>
      <c r="O46" s="35">
        <v>73</v>
      </c>
      <c r="P46" s="17">
        <v>6</v>
      </c>
      <c r="Q46" s="26" t="s">
        <v>4852</v>
      </c>
      <c r="R46" s="24">
        <v>4601</v>
      </c>
      <c r="S46" s="26">
        <v>13</v>
      </c>
      <c r="T46" s="16" t="s">
        <v>2491</v>
      </c>
      <c r="U46" s="18">
        <f t="shared" si="2"/>
        <v>438</v>
      </c>
    </row>
    <row r="47" spans="1:21" ht="20.100000000000001" customHeight="1" x14ac:dyDescent="0.25">
      <c r="A47" s="24">
        <f>CADASTROS!$B$42</f>
        <v>40</v>
      </c>
      <c r="B47" s="15" t="str">
        <f>CADASTROS!$C$42</f>
        <v>Leonardo Santos Ribeiro</v>
      </c>
      <c r="C47" s="25"/>
      <c r="D47" s="41">
        <f>PLANILHA_COLHEITA_DIÁRIA!$I$63</f>
        <v>0</v>
      </c>
      <c r="E47" s="17">
        <v>6</v>
      </c>
      <c r="F47" s="26" t="str">
        <f>CADASTROS!$E$42</f>
        <v>Bradesco</v>
      </c>
      <c r="G47" s="24" t="str">
        <f>CADASTROS!$F$42</f>
        <v>3801-6</v>
      </c>
      <c r="H47" s="26" t="str">
        <f>CADASTROS!$G$42</f>
        <v>c/corr</v>
      </c>
      <c r="I47" s="16" t="str">
        <f>CADASTROS!$H$42</f>
        <v>0005051-2</v>
      </c>
      <c r="J47" s="18">
        <f t="shared" si="1"/>
        <v>0</v>
      </c>
      <c r="L47" s="24">
        <v>1202</v>
      </c>
      <c r="M47" s="15" t="s">
        <v>2493</v>
      </c>
      <c r="N47" s="25"/>
      <c r="O47" s="35">
        <v>225</v>
      </c>
      <c r="P47" s="17">
        <v>6</v>
      </c>
      <c r="Q47" s="26" t="s">
        <v>4852</v>
      </c>
      <c r="R47" s="24">
        <v>4601</v>
      </c>
      <c r="S47" s="26">
        <v>13</v>
      </c>
      <c r="T47" s="16" t="s">
        <v>2494</v>
      </c>
      <c r="U47" s="18">
        <f t="shared" si="2"/>
        <v>1350</v>
      </c>
    </row>
    <row r="48" spans="1:21" ht="20.100000000000001" customHeight="1" x14ac:dyDescent="0.25">
      <c r="A48" s="24" t="e">
        <f>CADASTROS!#REF!</f>
        <v>#REF!</v>
      </c>
      <c r="B48" s="15" t="e">
        <f>CADASTROS!#REF!</f>
        <v>#REF!</v>
      </c>
      <c r="C48" s="25"/>
      <c r="D48" s="35">
        <f>PLANILHA_COLHEITA_DIÁRIA!$I$64</f>
        <v>0</v>
      </c>
      <c r="E48" s="17">
        <v>6</v>
      </c>
      <c r="F48" s="26" t="e">
        <f>CADASTROS!#REF!</f>
        <v>#REF!</v>
      </c>
      <c r="G48" s="24" t="e">
        <f>CADASTROS!#REF!</f>
        <v>#REF!</v>
      </c>
      <c r="H48" s="26" t="e">
        <f>CADASTROS!#REF!</f>
        <v>#REF!</v>
      </c>
      <c r="I48" s="16" t="e">
        <f>CADASTROS!#REF!</f>
        <v>#REF!</v>
      </c>
      <c r="J48" s="18">
        <f t="shared" si="1"/>
        <v>0</v>
      </c>
      <c r="L48" s="24">
        <f>CADASTROS!$B$928</f>
        <v>926</v>
      </c>
      <c r="M48" s="15" t="str">
        <f>CADASTROS!$C$928</f>
        <v>Agnaldo José Ribeiro</v>
      </c>
      <c r="N48" s="25"/>
      <c r="O48" s="35">
        <f>PLANILHA_COLHEITA_DIÁRIA!$I$1465</f>
        <v>54.5</v>
      </c>
      <c r="P48" s="17">
        <v>6</v>
      </c>
      <c r="Q48" s="26" t="str">
        <f>CADASTROS!$E$928</f>
        <v>Cx. Econômica</v>
      </c>
      <c r="R48" s="24">
        <f>CADASTROS!$F$928</f>
        <v>4825</v>
      </c>
      <c r="S48" s="26">
        <f>CADASTROS!$G$928</f>
        <v>13</v>
      </c>
      <c r="T48" s="16" t="str">
        <f>CADASTROS!$H$928</f>
        <v>00004746-3</v>
      </c>
      <c r="U48" s="18">
        <f t="shared" si="2"/>
        <v>327</v>
      </c>
    </row>
    <row r="49" spans="1:21" ht="20.100000000000001" customHeight="1" x14ac:dyDescent="0.25">
      <c r="A49" s="24">
        <f>CADASTROS!$B$43</f>
        <v>41</v>
      </c>
      <c r="B49" s="15" t="str">
        <f>CADASTROS!$C$43</f>
        <v>Alane Nascimento dos Santos</v>
      </c>
      <c r="C49" s="25"/>
      <c r="D49" s="35">
        <f>PLANILHA_COLHEITA_DIÁRIA!$I$65</f>
        <v>0</v>
      </c>
      <c r="E49" s="17">
        <v>6</v>
      </c>
      <c r="F49" s="26" t="str">
        <f>CADASTROS!$E$43</f>
        <v>Bradesco</v>
      </c>
      <c r="G49" s="24">
        <f>CADASTROS!$F$43</f>
        <v>3860</v>
      </c>
      <c r="H49" s="26" t="str">
        <f>CADASTROS!$G$43</f>
        <v>c/corr</v>
      </c>
      <c r="I49" s="16" t="str">
        <f>CADASTROS!$H$43</f>
        <v>0286381-2</v>
      </c>
      <c r="J49" s="18">
        <f t="shared" si="1"/>
        <v>0</v>
      </c>
      <c r="L49" s="24">
        <f>CADASTROS!$B$965</f>
        <v>963</v>
      </c>
      <c r="M49" s="15" t="str">
        <f>CADASTROS!$C$965</f>
        <v>Osvaldo Mendes S. Santos</v>
      </c>
      <c r="N49" s="25"/>
      <c r="O49" s="35">
        <f>PLANILHA_COLHEITA_DIÁRIA!$I$1514</f>
        <v>24</v>
      </c>
      <c r="P49" s="17">
        <v>6</v>
      </c>
      <c r="Q49" s="26" t="str">
        <f>CADASTROS!$E$965</f>
        <v>Bradesco</v>
      </c>
      <c r="R49" s="24">
        <f>CADASTROS!$F$965</f>
        <v>3616</v>
      </c>
      <c r="S49" s="26" t="str">
        <f>CADASTROS!$G$965</f>
        <v>poup</v>
      </c>
      <c r="T49" s="16" t="str">
        <f>CADASTROS!$H$965</f>
        <v>0004271-4</v>
      </c>
      <c r="U49" s="18">
        <f t="shared" si="2"/>
        <v>144</v>
      </c>
    </row>
    <row r="50" spans="1:21" ht="20.100000000000001" customHeight="1" x14ac:dyDescent="0.25">
      <c r="A50" s="24">
        <f>CADASTROS!$B$44</f>
        <v>42</v>
      </c>
      <c r="B50" s="15" t="str">
        <f>CADASTROS!$C$44</f>
        <v>Melecio Neto Santos de Oliveira</v>
      </c>
      <c r="C50" s="25"/>
      <c r="D50" s="35">
        <f>PLANILHA_COLHEITA_DIÁRIA!$I$66</f>
        <v>0</v>
      </c>
      <c r="E50" s="17">
        <v>6</v>
      </c>
      <c r="F50" s="26" t="str">
        <f>CADASTROS!$E$44</f>
        <v>Cx. Econômica</v>
      </c>
      <c r="G50" s="24">
        <f>CADASTROS!$F$44</f>
        <v>4825</v>
      </c>
      <c r="H50" s="26">
        <f>CADASTROS!$G$44</f>
        <v>0</v>
      </c>
      <c r="I50" s="16" t="str">
        <f>CADASTROS!$H$44</f>
        <v>000849879738-0</v>
      </c>
      <c r="J50" s="18">
        <f t="shared" si="1"/>
        <v>0</v>
      </c>
      <c r="L50" s="24">
        <v>1319</v>
      </c>
      <c r="M50" s="15" t="s">
        <v>2726</v>
      </c>
      <c r="N50" s="25"/>
      <c r="O50" s="35">
        <v>64</v>
      </c>
      <c r="P50" s="17">
        <v>6</v>
      </c>
      <c r="Q50" s="26" t="s">
        <v>4852</v>
      </c>
      <c r="R50" s="24">
        <v>780</v>
      </c>
      <c r="S50" s="26">
        <v>23</v>
      </c>
      <c r="T50" s="16" t="s">
        <v>4868</v>
      </c>
      <c r="U50" s="18">
        <f t="shared" si="2"/>
        <v>384</v>
      </c>
    </row>
    <row r="51" spans="1:21" ht="20.100000000000001" customHeight="1" x14ac:dyDescent="0.25">
      <c r="A51" s="24">
        <f>CADASTROS!$B$45</f>
        <v>43</v>
      </c>
      <c r="B51" s="15" t="str">
        <f>CADASTROS!$C$45</f>
        <v>Henoc Marques de Souza</v>
      </c>
      <c r="C51" s="25"/>
      <c r="D51" s="35">
        <f>PLANILHA_COLHEITA_DIÁRIA!$I$67</f>
        <v>0</v>
      </c>
      <c r="E51" s="17">
        <v>6</v>
      </c>
      <c r="F51" s="26" t="str">
        <f>CADASTROS!$E$45</f>
        <v>Cx. Econômica</v>
      </c>
      <c r="G51" s="24">
        <f>CADASTROS!$F$45</f>
        <v>780</v>
      </c>
      <c r="H51" s="26">
        <f>CADASTROS!$G$45</f>
        <v>13</v>
      </c>
      <c r="I51" s="16" t="str">
        <f>CADASTROS!$H$45</f>
        <v>00090891-0</v>
      </c>
      <c r="J51" s="18">
        <f t="shared" si="1"/>
        <v>0</v>
      </c>
      <c r="L51" s="24">
        <v>1320</v>
      </c>
      <c r="M51" s="15" t="s">
        <v>2729</v>
      </c>
      <c r="N51" s="25"/>
      <c r="O51" s="35">
        <v>77.5</v>
      </c>
      <c r="P51" s="17">
        <v>6</v>
      </c>
      <c r="Q51" s="26" t="s">
        <v>4852</v>
      </c>
      <c r="R51" s="24">
        <v>4825</v>
      </c>
      <c r="S51" s="26">
        <v>13</v>
      </c>
      <c r="T51" s="16" t="s">
        <v>2731</v>
      </c>
      <c r="U51" s="18">
        <f t="shared" si="2"/>
        <v>465</v>
      </c>
    </row>
    <row r="52" spans="1:21" ht="20.100000000000001" customHeight="1" x14ac:dyDescent="0.25">
      <c r="A52" s="24">
        <f>CADASTROS!$B$46</f>
        <v>44</v>
      </c>
      <c r="B52" s="15" t="str">
        <f>CADASTROS!$C$46</f>
        <v>Irislene de Novais</v>
      </c>
      <c r="C52" s="25"/>
      <c r="D52" s="35">
        <f>PLANILHA_COLHEITA_DIÁRIA!$I$68</f>
        <v>0</v>
      </c>
      <c r="E52" s="17">
        <v>6</v>
      </c>
      <c r="F52" s="26" t="str">
        <f>CADASTROS!$E$46</f>
        <v>Bradesco</v>
      </c>
      <c r="G52" s="24" t="str">
        <f>CADASTROS!$F$46</f>
        <v>7802-6</v>
      </c>
      <c r="H52" s="26" t="str">
        <f>CADASTROS!$G$46</f>
        <v>c/corr</v>
      </c>
      <c r="I52" s="16" t="str">
        <f>CADASTROS!$H$46</f>
        <v>0016827-0</v>
      </c>
      <c r="J52" s="18">
        <f t="shared" si="1"/>
        <v>0</v>
      </c>
      <c r="L52" s="24">
        <v>1332</v>
      </c>
      <c r="M52" s="15" t="s">
        <v>2754</v>
      </c>
      <c r="N52" s="25"/>
      <c r="O52" s="35">
        <v>125.5</v>
      </c>
      <c r="P52" s="17">
        <v>6</v>
      </c>
      <c r="Q52" s="26" t="s">
        <v>4852</v>
      </c>
      <c r="R52" s="24">
        <v>4825</v>
      </c>
      <c r="S52" s="26">
        <v>13</v>
      </c>
      <c r="T52" s="16" t="s">
        <v>2755</v>
      </c>
      <c r="U52" s="18">
        <f t="shared" si="2"/>
        <v>753</v>
      </c>
    </row>
    <row r="53" spans="1:21" ht="20.100000000000001" customHeight="1" x14ac:dyDescent="0.25">
      <c r="A53" s="24">
        <f>CADASTROS!$B$47</f>
        <v>45</v>
      </c>
      <c r="B53" s="15" t="str">
        <f>CADASTROS!$C$47</f>
        <v>Isabel Souza de Oliveira</v>
      </c>
      <c r="C53" s="25"/>
      <c r="D53" s="35">
        <f>PLANILHA_COLHEITA_DIÁRIA!$I$69</f>
        <v>0</v>
      </c>
      <c r="E53" s="17">
        <v>6</v>
      </c>
      <c r="F53" s="26" t="str">
        <f>CADASTROS!$E$47</f>
        <v>Cx. Econômica</v>
      </c>
      <c r="G53" s="24">
        <f>CADASTROS!$F$47</f>
        <v>949</v>
      </c>
      <c r="H53" s="26">
        <f>CADASTROS!$G$47</f>
        <v>13</v>
      </c>
      <c r="I53" s="16" t="str">
        <f>CADASTROS!$H$47</f>
        <v>00081892-7</v>
      </c>
      <c r="J53" s="18">
        <f t="shared" si="1"/>
        <v>0</v>
      </c>
      <c r="L53" s="24">
        <v>1365</v>
      </c>
      <c r="M53" s="15" t="s">
        <v>2824</v>
      </c>
      <c r="N53" s="25"/>
      <c r="O53" s="35">
        <v>240</v>
      </c>
      <c r="P53" s="17">
        <v>6</v>
      </c>
      <c r="Q53" s="26" t="s">
        <v>4852</v>
      </c>
      <c r="R53" s="24">
        <v>4601</v>
      </c>
      <c r="S53" s="26">
        <v>1288</v>
      </c>
      <c r="T53" s="16" t="s">
        <v>2825</v>
      </c>
      <c r="U53" s="18">
        <f t="shared" si="2"/>
        <v>1440</v>
      </c>
    </row>
    <row r="54" spans="1:21" ht="20.100000000000001" customHeight="1" x14ac:dyDescent="0.25">
      <c r="A54" s="36">
        <f>CADASTROS!$B$48</f>
        <v>46</v>
      </c>
      <c r="B54" s="37" t="str">
        <f>CADASTROS!$C$48</f>
        <v>Naiara Mª de Oliveira</v>
      </c>
      <c r="C54" s="35"/>
      <c r="D54" s="35">
        <f>PLANILHA_COLHEITA_DIÁRIA!$I$70</f>
        <v>64</v>
      </c>
      <c r="E54" s="17">
        <v>6</v>
      </c>
      <c r="F54" s="38" t="str">
        <f>CADASTROS!$E$48</f>
        <v>Cx. Econômica</v>
      </c>
      <c r="G54" s="36">
        <f>CADASTROS!$F$48</f>
        <v>4825</v>
      </c>
      <c r="H54" s="38">
        <f>CADASTROS!$G$48</f>
        <v>13</v>
      </c>
      <c r="I54" s="39" t="str">
        <f>CADASTROS!$H$48</f>
        <v>00024009-3</v>
      </c>
      <c r="J54" s="18">
        <f t="shared" si="1"/>
        <v>384</v>
      </c>
      <c r="L54" s="24">
        <v>1367</v>
      </c>
      <c r="M54" s="15" t="s">
        <v>2828</v>
      </c>
      <c r="N54" s="25"/>
      <c r="O54" s="35">
        <v>58</v>
      </c>
      <c r="P54" s="17">
        <v>6</v>
      </c>
      <c r="Q54" s="26" t="s">
        <v>4852</v>
      </c>
      <c r="R54" s="24">
        <v>4825</v>
      </c>
      <c r="S54" s="26">
        <v>13</v>
      </c>
      <c r="T54" s="16" t="s">
        <v>2829</v>
      </c>
      <c r="U54" s="18">
        <f t="shared" si="2"/>
        <v>348</v>
      </c>
    </row>
    <row r="55" spans="1:21" ht="20.100000000000001" customHeight="1" x14ac:dyDescent="0.25">
      <c r="A55" s="24">
        <f>CADASTROS!$B$49</f>
        <v>47</v>
      </c>
      <c r="B55" s="15" t="str">
        <f>CADASTROS!$C$49</f>
        <v>Roseli Souza Braga</v>
      </c>
      <c r="C55" s="25"/>
      <c r="D55" s="35">
        <f>PLANILHA_COLHEITA_DIÁRIA!$I$71</f>
        <v>0</v>
      </c>
      <c r="E55" s="17">
        <v>6</v>
      </c>
      <c r="F55" s="26" t="str">
        <f>CADASTROS!$E$49</f>
        <v>Cx. Econômica</v>
      </c>
      <c r="G55" s="24">
        <f>CADASTROS!$F$49</f>
        <v>780</v>
      </c>
      <c r="H55" s="26">
        <f>CADASTROS!$G$49</f>
        <v>23</v>
      </c>
      <c r="I55" s="16" t="str">
        <f>CADASTROS!$H$49</f>
        <v>00016384-9</v>
      </c>
      <c r="J55" s="18">
        <f t="shared" si="1"/>
        <v>0</v>
      </c>
      <c r="L55" s="24">
        <v>1372</v>
      </c>
      <c r="M55" s="15" t="s">
        <v>2839</v>
      </c>
      <c r="N55" s="25"/>
      <c r="O55" s="35">
        <v>18.5</v>
      </c>
      <c r="P55" s="17">
        <v>6</v>
      </c>
      <c r="Q55" s="26" t="s">
        <v>4852</v>
      </c>
      <c r="R55" s="24">
        <v>949</v>
      </c>
      <c r="S55" s="26">
        <v>13</v>
      </c>
      <c r="T55" s="16" t="s">
        <v>2840</v>
      </c>
      <c r="U55" s="18">
        <f t="shared" si="2"/>
        <v>111</v>
      </c>
    </row>
    <row r="56" spans="1:21" ht="23.25" x14ac:dyDescent="0.35">
      <c r="B56" s="220" t="s">
        <v>4827</v>
      </c>
      <c r="C56" s="220"/>
      <c r="D56" s="12">
        <f>SUM(D7:D55)</f>
        <v>149</v>
      </c>
      <c r="E56" s="17"/>
      <c r="F56" s="225"/>
      <c r="G56" s="226"/>
      <c r="H56" s="226"/>
      <c r="I56" s="227"/>
      <c r="J56" s="14">
        <f>SUM(J7:J55)</f>
        <v>894</v>
      </c>
      <c r="L56" s="44"/>
      <c r="M56" s="199" t="s">
        <v>4827</v>
      </c>
      <c r="N56" s="199"/>
      <c r="O56" s="45">
        <f>SUM(O7:O55)</f>
        <v>2997.5</v>
      </c>
      <c r="P56" s="45"/>
      <c r="Q56" s="200" t="s">
        <v>4869</v>
      </c>
      <c r="R56" s="201"/>
      <c r="S56" s="201"/>
      <c r="T56" s="202"/>
      <c r="U56" s="46">
        <f>SUM(U7:U55)</f>
        <v>17985</v>
      </c>
    </row>
    <row r="59" spans="1:21" x14ac:dyDescent="0.25">
      <c r="A59" s="238"/>
      <c r="B59" s="238"/>
      <c r="C59" s="238"/>
      <c r="D59" s="238"/>
      <c r="E59" s="238"/>
      <c r="F59" s="238"/>
      <c r="G59" s="238"/>
      <c r="H59" s="238"/>
      <c r="I59" s="238"/>
      <c r="J59" s="238"/>
    </row>
    <row r="60" spans="1:21" ht="15.75" x14ac:dyDescent="0.25">
      <c r="A60" s="213" t="s">
        <v>4816</v>
      </c>
      <c r="B60" s="213"/>
      <c r="C60" s="213"/>
      <c r="D60" s="213"/>
      <c r="E60" s="213"/>
      <c r="F60" s="213"/>
      <c r="G60" s="213"/>
      <c r="H60" s="213"/>
      <c r="I60" s="213"/>
      <c r="J60" s="213"/>
      <c r="K60" s="34"/>
      <c r="L60" s="237" t="s">
        <v>4816</v>
      </c>
      <c r="M60" s="237"/>
      <c r="N60" s="237"/>
      <c r="O60" s="237"/>
      <c r="P60" s="237"/>
      <c r="Q60" s="237"/>
      <c r="R60" s="237"/>
      <c r="S60" s="237"/>
      <c r="T60" s="237"/>
      <c r="U60" s="237"/>
    </row>
    <row r="61" spans="1:21" ht="16.5" thickBot="1" x14ac:dyDescent="0.3">
      <c r="A61" s="214" t="s">
        <v>4843</v>
      </c>
      <c r="B61" s="214"/>
      <c r="C61" s="214"/>
      <c r="D61" s="214"/>
      <c r="E61" s="214"/>
      <c r="F61" s="214"/>
      <c r="G61" s="214"/>
      <c r="H61" s="214"/>
      <c r="I61" s="214"/>
      <c r="J61" s="214"/>
      <c r="K61" s="34"/>
      <c r="L61" s="203" t="s">
        <v>4843</v>
      </c>
      <c r="M61" s="203"/>
      <c r="N61" s="203"/>
      <c r="O61" s="203"/>
      <c r="P61" s="203"/>
      <c r="Q61" s="203"/>
      <c r="R61" s="203"/>
      <c r="S61" s="203"/>
      <c r="T61" s="203"/>
      <c r="U61" s="203"/>
    </row>
    <row r="62" spans="1:21" ht="20.65" customHeight="1" thickTop="1" thickBot="1" x14ac:dyDescent="0.3">
      <c r="A62" s="215" t="s">
        <v>4844</v>
      </c>
      <c r="B62" s="215"/>
      <c r="C62" s="215"/>
      <c r="D62" s="215"/>
      <c r="E62" s="215"/>
      <c r="F62" s="215"/>
      <c r="G62" s="215"/>
      <c r="H62" s="215"/>
      <c r="I62" s="215"/>
      <c r="J62" s="215"/>
      <c r="K62" s="34"/>
      <c r="L62" s="204" t="s">
        <v>4845</v>
      </c>
      <c r="M62" s="204"/>
      <c r="N62" s="204"/>
      <c r="O62" s="204"/>
      <c r="P62" s="204"/>
      <c r="Q62" s="204"/>
      <c r="R62" s="204"/>
      <c r="S62" s="204"/>
      <c r="T62" s="204"/>
      <c r="U62" s="204"/>
    </row>
    <row r="63" spans="1:21" ht="20.100000000000001" customHeight="1" x14ac:dyDescent="0.25">
      <c r="A63" s="19" t="s">
        <v>4846</v>
      </c>
      <c r="B63" s="216" t="s">
        <v>1</v>
      </c>
      <c r="C63" s="221" t="s">
        <v>2</v>
      </c>
      <c r="D63" s="223" t="s">
        <v>4847</v>
      </c>
      <c r="E63" s="20" t="s">
        <v>4848</v>
      </c>
      <c r="F63" s="216" t="s">
        <v>3</v>
      </c>
      <c r="G63" s="216" t="s">
        <v>4</v>
      </c>
      <c r="H63" s="216" t="s">
        <v>5</v>
      </c>
      <c r="I63" s="216" t="s">
        <v>6</v>
      </c>
      <c r="J63" s="218" t="s">
        <v>4849</v>
      </c>
      <c r="K63" s="34"/>
      <c r="L63" s="49" t="s">
        <v>4846</v>
      </c>
      <c r="M63" s="205" t="s">
        <v>1</v>
      </c>
      <c r="N63" s="207" t="s">
        <v>2</v>
      </c>
      <c r="O63" s="209" t="s">
        <v>4847</v>
      </c>
      <c r="P63" s="50" t="s">
        <v>4848</v>
      </c>
      <c r="Q63" s="205" t="s">
        <v>3</v>
      </c>
      <c r="R63" s="205" t="s">
        <v>4</v>
      </c>
      <c r="S63" s="205" t="s">
        <v>5</v>
      </c>
      <c r="T63" s="205" t="s">
        <v>6</v>
      </c>
      <c r="U63" s="211" t="s">
        <v>4849</v>
      </c>
    </row>
    <row r="64" spans="1:21" ht="20.100000000000001" customHeight="1" thickBot="1" x14ac:dyDescent="0.3">
      <c r="A64" s="21" t="s">
        <v>4850</v>
      </c>
      <c r="B64" s="217"/>
      <c r="C64" s="222"/>
      <c r="D64" s="224"/>
      <c r="E64" s="161" t="s">
        <v>4851</v>
      </c>
      <c r="F64" s="217"/>
      <c r="G64" s="217"/>
      <c r="H64" s="217"/>
      <c r="I64" s="217"/>
      <c r="J64" s="219"/>
      <c r="K64" s="34"/>
      <c r="L64" s="51" t="s">
        <v>4850</v>
      </c>
      <c r="M64" s="206"/>
      <c r="N64" s="208"/>
      <c r="O64" s="210"/>
      <c r="P64" s="166" t="s">
        <v>4851</v>
      </c>
      <c r="Q64" s="206"/>
      <c r="R64" s="206"/>
      <c r="S64" s="206"/>
      <c r="T64" s="206"/>
      <c r="U64" s="212"/>
    </row>
    <row r="65" spans="1:21" ht="20.100000000000001" customHeight="1" x14ac:dyDescent="0.25">
      <c r="A65" s="24">
        <f>CADASTROS!$B$50</f>
        <v>48</v>
      </c>
      <c r="B65" s="15" t="str">
        <f>CADASTROS!$C$50</f>
        <v>Jeicion Almeida de Miranda</v>
      </c>
      <c r="C65" s="25"/>
      <c r="D65" s="35">
        <f>PLANILHA_COLHEITA_DIÁRIA!$I$72</f>
        <v>0</v>
      </c>
      <c r="E65" s="17">
        <v>6</v>
      </c>
      <c r="F65" s="26" t="str">
        <f>CADASTROS!$E$50</f>
        <v>Cx. Econômica</v>
      </c>
      <c r="G65" s="24">
        <f>CADASTROS!$F$50</f>
        <v>4825</v>
      </c>
      <c r="H65" s="26">
        <f>CADASTROS!$G$50</f>
        <v>13</v>
      </c>
      <c r="I65" s="16" t="str">
        <f>CADASTROS!$H$50</f>
        <v>00022181-1</v>
      </c>
      <c r="J65" s="18">
        <f t="shared" ref="J65:J109" si="3">D65*E65</f>
        <v>0</v>
      </c>
      <c r="K65" s="34"/>
      <c r="L65" s="24">
        <v>1398</v>
      </c>
      <c r="M65" s="15" t="s">
        <v>2890</v>
      </c>
      <c r="N65" s="25"/>
      <c r="O65" s="35">
        <v>11</v>
      </c>
      <c r="P65" s="17">
        <v>6</v>
      </c>
      <c r="Q65" s="26" t="s">
        <v>4852</v>
      </c>
      <c r="R65" s="24">
        <v>4825</v>
      </c>
      <c r="S65" s="26">
        <v>13</v>
      </c>
      <c r="T65" s="16" t="s">
        <v>2891</v>
      </c>
      <c r="U65" s="18">
        <f t="shared" ref="U65:U108" si="4">O65*P65</f>
        <v>66</v>
      </c>
    </row>
    <row r="66" spans="1:21" ht="20.100000000000001" customHeight="1" x14ac:dyDescent="0.25">
      <c r="A66" s="24">
        <f>CADASTROS!$B$51</f>
        <v>49</v>
      </c>
      <c r="B66" s="15" t="str">
        <f>CADASTROS!$C$51</f>
        <v>Luciana Rodrigues Santos</v>
      </c>
      <c r="C66" s="25"/>
      <c r="D66" s="35">
        <f>PLANILHA_COLHEITA_DIÁRIA!$I$73</f>
        <v>0</v>
      </c>
      <c r="E66" s="17">
        <v>6</v>
      </c>
      <c r="F66" s="26" t="str">
        <f>CADASTROS!$E$51</f>
        <v>Cx. Econômica</v>
      </c>
      <c r="G66" s="24">
        <f>CADASTROS!$F$51</f>
        <v>949</v>
      </c>
      <c r="H66" s="26">
        <f>CADASTROS!$G$51</f>
        <v>1288</v>
      </c>
      <c r="I66" s="16" t="str">
        <f>CADASTROS!$H$51</f>
        <v>834387358-9</v>
      </c>
      <c r="J66" s="18">
        <f t="shared" si="3"/>
        <v>0</v>
      </c>
      <c r="K66" s="34"/>
      <c r="L66" s="24">
        <v>1399</v>
      </c>
      <c r="M66" s="15" t="s">
        <v>2892</v>
      </c>
      <c r="N66" s="25"/>
      <c r="O66" s="35">
        <v>26</v>
      </c>
      <c r="P66" s="17">
        <v>6</v>
      </c>
      <c r="Q66" s="26" t="s">
        <v>4852</v>
      </c>
      <c r="R66" s="24">
        <v>4825</v>
      </c>
      <c r="S66" s="26">
        <v>13</v>
      </c>
      <c r="T66" s="16" t="s">
        <v>4870</v>
      </c>
      <c r="U66" s="18">
        <f t="shared" si="4"/>
        <v>156</v>
      </c>
    </row>
    <row r="67" spans="1:21" ht="20.100000000000001" customHeight="1" x14ac:dyDescent="0.25">
      <c r="A67" s="24">
        <f>CADASTROS!$B$52</f>
        <v>50</v>
      </c>
      <c r="B67" s="15" t="str">
        <f>CADASTROS!$C$52</f>
        <v>Anatilde Saturniz de Souza</v>
      </c>
      <c r="C67" s="25"/>
      <c r="D67" s="35">
        <f>PLANILHA_COLHEITA_DIÁRIA!$I$74</f>
        <v>0</v>
      </c>
      <c r="E67" s="17">
        <v>6</v>
      </c>
      <c r="F67" s="26" t="str">
        <f>CADASTROS!$E$52</f>
        <v>Bradesco</v>
      </c>
      <c r="G67" s="24" t="str">
        <f>CADASTROS!$F$52</f>
        <v>3801-6</v>
      </c>
      <c r="H67" s="26" t="str">
        <f>CADASTROS!$G$52</f>
        <v>c/corr</v>
      </c>
      <c r="I67" s="16" t="str">
        <f>CADASTROS!$H$52</f>
        <v>0640007-8</v>
      </c>
      <c r="J67" s="18">
        <f t="shared" si="3"/>
        <v>0</v>
      </c>
      <c r="K67" s="34"/>
      <c r="L67" s="24">
        <v>1449</v>
      </c>
      <c r="M67" s="15" t="s">
        <v>1014</v>
      </c>
      <c r="N67" s="25"/>
      <c r="O67" s="35">
        <v>39</v>
      </c>
      <c r="P67" s="17">
        <v>6</v>
      </c>
      <c r="Q67" s="26" t="s">
        <v>4852</v>
      </c>
      <c r="R67" s="24">
        <v>4825</v>
      </c>
      <c r="S67" s="26">
        <v>13</v>
      </c>
      <c r="T67" s="16" t="s">
        <v>1015</v>
      </c>
      <c r="U67" s="18">
        <f t="shared" si="4"/>
        <v>234</v>
      </c>
    </row>
    <row r="68" spans="1:21" ht="20.100000000000001" customHeight="1" x14ac:dyDescent="0.25">
      <c r="A68" s="24">
        <f>CADASTROS!$B$53</f>
        <v>51</v>
      </c>
      <c r="B68" s="15" t="str">
        <f>CADASTROS!$C$53</f>
        <v>Maria Nilza Alves Maciel</v>
      </c>
      <c r="C68" s="25"/>
      <c r="D68" s="35">
        <f>PLANILHA_COLHEITA_DIÁRIA!$I$75</f>
        <v>0</v>
      </c>
      <c r="E68" s="17">
        <v>6</v>
      </c>
      <c r="F68" s="26" t="str">
        <f>CADASTROS!$E$53</f>
        <v>Cx. Econômica</v>
      </c>
      <c r="G68" s="24">
        <f>CADASTROS!$F$53</f>
        <v>4825</v>
      </c>
      <c r="H68" s="26">
        <f>CADASTROS!$G$53</f>
        <v>13</v>
      </c>
      <c r="I68" s="16" t="str">
        <f>CADASTROS!$H$53</f>
        <v>00017286-1</v>
      </c>
      <c r="J68" s="18">
        <f t="shared" si="3"/>
        <v>0</v>
      </c>
      <c r="K68" s="34"/>
      <c r="L68" s="24">
        <v>1468</v>
      </c>
      <c r="M68" s="15" t="s">
        <v>3016</v>
      </c>
      <c r="N68" s="25"/>
      <c r="O68" s="35">
        <v>22</v>
      </c>
      <c r="P68" s="17">
        <v>6</v>
      </c>
      <c r="Q68" s="26" t="s">
        <v>4852</v>
      </c>
      <c r="R68" s="24">
        <v>4818</v>
      </c>
      <c r="S68" s="26">
        <v>13</v>
      </c>
      <c r="T68" s="16" t="s">
        <v>3017</v>
      </c>
      <c r="U68" s="18">
        <f t="shared" si="4"/>
        <v>132</v>
      </c>
    </row>
    <row r="69" spans="1:21" ht="20.100000000000001" customHeight="1" x14ac:dyDescent="0.25">
      <c r="A69" s="24">
        <f>CADASTROS!$B$54</f>
        <v>52</v>
      </c>
      <c r="B69" s="15" t="str">
        <f>CADASTROS!$C$54</f>
        <v>Angela Mª Pereira dos Anjos</v>
      </c>
      <c r="C69" s="25"/>
      <c r="D69" s="35">
        <f>PLANILHA_COLHEITA_DIÁRIA!$I$76</f>
        <v>0</v>
      </c>
      <c r="E69" s="17">
        <v>6</v>
      </c>
      <c r="F69" s="26" t="str">
        <f>CADASTROS!$E$54</f>
        <v>Bradesco</v>
      </c>
      <c r="G69" s="24" t="str">
        <f>CADASTROS!$F$54</f>
        <v>3801-6</v>
      </c>
      <c r="H69" s="26" t="str">
        <f>CADASTROS!$G$54</f>
        <v>poup</v>
      </c>
      <c r="I69" s="16" t="str">
        <f>CADASTROS!$H$54</f>
        <v>1000425-0</v>
      </c>
      <c r="J69" s="18">
        <f t="shared" si="3"/>
        <v>0</v>
      </c>
      <c r="K69" s="34"/>
      <c r="L69" s="24">
        <v>1480</v>
      </c>
      <c r="M69" s="15" t="s">
        <v>4871</v>
      </c>
      <c r="N69" s="25"/>
      <c r="O69" s="35">
        <v>47</v>
      </c>
      <c r="P69" s="17">
        <v>6</v>
      </c>
      <c r="Q69" s="26" t="s">
        <v>4852</v>
      </c>
      <c r="R69" s="24">
        <v>949</v>
      </c>
      <c r="S69" s="26">
        <v>13</v>
      </c>
      <c r="T69" s="16" t="s">
        <v>3040</v>
      </c>
      <c r="U69" s="18">
        <f t="shared" si="4"/>
        <v>282</v>
      </c>
    </row>
    <row r="70" spans="1:21" ht="20.100000000000001" customHeight="1" x14ac:dyDescent="0.25">
      <c r="A70" s="24">
        <f>CADASTROS!$B$55</f>
        <v>53</v>
      </c>
      <c r="B70" s="15" t="str">
        <f>CADASTROS!$C$55</f>
        <v>Cristiane Sousa Santos</v>
      </c>
      <c r="C70" s="25"/>
      <c r="D70" s="35">
        <f>PLANILHA_COLHEITA_DIÁRIA!$I$92</f>
        <v>0</v>
      </c>
      <c r="E70" s="17">
        <v>6</v>
      </c>
      <c r="F70" s="26" t="str">
        <f>CADASTROS!$E$55</f>
        <v>Cx. Econômica</v>
      </c>
      <c r="G70" s="24">
        <f>CADASTROS!$F$55</f>
        <v>4818</v>
      </c>
      <c r="H70" s="26">
        <f>CADASTROS!$G$55</f>
        <v>0</v>
      </c>
      <c r="I70" s="16" t="str">
        <f>CADASTROS!$H$55</f>
        <v>000787323035-0</v>
      </c>
      <c r="J70" s="18">
        <f t="shared" si="3"/>
        <v>0</v>
      </c>
      <c r="K70" s="34"/>
      <c r="L70" s="24">
        <v>1495</v>
      </c>
      <c r="M70" s="15" t="s">
        <v>3070</v>
      </c>
      <c r="N70" s="25"/>
      <c r="O70" s="35">
        <v>59.5</v>
      </c>
      <c r="P70" s="17">
        <v>6</v>
      </c>
      <c r="Q70" s="26" t="s">
        <v>4852</v>
      </c>
      <c r="R70" s="24">
        <v>4825</v>
      </c>
      <c r="S70" s="26">
        <v>13</v>
      </c>
      <c r="T70" s="16" t="s">
        <v>3071</v>
      </c>
      <c r="U70" s="18">
        <f t="shared" si="4"/>
        <v>357</v>
      </c>
    </row>
    <row r="71" spans="1:21" ht="20.100000000000001" customHeight="1" x14ac:dyDescent="0.25">
      <c r="A71" s="24">
        <f>CADASTROS!$B$56</f>
        <v>54</v>
      </c>
      <c r="B71" s="15" t="str">
        <f>CADASTROS!$C$56</f>
        <v>Paulo de Oliveira</v>
      </c>
      <c r="C71" s="33"/>
      <c r="D71" s="35">
        <f>PLANILHA_COLHEITA_DIÁRIA!$I$93</f>
        <v>0</v>
      </c>
      <c r="E71" s="17">
        <v>6</v>
      </c>
      <c r="F71" s="26" t="str">
        <f>CADASTROS!$E$56</f>
        <v>Bradesco</v>
      </c>
      <c r="G71" s="24" t="str">
        <f>CADASTROS!$F$56</f>
        <v>3801-6</v>
      </c>
      <c r="H71" s="26" t="str">
        <f>CADASTROS!$G$56</f>
        <v>poup</v>
      </c>
      <c r="I71" s="16" t="str">
        <f>CADASTROS!$H$56</f>
        <v>1000115-3</v>
      </c>
      <c r="J71" s="18">
        <f t="shared" si="3"/>
        <v>0</v>
      </c>
      <c r="K71" s="34"/>
      <c r="L71" s="24">
        <v>1499</v>
      </c>
      <c r="M71" s="15" t="s">
        <v>3078</v>
      </c>
      <c r="N71" s="25"/>
      <c r="O71" s="35">
        <v>47.5</v>
      </c>
      <c r="P71" s="17">
        <v>6</v>
      </c>
      <c r="Q71" s="26" t="s">
        <v>4852</v>
      </c>
      <c r="R71" s="24">
        <v>4825</v>
      </c>
      <c r="S71" s="26">
        <v>13</v>
      </c>
      <c r="T71" s="16" t="s">
        <v>3080</v>
      </c>
      <c r="U71" s="18">
        <f t="shared" si="4"/>
        <v>285</v>
      </c>
    </row>
    <row r="72" spans="1:21" ht="20.100000000000001" customHeight="1" x14ac:dyDescent="0.25">
      <c r="A72" s="24">
        <f>CADASTROS!$B$57</f>
        <v>55</v>
      </c>
      <c r="B72" s="15" t="str">
        <f>CADASTROS!$C$57</f>
        <v>Domingos Marques Borges</v>
      </c>
      <c r="C72" s="25"/>
      <c r="D72" s="35">
        <f>PLANILHA_COLHEITA_DIÁRIA!$I$94</f>
        <v>0</v>
      </c>
      <c r="E72" s="17">
        <v>6</v>
      </c>
      <c r="F72" s="26" t="str">
        <f>CADASTROS!$E$57</f>
        <v>Cx. Econômica</v>
      </c>
      <c r="G72" s="24">
        <f>CADASTROS!$F$57</f>
        <v>412</v>
      </c>
      <c r="H72" s="26">
        <f>CADASTROS!$G$57</f>
        <v>1288</v>
      </c>
      <c r="I72" s="16" t="str">
        <f>CADASTROS!$H$57</f>
        <v>866520615-7</v>
      </c>
      <c r="J72" s="18">
        <f t="shared" si="3"/>
        <v>0</v>
      </c>
      <c r="K72" s="34"/>
      <c r="L72" s="24">
        <v>1502</v>
      </c>
      <c r="M72" s="15" t="s">
        <v>858</v>
      </c>
      <c r="N72" s="25"/>
      <c r="O72" s="35">
        <v>84</v>
      </c>
      <c r="P72" s="17">
        <v>6</v>
      </c>
      <c r="Q72" s="26" t="s">
        <v>4852</v>
      </c>
      <c r="R72" s="24">
        <v>949</v>
      </c>
      <c r="S72" s="26">
        <v>23</v>
      </c>
      <c r="T72" s="16" t="s">
        <v>3084</v>
      </c>
      <c r="U72" s="18">
        <f t="shared" si="4"/>
        <v>504</v>
      </c>
    </row>
    <row r="73" spans="1:21" ht="20.100000000000001" customHeight="1" x14ac:dyDescent="0.25">
      <c r="A73" s="24">
        <f>CADASTROS!$B$58</f>
        <v>56</v>
      </c>
      <c r="B73" s="15" t="str">
        <f>CADASTROS!$C$58</f>
        <v>Evanilza Miranda Araújo</v>
      </c>
      <c r="C73" s="33"/>
      <c r="D73" s="35">
        <f>PLANILHA_COLHEITA_DIÁRIA!$I$95</f>
        <v>0</v>
      </c>
      <c r="E73" s="17">
        <v>6</v>
      </c>
      <c r="F73" s="26" t="str">
        <f>CADASTROS!$E$58</f>
        <v>Cx. Econômica</v>
      </c>
      <c r="G73" s="24">
        <f>CADASTROS!$F$58</f>
        <v>4825</v>
      </c>
      <c r="H73" s="26">
        <f>CADASTROS!$G$58</f>
        <v>13</v>
      </c>
      <c r="I73" s="16" t="str">
        <f>CADASTROS!$H$58</f>
        <v>00005233-5</v>
      </c>
      <c r="J73" s="18">
        <f t="shared" si="3"/>
        <v>0</v>
      </c>
      <c r="K73" s="34"/>
      <c r="L73" s="24">
        <v>1511</v>
      </c>
      <c r="M73" s="15" t="s">
        <v>3100</v>
      </c>
      <c r="N73" s="25"/>
      <c r="O73" s="35">
        <v>71</v>
      </c>
      <c r="P73" s="17">
        <v>6</v>
      </c>
      <c r="Q73" s="26" t="s">
        <v>4852</v>
      </c>
      <c r="R73" s="24">
        <v>4825</v>
      </c>
      <c r="S73" s="26">
        <v>13</v>
      </c>
      <c r="T73" s="16" t="s">
        <v>1267</v>
      </c>
      <c r="U73" s="18">
        <f t="shared" si="4"/>
        <v>426</v>
      </c>
    </row>
    <row r="74" spans="1:21" ht="20.100000000000001" customHeight="1" x14ac:dyDescent="0.25">
      <c r="A74" s="24">
        <f>CADASTROS!$B$59</f>
        <v>57</v>
      </c>
      <c r="B74" s="15" t="str">
        <f>CADASTROS!$C$59</f>
        <v>Adelcione Cruz Damasceno</v>
      </c>
      <c r="C74" s="33"/>
      <c r="D74" s="35">
        <f>PLANILHA_COLHEITA_DIÁRIA!$I$96</f>
        <v>0</v>
      </c>
      <c r="E74" s="17">
        <v>6</v>
      </c>
      <c r="F74" s="26" t="str">
        <f>CADASTROS!$E$59</f>
        <v>Cx. Econômica</v>
      </c>
      <c r="G74" s="24">
        <f>CADASTROS!$F$59</f>
        <v>4825</v>
      </c>
      <c r="H74" s="26">
        <f>CADASTROS!$G$59</f>
        <v>13</v>
      </c>
      <c r="I74" s="16" t="str">
        <f>CADASTROS!$H$59</f>
        <v>00015832-0</v>
      </c>
      <c r="J74" s="18">
        <f t="shared" si="3"/>
        <v>0</v>
      </c>
      <c r="K74" s="34"/>
      <c r="L74" s="24">
        <v>1528</v>
      </c>
      <c r="M74" s="15" t="s">
        <v>3127</v>
      </c>
      <c r="N74" s="25"/>
      <c r="O74" s="35">
        <v>69.5</v>
      </c>
      <c r="P74" s="17">
        <v>6</v>
      </c>
      <c r="Q74" s="26" t="s">
        <v>4852</v>
      </c>
      <c r="R74" s="24">
        <v>4825</v>
      </c>
      <c r="S74" s="26">
        <v>13</v>
      </c>
      <c r="T74" s="16" t="s">
        <v>3129</v>
      </c>
      <c r="U74" s="18">
        <f t="shared" si="4"/>
        <v>417</v>
      </c>
    </row>
    <row r="75" spans="1:21" ht="20.100000000000001" customHeight="1" x14ac:dyDescent="0.25">
      <c r="A75" s="24">
        <f>CADASTROS!$B$60</f>
        <v>58</v>
      </c>
      <c r="B75" s="15" t="str">
        <f>CADASTROS!$C$60</f>
        <v>Sandra Santos Gabriel</v>
      </c>
      <c r="C75" s="33"/>
      <c r="D75" s="35">
        <f>PLANILHA_COLHEITA_DIÁRIA!$I$97</f>
        <v>0</v>
      </c>
      <c r="E75" s="17">
        <v>6</v>
      </c>
      <c r="F75" s="26" t="str">
        <f>CADASTROS!$E$60</f>
        <v>Bradesco</v>
      </c>
      <c r="G75" s="24" t="str">
        <f>CADASTROS!$F$60</f>
        <v>7320-2</v>
      </c>
      <c r="H75" s="26" t="str">
        <f>CADASTROS!$G$60</f>
        <v>c/corr</v>
      </c>
      <c r="I75" s="16" t="str">
        <f>CADASTROS!$H$60</f>
        <v>0483865-3</v>
      </c>
      <c r="J75" s="18">
        <f t="shared" si="3"/>
        <v>0</v>
      </c>
      <c r="K75" s="34"/>
      <c r="L75" s="24">
        <v>1542</v>
      </c>
      <c r="M75" s="15" t="s">
        <v>3150</v>
      </c>
      <c r="N75" s="25"/>
      <c r="O75" s="35">
        <v>19.5</v>
      </c>
      <c r="P75" s="17">
        <v>6</v>
      </c>
      <c r="Q75" s="26" t="s">
        <v>4852</v>
      </c>
      <c r="R75" s="24">
        <v>949</v>
      </c>
      <c r="S75" s="26">
        <v>23</v>
      </c>
      <c r="T75" s="16" t="s">
        <v>3151</v>
      </c>
      <c r="U75" s="18">
        <f t="shared" si="4"/>
        <v>117</v>
      </c>
    </row>
    <row r="76" spans="1:21" ht="20.100000000000001" customHeight="1" x14ac:dyDescent="0.25">
      <c r="A76" s="24">
        <f>CADASTROS!$B$61</f>
        <v>59</v>
      </c>
      <c r="B76" s="15" t="str">
        <f>CADASTROS!$C$61</f>
        <v>Delmiro Silva de Oliveira</v>
      </c>
      <c r="C76" s="25"/>
      <c r="D76" s="35">
        <f>PLANILHA_COLHEITA_DIÁRIA!$I$98</f>
        <v>0</v>
      </c>
      <c r="E76" s="17">
        <v>6</v>
      </c>
      <c r="F76" s="26" t="str">
        <f>CADASTROS!$E$61</f>
        <v>Cx. Econômica</v>
      </c>
      <c r="G76" s="24">
        <f>CADASTROS!$F$61</f>
        <v>4818</v>
      </c>
      <c r="H76" s="26">
        <f>CADASTROS!$G$61</f>
        <v>13</v>
      </c>
      <c r="I76" s="16" t="str">
        <f>CADASTROS!$H$61</f>
        <v>00013233-0</v>
      </c>
      <c r="J76" s="18">
        <f t="shared" si="3"/>
        <v>0</v>
      </c>
      <c r="K76" s="34"/>
      <c r="L76" s="24">
        <v>1550</v>
      </c>
      <c r="M76" s="15" t="s">
        <v>3166</v>
      </c>
      <c r="N76" s="25"/>
      <c r="O76" s="35">
        <v>24.5</v>
      </c>
      <c r="P76" s="17">
        <v>6</v>
      </c>
      <c r="Q76" s="26" t="s">
        <v>4852</v>
      </c>
      <c r="R76" s="24">
        <v>4825</v>
      </c>
      <c r="S76" s="26">
        <v>1288</v>
      </c>
      <c r="T76" s="16" t="s">
        <v>3168</v>
      </c>
      <c r="U76" s="18">
        <f t="shared" si="4"/>
        <v>147</v>
      </c>
    </row>
    <row r="77" spans="1:21" ht="20.100000000000001" customHeight="1" x14ac:dyDescent="0.25">
      <c r="A77" s="24" t="e">
        <f>CADASTROS!#REF!</f>
        <v>#REF!</v>
      </c>
      <c r="B77" s="15" t="e">
        <f>CADASTROS!#REF!</f>
        <v>#REF!</v>
      </c>
      <c r="C77" s="25"/>
      <c r="D77" s="35">
        <f>PLANILHA_COLHEITA_DIÁRIA!$I$99</f>
        <v>0</v>
      </c>
      <c r="E77" s="17">
        <v>6</v>
      </c>
      <c r="F77" s="26" t="e">
        <f>CADASTROS!#REF!</f>
        <v>#REF!</v>
      </c>
      <c r="G77" s="24" t="e">
        <f>CADASTROS!#REF!</f>
        <v>#REF!</v>
      </c>
      <c r="H77" s="26" t="e">
        <f>CADASTROS!#REF!</f>
        <v>#REF!</v>
      </c>
      <c r="I77" s="16" t="e">
        <f>CADASTROS!#REF!</f>
        <v>#REF!</v>
      </c>
      <c r="J77" s="18">
        <f t="shared" si="3"/>
        <v>0</v>
      </c>
      <c r="K77" s="34"/>
      <c r="L77" s="24">
        <v>1555</v>
      </c>
      <c r="M77" s="15" t="s">
        <v>3177</v>
      </c>
      <c r="N77" s="25"/>
      <c r="O77" s="35">
        <v>49.5</v>
      </c>
      <c r="P77" s="17">
        <v>6</v>
      </c>
      <c r="Q77" s="26" t="s">
        <v>4852</v>
      </c>
      <c r="R77" s="24">
        <v>4818</v>
      </c>
      <c r="S77" s="26">
        <v>13</v>
      </c>
      <c r="T77" s="16" t="s">
        <v>3178</v>
      </c>
      <c r="U77" s="18">
        <f t="shared" si="4"/>
        <v>297</v>
      </c>
    </row>
    <row r="78" spans="1:21" ht="20.100000000000001" customHeight="1" x14ac:dyDescent="0.25">
      <c r="A78" s="24">
        <f>CADASTROS!$B$62</f>
        <v>60</v>
      </c>
      <c r="B78" s="15" t="str">
        <f>CADASTROS!$C$62</f>
        <v>Geane Barauna de Oliveira</v>
      </c>
      <c r="C78" s="25"/>
      <c r="D78" s="42">
        <f>PLANILHA_COLHEITA_DIÁRIA!$I$100</f>
        <v>0</v>
      </c>
      <c r="E78" s="17">
        <v>6</v>
      </c>
      <c r="F78" s="26" t="str">
        <f>CADASTROS!$E$62</f>
        <v>Cx. Econômica</v>
      </c>
      <c r="G78" s="24">
        <f>CADASTROS!$F$62</f>
        <v>4825</v>
      </c>
      <c r="H78" s="26">
        <f>CADASTROS!$G$62</f>
        <v>13</v>
      </c>
      <c r="I78" s="16" t="str">
        <f>CADASTROS!$H$62</f>
        <v>00008649-3</v>
      </c>
      <c r="J78" s="18">
        <f t="shared" si="3"/>
        <v>0</v>
      </c>
      <c r="K78" s="34"/>
      <c r="L78" s="24">
        <v>1558</v>
      </c>
      <c r="M78" s="15" t="s">
        <v>3184</v>
      </c>
      <c r="N78" s="25"/>
      <c r="O78" s="35">
        <v>57</v>
      </c>
      <c r="P78" s="17">
        <v>6</v>
      </c>
      <c r="Q78" s="26" t="s">
        <v>4852</v>
      </c>
      <c r="R78" s="24">
        <v>949</v>
      </c>
      <c r="S78" s="26">
        <v>23</v>
      </c>
      <c r="T78" s="16" t="s">
        <v>3185</v>
      </c>
      <c r="U78" s="18">
        <f t="shared" si="4"/>
        <v>342</v>
      </c>
    </row>
    <row r="79" spans="1:21" ht="20.100000000000001" customHeight="1" x14ac:dyDescent="0.25">
      <c r="A79" s="24">
        <f>CADASTROS!$B$63</f>
        <v>61</v>
      </c>
      <c r="B79" s="15" t="str">
        <f>CADASTROS!$C$63</f>
        <v>Tássio Oliveira Pires</v>
      </c>
      <c r="C79" s="25"/>
      <c r="D79" s="41">
        <f>PLANILHA_COLHEITA_DIÁRIA!$I$101</f>
        <v>0</v>
      </c>
      <c r="E79" s="17">
        <v>6</v>
      </c>
      <c r="F79" s="26" t="str">
        <f>CADASTROS!$E$63</f>
        <v>Cx. Econômica</v>
      </c>
      <c r="G79" s="24">
        <f>CADASTROS!$F$63</f>
        <v>2281</v>
      </c>
      <c r="H79" s="26">
        <f>CADASTROS!$G$63</f>
        <v>13</v>
      </c>
      <c r="I79" s="16" t="str">
        <f>CADASTROS!$H$63</f>
        <v>00037202-8</v>
      </c>
      <c r="J79" s="18">
        <f t="shared" si="3"/>
        <v>0</v>
      </c>
      <c r="K79" s="34"/>
      <c r="L79" s="24">
        <v>1561</v>
      </c>
      <c r="M79" s="15" t="s">
        <v>3189</v>
      </c>
      <c r="N79" s="25"/>
      <c r="O79" s="35">
        <v>101</v>
      </c>
      <c r="P79" s="17">
        <v>6</v>
      </c>
      <c r="Q79" s="26" t="s">
        <v>4852</v>
      </c>
      <c r="R79" s="24">
        <v>780</v>
      </c>
      <c r="S79" s="26">
        <v>23</v>
      </c>
      <c r="T79" s="16" t="s">
        <v>4872</v>
      </c>
      <c r="U79" s="18">
        <f t="shared" si="4"/>
        <v>606</v>
      </c>
    </row>
    <row r="80" spans="1:21" ht="20.100000000000001" customHeight="1" x14ac:dyDescent="0.25">
      <c r="A80" s="24">
        <f>CADASTROS!$B$64</f>
        <v>62</v>
      </c>
      <c r="B80" s="15" t="str">
        <f>CADASTROS!$C$64</f>
        <v>Mª da Paz G dos Santos Silva</v>
      </c>
      <c r="C80" s="25"/>
      <c r="D80" s="35">
        <f>PLANILHA_COLHEITA_DIÁRIA!$I$102</f>
        <v>0</v>
      </c>
      <c r="E80" s="17">
        <v>6</v>
      </c>
      <c r="F80" s="26" t="str">
        <f>CADASTROS!$E$64</f>
        <v>Cx. Econômica</v>
      </c>
      <c r="G80" s="24">
        <f>CADASTROS!$F$64</f>
        <v>4825</v>
      </c>
      <c r="H80" s="26">
        <f>CADASTROS!$G$64</f>
        <v>1288</v>
      </c>
      <c r="I80" s="16" t="str">
        <f>CADASTROS!$H$64</f>
        <v>871262564-5</v>
      </c>
      <c r="J80" s="18">
        <f t="shared" si="3"/>
        <v>0</v>
      </c>
      <c r="K80" s="34"/>
      <c r="L80" s="24">
        <v>1568</v>
      </c>
      <c r="M80" s="15" t="s">
        <v>3201</v>
      </c>
      <c r="N80" s="25"/>
      <c r="O80" s="35">
        <v>79</v>
      </c>
      <c r="P80" s="17">
        <v>6</v>
      </c>
      <c r="Q80" s="26" t="s">
        <v>4852</v>
      </c>
      <c r="R80" s="24">
        <v>4825</v>
      </c>
      <c r="S80" s="26">
        <v>13</v>
      </c>
      <c r="T80" s="16" t="s">
        <v>3203</v>
      </c>
      <c r="U80" s="18">
        <f t="shared" si="4"/>
        <v>474</v>
      </c>
    </row>
    <row r="81" spans="1:21" ht="20.100000000000001" customHeight="1" x14ac:dyDescent="0.25">
      <c r="A81" s="24">
        <f>CADASTROS!$B$65</f>
        <v>63</v>
      </c>
      <c r="B81" s="15" t="str">
        <f>CADASTROS!$C$65</f>
        <v>Jarmiro Rodrigues Dias</v>
      </c>
      <c r="C81" s="25"/>
      <c r="D81" s="35">
        <f>PLANILHA_COLHEITA_DIÁRIA!$I$103</f>
        <v>0</v>
      </c>
      <c r="E81" s="17">
        <v>6</v>
      </c>
      <c r="F81" s="26" t="str">
        <f>CADASTROS!$E$65</f>
        <v>Cx. Econômica</v>
      </c>
      <c r="G81" s="24">
        <f>CADASTROS!$F$65</f>
        <v>4825</v>
      </c>
      <c r="H81" s="26">
        <f>CADASTROS!$G$65</f>
        <v>1288</v>
      </c>
      <c r="I81" s="16" t="str">
        <f>CADASTROS!$H$65</f>
        <v>808619053-4</v>
      </c>
      <c r="J81" s="18">
        <f t="shared" si="3"/>
        <v>0</v>
      </c>
      <c r="K81" s="34"/>
      <c r="L81" s="24">
        <v>1573</v>
      </c>
      <c r="M81" s="15" t="s">
        <v>3210</v>
      </c>
      <c r="N81" s="25"/>
      <c r="O81" s="35">
        <v>61.5</v>
      </c>
      <c r="P81" s="17">
        <v>6</v>
      </c>
      <c r="Q81" s="26" t="s">
        <v>4865</v>
      </c>
      <c r="R81" s="24">
        <v>949</v>
      </c>
      <c r="S81" s="26">
        <v>13</v>
      </c>
      <c r="T81" s="16" t="s">
        <v>1803</v>
      </c>
      <c r="U81" s="18">
        <f t="shared" si="4"/>
        <v>369</v>
      </c>
    </row>
    <row r="82" spans="1:21" ht="20.100000000000001" customHeight="1" x14ac:dyDescent="0.25">
      <c r="A82" s="24">
        <f>CADASTROS!$B$66</f>
        <v>64</v>
      </c>
      <c r="B82" s="15" t="str">
        <f>CADASTROS!$C$66</f>
        <v>Valéria Martins Santos</v>
      </c>
      <c r="C82" s="25"/>
      <c r="D82" s="35">
        <f>PLANILHA_COLHEITA_DIÁRIA!$I$104</f>
        <v>0</v>
      </c>
      <c r="E82" s="17">
        <v>6</v>
      </c>
      <c r="F82" s="26" t="str">
        <f>CADASTROS!$E$66</f>
        <v>Cx. Econômica</v>
      </c>
      <c r="G82" s="24">
        <f>CADASTROS!$F$66</f>
        <v>3204</v>
      </c>
      <c r="H82" s="26">
        <f>CADASTROS!$G$66</f>
        <v>13</v>
      </c>
      <c r="I82" s="16" t="str">
        <f>CADASTROS!$H$66</f>
        <v>00022281-9</v>
      </c>
      <c r="J82" s="18">
        <f t="shared" si="3"/>
        <v>0</v>
      </c>
      <c r="K82" s="34"/>
      <c r="L82" s="24">
        <v>1594</v>
      </c>
      <c r="M82" s="15" t="s">
        <v>2495</v>
      </c>
      <c r="N82" s="25"/>
      <c r="O82" s="35">
        <v>27</v>
      </c>
      <c r="P82" s="17">
        <v>6</v>
      </c>
      <c r="Q82" s="26" t="s">
        <v>4873</v>
      </c>
      <c r="R82" s="24">
        <v>4825</v>
      </c>
      <c r="S82" s="26">
        <v>13</v>
      </c>
      <c r="T82" s="16" t="s">
        <v>3250</v>
      </c>
      <c r="U82" s="18">
        <f t="shared" si="4"/>
        <v>162</v>
      </c>
    </row>
    <row r="83" spans="1:21" ht="20.100000000000001" customHeight="1" x14ac:dyDescent="0.25">
      <c r="A83" s="24">
        <f>CADASTROS!$B$67</f>
        <v>65</v>
      </c>
      <c r="B83" s="15" t="str">
        <f>CADASTROS!$C$67</f>
        <v>Mª da Paixão M de Oliveira</v>
      </c>
      <c r="C83" s="25"/>
      <c r="D83" s="35">
        <f>PLANILHA_COLHEITA_DIÁRIA!$I$105</f>
        <v>0</v>
      </c>
      <c r="E83" s="17">
        <v>6</v>
      </c>
      <c r="F83" s="26" t="str">
        <f>CADASTROS!$E$67</f>
        <v>Cx. Econômica</v>
      </c>
      <c r="G83" s="24">
        <f>CADASTROS!$F$67</f>
        <v>68</v>
      </c>
      <c r="H83" s="26">
        <f>CADASTROS!$G$67</f>
        <v>1288</v>
      </c>
      <c r="I83" s="16" t="str">
        <f>CADASTROS!$H$67</f>
        <v>860392658-0</v>
      </c>
      <c r="J83" s="18">
        <f t="shared" si="3"/>
        <v>0</v>
      </c>
      <c r="K83" s="34"/>
      <c r="L83" s="24">
        <v>1611</v>
      </c>
      <c r="M83" s="15" t="s">
        <v>3283</v>
      </c>
      <c r="N83" s="25"/>
      <c r="O83" s="35">
        <v>11.5</v>
      </c>
      <c r="P83" s="17">
        <v>6</v>
      </c>
      <c r="Q83" s="26" t="s">
        <v>4852</v>
      </c>
      <c r="R83" s="24">
        <v>949</v>
      </c>
      <c r="S83" s="26">
        <v>13</v>
      </c>
      <c r="T83" s="16" t="s">
        <v>4874</v>
      </c>
      <c r="U83" s="18">
        <f t="shared" si="4"/>
        <v>69</v>
      </c>
    </row>
    <row r="84" spans="1:21" ht="20.100000000000001" customHeight="1" x14ac:dyDescent="0.25">
      <c r="A84" s="24">
        <f>CADASTROS!$B$68</f>
        <v>66</v>
      </c>
      <c r="B84" s="15" t="str">
        <f>CADASTROS!$C$68</f>
        <v>Graziele Jesus Santos</v>
      </c>
      <c r="C84" s="25"/>
      <c r="D84" s="35">
        <f>PLANILHA_COLHEITA_DIÁRIA!$I$106</f>
        <v>0</v>
      </c>
      <c r="E84" s="17">
        <v>6</v>
      </c>
      <c r="F84" s="26" t="str">
        <f>CADASTROS!$E$68</f>
        <v>Cx. Econômica</v>
      </c>
      <c r="G84" s="24">
        <f>CADASTROS!$F$68</f>
        <v>949</v>
      </c>
      <c r="H84" s="26">
        <f>CADASTROS!$G$68</f>
        <v>13</v>
      </c>
      <c r="I84" s="16" t="str">
        <f>CADASTROS!$H$68</f>
        <v>00023889-0</v>
      </c>
      <c r="J84" s="18">
        <f t="shared" si="3"/>
        <v>0</v>
      </c>
      <c r="K84" s="34"/>
      <c r="L84" s="24">
        <v>1617</v>
      </c>
      <c r="M84" s="15" t="s">
        <v>3296</v>
      </c>
      <c r="N84" s="25"/>
      <c r="O84" s="35">
        <v>14</v>
      </c>
      <c r="P84" s="17">
        <v>6</v>
      </c>
      <c r="Q84" s="26" t="s">
        <v>4852</v>
      </c>
      <c r="R84" s="24">
        <v>4825</v>
      </c>
      <c r="S84" s="26">
        <v>1288</v>
      </c>
      <c r="T84" s="16" t="s">
        <v>3297</v>
      </c>
      <c r="U84" s="18">
        <f t="shared" si="4"/>
        <v>84</v>
      </c>
    </row>
    <row r="85" spans="1:21" ht="20.100000000000001" customHeight="1" x14ac:dyDescent="0.25">
      <c r="A85" s="24">
        <f>CADASTROS!$B$69</f>
        <v>67</v>
      </c>
      <c r="B85" s="15" t="str">
        <f>CADASTROS!$C$69</f>
        <v>Maycon Santos de Freitas</v>
      </c>
      <c r="C85" s="25"/>
      <c r="D85" s="35">
        <f>PLANILHA_COLHEITA_DIÁRIA!$I$107</f>
        <v>0</v>
      </c>
      <c r="E85" s="17">
        <v>6</v>
      </c>
      <c r="F85" s="26" t="str">
        <f>CADASTROS!$E$69</f>
        <v>Cx. Econômica</v>
      </c>
      <c r="G85" s="24">
        <f>CADASTROS!$F$69</f>
        <v>3138</v>
      </c>
      <c r="H85" s="26">
        <f>CADASTROS!$G$69</f>
        <v>13</v>
      </c>
      <c r="I85" s="16" t="str">
        <f>CADASTROS!$H$69</f>
        <v>00066301-9</v>
      </c>
      <c r="J85" s="18">
        <f t="shared" si="3"/>
        <v>0</v>
      </c>
      <c r="K85" s="34"/>
      <c r="L85" s="24">
        <v>1633</v>
      </c>
      <c r="M85" s="15" t="s">
        <v>4875</v>
      </c>
      <c r="N85" s="25"/>
      <c r="O85" s="35">
        <v>85.5</v>
      </c>
      <c r="P85" s="17">
        <v>6</v>
      </c>
      <c r="Q85" s="26" t="s">
        <v>4852</v>
      </c>
      <c r="R85" s="24">
        <v>780</v>
      </c>
      <c r="S85" s="26">
        <v>1288</v>
      </c>
      <c r="T85" s="16" t="s">
        <v>3328</v>
      </c>
      <c r="U85" s="18">
        <f t="shared" si="4"/>
        <v>513</v>
      </c>
    </row>
    <row r="86" spans="1:21" ht="20.100000000000001" customHeight="1" x14ac:dyDescent="0.25">
      <c r="A86" s="24">
        <f>CADASTROS!$B$70</f>
        <v>68</v>
      </c>
      <c r="B86" s="15" t="str">
        <f>CADASTROS!$C$70</f>
        <v>Cirlene Cruz Santos</v>
      </c>
      <c r="C86" s="25"/>
      <c r="D86" s="41">
        <f>PLANILHA_COLHEITA_DIÁRIA!$I$108</f>
        <v>0</v>
      </c>
      <c r="E86" s="17">
        <v>6</v>
      </c>
      <c r="F86" s="26" t="str">
        <f>CADASTROS!$E$70</f>
        <v>Banco do Brasil</v>
      </c>
      <c r="G86" s="24" t="str">
        <f>CADASTROS!$F$70</f>
        <v>2760-X</v>
      </c>
      <c r="H86" s="26" t="str">
        <f>CADASTROS!$G$70</f>
        <v>poup</v>
      </c>
      <c r="I86" s="16" t="str">
        <f>CADASTROS!$H$70</f>
        <v>22.421-9</v>
      </c>
      <c r="J86" s="18">
        <f t="shared" si="3"/>
        <v>0</v>
      </c>
      <c r="K86" s="34"/>
      <c r="L86" s="24">
        <v>1641</v>
      </c>
      <c r="M86" s="15" t="s">
        <v>4876</v>
      </c>
      <c r="N86" s="25"/>
      <c r="O86" s="35">
        <v>53</v>
      </c>
      <c r="P86" s="17">
        <v>6</v>
      </c>
      <c r="Q86" s="26" t="s">
        <v>4852</v>
      </c>
      <c r="R86" s="24">
        <v>4825</v>
      </c>
      <c r="S86" s="26">
        <v>1288</v>
      </c>
      <c r="T86" s="16" t="s">
        <v>3347</v>
      </c>
      <c r="U86" s="18">
        <f t="shared" si="4"/>
        <v>318</v>
      </c>
    </row>
    <row r="87" spans="1:21" ht="20.100000000000001" customHeight="1" x14ac:dyDescent="0.25">
      <c r="A87" s="24">
        <f>CADASTROS!$B$71</f>
        <v>69</v>
      </c>
      <c r="B87" s="15">
        <f>CADASTROS!$C$71</f>
        <v>0</v>
      </c>
      <c r="C87" s="25"/>
      <c r="D87" s="35">
        <f>PLANILHA_COLHEITA_DIÁRIA!$I$109</f>
        <v>68.5</v>
      </c>
      <c r="E87" s="17">
        <v>6</v>
      </c>
      <c r="F87" s="26">
        <f>CADASTROS!$E$71</f>
        <v>0</v>
      </c>
      <c r="G87" s="24">
        <f>CADASTROS!$F$71</f>
        <v>0</v>
      </c>
      <c r="H87" s="26">
        <f>CADASTROS!$G$71</f>
        <v>0</v>
      </c>
      <c r="I87" s="16">
        <f>CADASTROS!$H$71</f>
        <v>0</v>
      </c>
      <c r="J87" s="18">
        <f t="shared" si="3"/>
        <v>411</v>
      </c>
      <c r="K87" s="34"/>
      <c r="L87" s="24">
        <v>1645</v>
      </c>
      <c r="M87" s="15" t="s">
        <v>3353</v>
      </c>
      <c r="N87" s="25"/>
      <c r="O87" s="35">
        <v>26</v>
      </c>
      <c r="P87" s="17">
        <v>6</v>
      </c>
      <c r="Q87" s="26" t="s">
        <v>4852</v>
      </c>
      <c r="R87" s="24">
        <v>780</v>
      </c>
      <c r="S87" s="26">
        <v>13</v>
      </c>
      <c r="T87" s="16" t="s">
        <v>3354</v>
      </c>
      <c r="U87" s="18">
        <f t="shared" si="4"/>
        <v>156</v>
      </c>
    </row>
    <row r="88" spans="1:21" ht="20.100000000000001" customHeight="1" x14ac:dyDescent="0.25">
      <c r="A88" s="24">
        <f>CADASTROS!$B$72</f>
        <v>70</v>
      </c>
      <c r="B88" s="15" t="str">
        <f>CADASTROS!$C$72</f>
        <v>Sebastião Quirino dos Anjos</v>
      </c>
      <c r="C88" s="25"/>
      <c r="D88" s="35">
        <f>PLANILHA_COLHEITA_DIÁRIA!$I$110</f>
        <v>0</v>
      </c>
      <c r="E88" s="17">
        <v>6</v>
      </c>
      <c r="F88" s="26" t="str">
        <f>CADASTROS!$E$72</f>
        <v>Cx. Econômica</v>
      </c>
      <c r="G88" s="24">
        <f>CADASTROS!$F$72</f>
        <v>4825</v>
      </c>
      <c r="H88" s="26">
        <f>CADASTROS!$G$72</f>
        <v>13</v>
      </c>
      <c r="I88" s="16" t="str">
        <f>CADASTROS!$H$72</f>
        <v>00019693-0</v>
      </c>
      <c r="J88" s="18">
        <f t="shared" si="3"/>
        <v>0</v>
      </c>
      <c r="K88" s="34"/>
      <c r="L88" s="24">
        <v>1649</v>
      </c>
      <c r="M88" s="15" t="s">
        <v>3362</v>
      </c>
      <c r="N88" s="25"/>
      <c r="O88" s="35">
        <v>9</v>
      </c>
      <c r="P88" s="17">
        <v>6</v>
      </c>
      <c r="Q88" s="26" t="s">
        <v>4852</v>
      </c>
      <c r="R88" s="24">
        <v>949</v>
      </c>
      <c r="S88" s="26">
        <v>1288</v>
      </c>
      <c r="T88" s="16" t="s">
        <v>3364</v>
      </c>
      <c r="U88" s="18">
        <f t="shared" si="4"/>
        <v>54</v>
      </c>
    </row>
    <row r="89" spans="1:21" ht="20.100000000000001" customHeight="1" x14ac:dyDescent="0.25">
      <c r="A89" s="24">
        <f>CADASTROS!$B$73</f>
        <v>71</v>
      </c>
      <c r="B89" s="15" t="str">
        <f>CADASTROS!$C$73</f>
        <v>Juareis Rosa Pires</v>
      </c>
      <c r="C89" s="25"/>
      <c r="D89" s="35">
        <f>PLANILHA_COLHEITA_DIÁRIA!$I$111</f>
        <v>0</v>
      </c>
      <c r="E89" s="17">
        <v>6</v>
      </c>
      <c r="F89" s="26" t="str">
        <f>CADASTROS!$E$73</f>
        <v>Cx. Econômica</v>
      </c>
      <c r="G89" s="24">
        <f>CADASTROS!$F$73</f>
        <v>949</v>
      </c>
      <c r="H89" s="26">
        <f>CADASTROS!$G$73</f>
        <v>1288</v>
      </c>
      <c r="I89" s="16" t="str">
        <f>CADASTROS!$H$73</f>
        <v>793554812-0</v>
      </c>
      <c r="J89" s="18">
        <f t="shared" si="3"/>
        <v>0</v>
      </c>
      <c r="K89" s="34"/>
      <c r="L89" s="24">
        <v>1654</v>
      </c>
      <c r="M89" s="15" t="s">
        <v>3374</v>
      </c>
      <c r="N89" s="25"/>
      <c r="O89" s="35">
        <v>158</v>
      </c>
      <c r="P89" s="17">
        <v>6</v>
      </c>
      <c r="Q89" s="26" t="s">
        <v>4852</v>
      </c>
      <c r="R89" s="24">
        <v>4825</v>
      </c>
      <c r="S89" s="26">
        <v>13</v>
      </c>
      <c r="T89" s="16" t="s">
        <v>3375</v>
      </c>
      <c r="U89" s="18">
        <f t="shared" si="4"/>
        <v>948</v>
      </c>
    </row>
    <row r="90" spans="1:21" ht="20.100000000000001" customHeight="1" x14ac:dyDescent="0.25">
      <c r="A90" s="24">
        <f>CADASTROS!$B$74</f>
        <v>72</v>
      </c>
      <c r="B90" s="15" t="str">
        <f>CADASTROS!$C$74</f>
        <v>Livia Silva dos Anjos</v>
      </c>
      <c r="C90" s="25"/>
      <c r="D90" s="35">
        <f>PLANILHA_COLHEITA_DIÁRIA!$I$112</f>
        <v>0</v>
      </c>
      <c r="E90" s="17">
        <v>6</v>
      </c>
      <c r="F90" s="26" t="str">
        <f>CADASTROS!$E$74</f>
        <v>Cx. Econômica</v>
      </c>
      <c r="G90" s="24">
        <f>CADASTROS!$F$74</f>
        <v>4825</v>
      </c>
      <c r="H90" s="26">
        <f>CADASTROS!$G$74</f>
        <v>13</v>
      </c>
      <c r="I90" s="16" t="str">
        <f>CADASTROS!$H$74</f>
        <v>00023558-8</v>
      </c>
      <c r="J90" s="18">
        <f t="shared" si="3"/>
        <v>0</v>
      </c>
      <c r="K90" s="34"/>
      <c r="L90" s="24">
        <v>1655</v>
      </c>
      <c r="M90" s="15" t="s">
        <v>3376</v>
      </c>
      <c r="N90" s="25"/>
      <c r="O90" s="35">
        <v>102</v>
      </c>
      <c r="P90" s="17">
        <v>6</v>
      </c>
      <c r="Q90" s="26" t="s">
        <v>4852</v>
      </c>
      <c r="R90" s="24">
        <v>4825</v>
      </c>
      <c r="S90" s="26">
        <v>13</v>
      </c>
      <c r="T90" s="16" t="s">
        <v>3377</v>
      </c>
      <c r="U90" s="18">
        <f t="shared" si="4"/>
        <v>612</v>
      </c>
    </row>
    <row r="91" spans="1:21" ht="20.100000000000001" customHeight="1" x14ac:dyDescent="0.25">
      <c r="A91" s="24">
        <f>CADASTROS!$B$75</f>
        <v>73</v>
      </c>
      <c r="B91" s="15" t="str">
        <f>CADASTROS!$C$75</f>
        <v>Francisco Gomes</v>
      </c>
      <c r="C91" s="25"/>
      <c r="D91" s="35">
        <f>PLANILHA_COLHEITA_DIÁRIA!$I$113</f>
        <v>0</v>
      </c>
      <c r="E91" s="17">
        <v>6</v>
      </c>
      <c r="F91" s="26" t="str">
        <f>CADASTROS!$E$75</f>
        <v>Cx. Econômica</v>
      </c>
      <c r="G91" s="24">
        <f>CADASTROS!$F$75</f>
        <v>949</v>
      </c>
      <c r="H91" s="26">
        <f>CADASTROS!$G$75</f>
        <v>1288</v>
      </c>
      <c r="I91" s="16" t="str">
        <f>CADASTROS!$H$75</f>
        <v>795179461-0</v>
      </c>
      <c r="J91" s="18">
        <f t="shared" si="3"/>
        <v>0</v>
      </c>
      <c r="K91" s="34"/>
      <c r="L91" s="24">
        <v>1656</v>
      </c>
      <c r="M91" s="15" t="s">
        <v>3378</v>
      </c>
      <c r="N91" s="25"/>
      <c r="O91" s="35">
        <v>69</v>
      </c>
      <c r="P91" s="17">
        <v>6</v>
      </c>
      <c r="Q91" s="26" t="s">
        <v>4852</v>
      </c>
      <c r="R91" s="24">
        <v>2734</v>
      </c>
      <c r="S91" s="26">
        <v>13</v>
      </c>
      <c r="T91" s="16" t="s">
        <v>2279</v>
      </c>
      <c r="U91" s="18">
        <f t="shared" si="4"/>
        <v>414</v>
      </c>
    </row>
    <row r="92" spans="1:21" ht="20.100000000000001" customHeight="1" x14ac:dyDescent="0.25">
      <c r="A92" s="24">
        <f>CADASTROS!$B$76</f>
        <v>74</v>
      </c>
      <c r="B92" s="15" t="str">
        <f>CADASTROS!$C$76</f>
        <v>José Deodato Ferreira</v>
      </c>
      <c r="C92" s="25"/>
      <c r="D92" s="35">
        <f>PLANILHA_COLHEITA_DIÁRIA!$I$114</f>
        <v>0</v>
      </c>
      <c r="E92" s="17">
        <v>6</v>
      </c>
      <c r="F92" s="26" t="str">
        <f>CADASTROS!$E$76</f>
        <v>Banco do Brasil</v>
      </c>
      <c r="G92" s="24" t="str">
        <f>CADASTROS!$F$76</f>
        <v>2760-X</v>
      </c>
      <c r="H92" s="26" t="str">
        <f>CADASTROS!$G$76</f>
        <v>poup</v>
      </c>
      <c r="I92" s="16" t="str">
        <f>CADASTROS!$H$76</f>
        <v>24.372-8</v>
      </c>
      <c r="J92" s="18">
        <f t="shared" si="3"/>
        <v>0</v>
      </c>
      <c r="K92" s="34"/>
      <c r="L92" s="24">
        <v>1658</v>
      </c>
      <c r="M92" s="15" t="s">
        <v>3382</v>
      </c>
      <c r="N92" s="25"/>
      <c r="O92" s="35">
        <v>24</v>
      </c>
      <c r="P92" s="17">
        <v>6</v>
      </c>
      <c r="Q92" s="26" t="s">
        <v>4852</v>
      </c>
      <c r="R92" s="24">
        <v>4818</v>
      </c>
      <c r="S92" s="26">
        <v>13</v>
      </c>
      <c r="T92" s="16" t="s">
        <v>3383</v>
      </c>
      <c r="U92" s="18">
        <f t="shared" si="4"/>
        <v>144</v>
      </c>
    </row>
    <row r="93" spans="1:21" ht="20.100000000000001" customHeight="1" x14ac:dyDescent="0.25">
      <c r="A93" s="24">
        <f>CADASTROS!$B$77</f>
        <v>75</v>
      </c>
      <c r="B93" s="15" t="str">
        <f>CADASTROS!$C$77</f>
        <v>Eliene Sousa dos Santos</v>
      </c>
      <c r="C93" s="25"/>
      <c r="D93" s="35">
        <f>PLANILHA_COLHEITA_DIÁRIA!$I$115</f>
        <v>0</v>
      </c>
      <c r="E93" s="17">
        <v>6</v>
      </c>
      <c r="F93" s="26" t="str">
        <f>CADASTROS!$E$77</f>
        <v>Cx. Econômica</v>
      </c>
      <c r="G93" s="24">
        <f>CADASTROS!$F$77</f>
        <v>949</v>
      </c>
      <c r="H93" s="26">
        <f>CADASTROS!$G$77</f>
        <v>1288</v>
      </c>
      <c r="I93" s="16" t="str">
        <f>CADASTROS!$H$77</f>
        <v>839007913-3</v>
      </c>
      <c r="J93" s="18">
        <f t="shared" si="3"/>
        <v>0</v>
      </c>
      <c r="K93" s="34"/>
      <c r="L93" s="24">
        <v>1659</v>
      </c>
      <c r="M93" s="15" t="s">
        <v>3384</v>
      </c>
      <c r="N93" s="25"/>
      <c r="O93" s="35">
        <v>41</v>
      </c>
      <c r="P93" s="17">
        <v>6</v>
      </c>
      <c r="Q93" s="26" t="s">
        <v>4852</v>
      </c>
      <c r="R93" s="24">
        <v>4825</v>
      </c>
      <c r="S93" s="26">
        <v>13</v>
      </c>
      <c r="T93" s="16" t="s">
        <v>3385</v>
      </c>
      <c r="U93" s="18">
        <f t="shared" si="4"/>
        <v>246</v>
      </c>
    </row>
    <row r="94" spans="1:21" ht="20.100000000000001" customHeight="1" x14ac:dyDescent="0.25">
      <c r="A94" s="24">
        <f>CADASTROS!$B$78</f>
        <v>76</v>
      </c>
      <c r="B94" s="15" t="str">
        <f>CADASTROS!$C$78</f>
        <v>Anízio Pereira Neto</v>
      </c>
      <c r="C94" s="25"/>
      <c r="D94" s="35">
        <f>PLANILHA_COLHEITA_DIÁRIA!$I$116</f>
        <v>0</v>
      </c>
      <c r="E94" s="17">
        <v>6</v>
      </c>
      <c r="F94" s="26" t="str">
        <f>CADASTROS!$E$78</f>
        <v>Cx. Econômica</v>
      </c>
      <c r="G94" s="24">
        <f>CADASTROS!$F$78</f>
        <v>4818</v>
      </c>
      <c r="H94" s="26">
        <f>CADASTROS!$G$78</f>
        <v>13</v>
      </c>
      <c r="I94" s="16" t="str">
        <f>CADASTROS!$H$78</f>
        <v>00015062-2</v>
      </c>
      <c r="J94" s="18">
        <f t="shared" si="3"/>
        <v>0</v>
      </c>
      <c r="K94" s="34"/>
      <c r="L94" s="24">
        <v>1668</v>
      </c>
      <c r="M94" s="15" t="s">
        <v>3397</v>
      </c>
      <c r="N94" s="25"/>
      <c r="O94" s="35">
        <v>7</v>
      </c>
      <c r="P94" s="17">
        <v>6</v>
      </c>
      <c r="Q94" s="26" t="s">
        <v>4852</v>
      </c>
      <c r="R94" s="24">
        <v>3255</v>
      </c>
      <c r="S94" s="26">
        <v>13</v>
      </c>
      <c r="T94" s="16" t="s">
        <v>3399</v>
      </c>
      <c r="U94" s="18">
        <f t="shared" si="4"/>
        <v>42</v>
      </c>
    </row>
    <row r="95" spans="1:21" ht="20.100000000000001" customHeight="1" x14ac:dyDescent="0.25">
      <c r="A95" s="24" t="e">
        <f>CADASTROS!#REF!</f>
        <v>#REF!</v>
      </c>
      <c r="B95" s="15" t="e">
        <f>CADASTROS!#REF!</f>
        <v>#REF!</v>
      </c>
      <c r="C95" s="25"/>
      <c r="D95" s="35">
        <f>PLANILHA_COLHEITA_DIÁRIA!$I$117</f>
        <v>0</v>
      </c>
      <c r="E95" s="17">
        <v>6</v>
      </c>
      <c r="F95" s="26" t="e">
        <f>CADASTROS!#REF!</f>
        <v>#REF!</v>
      </c>
      <c r="G95" s="24" t="e">
        <f>CADASTROS!#REF!</f>
        <v>#REF!</v>
      </c>
      <c r="H95" s="26" t="e">
        <f>CADASTROS!#REF!</f>
        <v>#REF!</v>
      </c>
      <c r="I95" s="16" t="e">
        <f>CADASTROS!#REF!</f>
        <v>#REF!</v>
      </c>
      <c r="J95" s="18">
        <f t="shared" si="3"/>
        <v>0</v>
      </c>
      <c r="K95" s="34"/>
      <c r="L95" s="24">
        <v>1670</v>
      </c>
      <c r="M95" s="15" t="s">
        <v>3402</v>
      </c>
      <c r="N95" s="25"/>
      <c r="O95" s="35">
        <v>13</v>
      </c>
      <c r="P95" s="17">
        <v>6</v>
      </c>
      <c r="Q95" s="26" t="s">
        <v>4852</v>
      </c>
      <c r="R95" s="24">
        <v>949</v>
      </c>
      <c r="S95" s="26">
        <v>23</v>
      </c>
      <c r="T95" s="16" t="s">
        <v>3403</v>
      </c>
      <c r="U95" s="18">
        <f t="shared" si="4"/>
        <v>78</v>
      </c>
    </row>
    <row r="96" spans="1:21" ht="20.100000000000001" customHeight="1" x14ac:dyDescent="0.25">
      <c r="A96" s="24">
        <f>CADASTROS!$B$79</f>
        <v>77</v>
      </c>
      <c r="B96" s="15" t="str">
        <f>CADASTROS!$C$79</f>
        <v>Edna Brito Paixão de Sousa</v>
      </c>
      <c r="C96" s="25"/>
      <c r="D96" s="35">
        <f>PLANILHA_COLHEITA_DIÁRIA!$I$118</f>
        <v>0</v>
      </c>
      <c r="E96" s="17">
        <v>6</v>
      </c>
      <c r="F96" s="26" t="str">
        <f>CADASTROS!$E$79</f>
        <v>Cx. Econômica</v>
      </c>
      <c r="G96" s="24">
        <f>CADASTROS!$F$79</f>
        <v>949</v>
      </c>
      <c r="H96" s="26">
        <f>CADASTROS!$G$79</f>
        <v>23</v>
      </c>
      <c r="I96" s="16" t="str">
        <f>CADASTROS!$H$79</f>
        <v>00022875-2</v>
      </c>
      <c r="J96" s="18">
        <f t="shared" si="3"/>
        <v>0</v>
      </c>
      <c r="K96" s="34"/>
      <c r="L96" s="24">
        <v>1676</v>
      </c>
      <c r="M96" s="15" t="s">
        <v>3413</v>
      </c>
      <c r="N96" s="25"/>
      <c r="O96" s="35">
        <v>10</v>
      </c>
      <c r="P96" s="17">
        <v>6</v>
      </c>
      <c r="Q96" s="26" t="s">
        <v>4852</v>
      </c>
      <c r="R96" s="24">
        <v>4818</v>
      </c>
      <c r="S96" s="26">
        <v>13</v>
      </c>
      <c r="T96" s="16" t="s">
        <v>3414</v>
      </c>
      <c r="U96" s="18">
        <f t="shared" si="4"/>
        <v>60</v>
      </c>
    </row>
    <row r="97" spans="1:21" ht="20.100000000000001" customHeight="1" x14ac:dyDescent="0.25">
      <c r="A97" s="24">
        <f>CADASTROS!$B$80</f>
        <v>78</v>
      </c>
      <c r="B97" s="15" t="str">
        <f>CADASTROS!$C$80</f>
        <v>José Eduardo Sousa</v>
      </c>
      <c r="C97" s="25"/>
      <c r="D97" s="35">
        <f>PLANILHA_COLHEITA_DIÁRIA!$I$134</f>
        <v>0</v>
      </c>
      <c r="E97" s="17">
        <v>6</v>
      </c>
      <c r="F97" s="26" t="str">
        <f>CADASTROS!$E$80</f>
        <v>Banco do Brasil</v>
      </c>
      <c r="G97" s="24" t="str">
        <f>CADASTROS!$F$80</f>
        <v>2760-X</v>
      </c>
      <c r="H97" s="26" t="str">
        <f>CADASTROS!$G$80</f>
        <v>poup</v>
      </c>
      <c r="I97" s="16" t="str">
        <f>CADASTROS!$H$80</f>
        <v>14.579-3</v>
      </c>
      <c r="J97" s="18">
        <f t="shared" si="3"/>
        <v>0</v>
      </c>
      <c r="K97" s="34"/>
      <c r="L97" s="24">
        <v>1678</v>
      </c>
      <c r="M97" s="15" t="s">
        <v>3417</v>
      </c>
      <c r="N97" s="25"/>
      <c r="O97" s="35">
        <v>48.5</v>
      </c>
      <c r="P97" s="17">
        <v>6</v>
      </c>
      <c r="Q97" s="26" t="s">
        <v>4852</v>
      </c>
      <c r="R97" s="24">
        <v>4601</v>
      </c>
      <c r="S97" s="26">
        <v>13</v>
      </c>
      <c r="T97" s="16" t="s">
        <v>3418</v>
      </c>
      <c r="U97" s="18">
        <f t="shared" si="4"/>
        <v>291</v>
      </c>
    </row>
    <row r="98" spans="1:21" ht="20.100000000000001" customHeight="1" x14ac:dyDescent="0.25">
      <c r="A98" s="24">
        <f>CADASTROS!$B$81</f>
        <v>79</v>
      </c>
      <c r="B98" s="15" t="str">
        <f>CADASTROS!$C$81</f>
        <v>Isamara Oliveira S Santos</v>
      </c>
      <c r="C98" s="25"/>
      <c r="D98" s="35">
        <f>PLANILHA_COLHEITA_DIÁRIA!$I$135</f>
        <v>0</v>
      </c>
      <c r="E98" s="17">
        <v>6</v>
      </c>
      <c r="F98" s="26" t="str">
        <f>CADASTROS!$E$81</f>
        <v>Cx. Econômica</v>
      </c>
      <c r="G98" s="24">
        <f>CADASTROS!$F$81</f>
        <v>949</v>
      </c>
      <c r="H98" s="26">
        <f>CADASTROS!$G$81</f>
        <v>13</v>
      </c>
      <c r="I98" s="16" t="str">
        <f>CADASTROS!$H$81</f>
        <v>00080372-5</v>
      </c>
      <c r="J98" s="18">
        <f t="shared" si="3"/>
        <v>0</v>
      </c>
      <c r="K98" s="34"/>
      <c r="L98" s="24">
        <v>1679</v>
      </c>
      <c r="M98" s="15" t="s">
        <v>3419</v>
      </c>
      <c r="N98" s="25"/>
      <c r="O98" s="35">
        <v>133</v>
      </c>
      <c r="P98" s="17">
        <v>6</v>
      </c>
      <c r="Q98" s="26" t="s">
        <v>4852</v>
      </c>
      <c r="R98" s="24">
        <v>4825</v>
      </c>
      <c r="S98" s="26">
        <v>13</v>
      </c>
      <c r="T98" s="16" t="s">
        <v>3421</v>
      </c>
      <c r="U98" s="18">
        <f t="shared" si="4"/>
        <v>798</v>
      </c>
    </row>
    <row r="99" spans="1:21" ht="20.100000000000001" customHeight="1" x14ac:dyDescent="0.25">
      <c r="A99" s="24">
        <f>CADASTROS!$B$82</f>
        <v>80</v>
      </c>
      <c r="B99" s="15" t="str">
        <f>CADASTROS!$C$82</f>
        <v>Sirlene Rosa dos Santos</v>
      </c>
      <c r="C99" s="25"/>
      <c r="D99" s="35">
        <f>PLANILHA_COLHEITA_DIÁRIA!$I$136</f>
        <v>0</v>
      </c>
      <c r="E99" s="17">
        <v>6</v>
      </c>
      <c r="F99" s="26" t="str">
        <f>CADASTROS!$E$82</f>
        <v>Cx. Econômica</v>
      </c>
      <c r="G99" s="24">
        <f>CADASTROS!$F$82</f>
        <v>1449</v>
      </c>
      <c r="H99" s="26">
        <f>CADASTROS!$G$82</f>
        <v>13</v>
      </c>
      <c r="I99" s="16" t="str">
        <f>CADASTROS!$H$82</f>
        <v>00036096-8</v>
      </c>
      <c r="J99" s="18">
        <f t="shared" si="3"/>
        <v>0</v>
      </c>
      <c r="K99" s="34"/>
      <c r="L99" s="24">
        <v>1683</v>
      </c>
      <c r="M99" s="15" t="s">
        <v>4877</v>
      </c>
      <c r="N99" s="25"/>
      <c r="O99" s="35">
        <v>62</v>
      </c>
      <c r="P99" s="17">
        <v>6</v>
      </c>
      <c r="Q99" s="26" t="s">
        <v>4852</v>
      </c>
      <c r="R99" s="24">
        <v>4818</v>
      </c>
      <c r="S99" s="26">
        <v>1288</v>
      </c>
      <c r="T99" s="16" t="s">
        <v>3430</v>
      </c>
      <c r="U99" s="18">
        <f t="shared" si="4"/>
        <v>372</v>
      </c>
    </row>
    <row r="100" spans="1:21" ht="20.100000000000001" customHeight="1" x14ac:dyDescent="0.25">
      <c r="A100" s="24">
        <f>CADASTROS!$B$83</f>
        <v>81</v>
      </c>
      <c r="B100" s="15" t="str">
        <f>CADASTROS!$C$83</f>
        <v>Esmeralda Martins da Silva</v>
      </c>
      <c r="C100" s="25"/>
      <c r="D100" s="52">
        <f>PLANILHA_COLHEITA_DIÁRIA!$I$137</f>
        <v>0</v>
      </c>
      <c r="E100" s="17">
        <v>6</v>
      </c>
      <c r="F100" s="26" t="str">
        <f>CADASTROS!$E$83</f>
        <v>Bradesco</v>
      </c>
      <c r="G100" s="24">
        <f>CADASTROS!$F$83</f>
        <v>7802</v>
      </c>
      <c r="H100" s="26" t="str">
        <f>CADASTROS!$G$83</f>
        <v>poup</v>
      </c>
      <c r="I100" s="16" t="str">
        <f>CADASTROS!$H$83</f>
        <v>140085-1</v>
      </c>
      <c r="J100" s="18">
        <f t="shared" si="3"/>
        <v>0</v>
      </c>
      <c r="K100" s="34"/>
      <c r="L100" s="24">
        <v>1684</v>
      </c>
      <c r="M100" s="15" t="s">
        <v>3431</v>
      </c>
      <c r="N100" s="25"/>
      <c r="O100" s="35">
        <v>107</v>
      </c>
      <c r="P100" s="17">
        <v>6</v>
      </c>
      <c r="Q100" s="26" t="s">
        <v>4852</v>
      </c>
      <c r="R100" s="24">
        <v>4825</v>
      </c>
      <c r="S100" s="26">
        <v>13</v>
      </c>
      <c r="T100" s="16" t="s">
        <v>3432</v>
      </c>
      <c r="U100" s="18">
        <f t="shared" si="4"/>
        <v>642</v>
      </c>
    </row>
    <row r="101" spans="1:21" ht="20.100000000000001" customHeight="1" x14ac:dyDescent="0.25">
      <c r="A101" s="24">
        <f>CADASTROS!$B$84</f>
        <v>82</v>
      </c>
      <c r="B101" s="15" t="str">
        <f>CADASTROS!$C$84</f>
        <v>Jailzan Mª de Oliveira</v>
      </c>
      <c r="C101" s="25"/>
      <c r="D101" s="41">
        <f>PLANILHA_COLHEITA_DIÁRIA!$I$138</f>
        <v>0</v>
      </c>
      <c r="E101" s="17">
        <v>6</v>
      </c>
      <c r="F101" s="26" t="str">
        <f>CADASTROS!$E$84</f>
        <v>Cx. Econômica</v>
      </c>
      <c r="G101" s="24">
        <f>CADASTROS!$F$84</f>
        <v>4825</v>
      </c>
      <c r="H101" s="26">
        <f>CADASTROS!$G$84</f>
        <v>13</v>
      </c>
      <c r="I101" s="16" t="str">
        <f>CADASTROS!$H$84</f>
        <v>00023903-6</v>
      </c>
      <c r="J101" s="18">
        <f t="shared" si="3"/>
        <v>0</v>
      </c>
      <c r="K101" s="34"/>
      <c r="L101" s="24">
        <v>1686</v>
      </c>
      <c r="M101" s="15" t="s">
        <v>3433</v>
      </c>
      <c r="N101" s="25"/>
      <c r="O101" s="35">
        <v>21.5</v>
      </c>
      <c r="P101" s="17">
        <v>6</v>
      </c>
      <c r="Q101" s="26" t="s">
        <v>4852</v>
      </c>
      <c r="R101" s="24">
        <v>949</v>
      </c>
      <c r="S101" s="26">
        <v>13</v>
      </c>
      <c r="T101" s="16" t="s">
        <v>3434</v>
      </c>
      <c r="U101" s="18">
        <f t="shared" si="4"/>
        <v>129</v>
      </c>
    </row>
    <row r="102" spans="1:21" ht="20.100000000000001" customHeight="1" x14ac:dyDescent="0.25">
      <c r="A102" s="24">
        <f>CADASTROS!$B$85</f>
        <v>83</v>
      </c>
      <c r="B102" s="15" t="str">
        <f>CADASTROS!$C$85</f>
        <v>Janicleide Alves de Brito</v>
      </c>
      <c r="C102" s="25"/>
      <c r="D102" s="35">
        <f>PLANILHA_COLHEITA_DIÁRIA!$I$139</f>
        <v>0</v>
      </c>
      <c r="E102" s="17">
        <v>6</v>
      </c>
      <c r="F102" s="26" t="str">
        <f>CADASTROS!$E$85</f>
        <v>Cx. Econômica</v>
      </c>
      <c r="G102" s="24">
        <f>CADASTROS!$F$85</f>
        <v>4825</v>
      </c>
      <c r="H102" s="26">
        <f>CADASTROS!$G$85</f>
        <v>1288</v>
      </c>
      <c r="I102" s="16" t="str">
        <f>CADASTROS!$H$85</f>
        <v>867522332-1</v>
      </c>
      <c r="J102" s="18">
        <f t="shared" si="3"/>
        <v>0</v>
      </c>
      <c r="K102" s="34"/>
      <c r="L102" s="24">
        <v>1687</v>
      </c>
      <c r="M102" s="15" t="s">
        <v>3435</v>
      </c>
      <c r="N102" s="25"/>
      <c r="O102" s="35">
        <v>78</v>
      </c>
      <c r="P102" s="17">
        <v>6</v>
      </c>
      <c r="Q102" s="26" t="s">
        <v>4852</v>
      </c>
      <c r="R102" s="24">
        <v>949</v>
      </c>
      <c r="S102" s="26">
        <v>13</v>
      </c>
      <c r="T102" s="16" t="s">
        <v>3436</v>
      </c>
      <c r="U102" s="18">
        <f t="shared" si="4"/>
        <v>468</v>
      </c>
    </row>
    <row r="103" spans="1:21" ht="20.100000000000001" customHeight="1" x14ac:dyDescent="0.25">
      <c r="A103" s="24">
        <f>CADASTROS!$B$86</f>
        <v>84</v>
      </c>
      <c r="B103" s="15" t="str">
        <f>CADASTROS!$C$86</f>
        <v>Josenilton de Jesus Moreira</v>
      </c>
      <c r="C103" s="25"/>
      <c r="D103" s="35">
        <f>PLANILHA_COLHEITA_DIÁRIA!$I$140</f>
        <v>0</v>
      </c>
      <c r="E103" s="17">
        <v>6</v>
      </c>
      <c r="F103" s="26" t="str">
        <f>CADASTROS!$E$86</f>
        <v>Cx. Econômica</v>
      </c>
      <c r="G103" s="24">
        <f>CADASTROS!$F$86</f>
        <v>4825</v>
      </c>
      <c r="H103" s="26">
        <f>CADASTROS!$G$86</f>
        <v>13</v>
      </c>
      <c r="I103" s="16" t="str">
        <f>CADASTROS!$H$86</f>
        <v>00016616-0</v>
      </c>
      <c r="J103" s="18">
        <f t="shared" si="3"/>
        <v>0</v>
      </c>
      <c r="K103" s="34"/>
      <c r="L103" s="24">
        <v>1690</v>
      </c>
      <c r="M103" s="15" t="s">
        <v>3442</v>
      </c>
      <c r="N103" s="25"/>
      <c r="O103" s="35">
        <v>33.5</v>
      </c>
      <c r="P103" s="17">
        <v>6</v>
      </c>
      <c r="Q103" s="26" t="s">
        <v>4852</v>
      </c>
      <c r="R103" s="24">
        <v>949</v>
      </c>
      <c r="S103" s="26">
        <v>23</v>
      </c>
      <c r="T103" s="16" t="s">
        <v>3443</v>
      </c>
      <c r="U103" s="18">
        <f t="shared" si="4"/>
        <v>201</v>
      </c>
    </row>
    <row r="104" spans="1:21" ht="20.100000000000001" customHeight="1" x14ac:dyDescent="0.25">
      <c r="A104" s="24">
        <f>CADASTROS!$B$87</f>
        <v>85</v>
      </c>
      <c r="B104" s="15" t="str">
        <f>CADASTROS!$C$87</f>
        <v>Liene Bezerra Alves de Souza</v>
      </c>
      <c r="C104" s="25"/>
      <c r="D104" s="41">
        <f>PLANILHA_COLHEITA_DIÁRIA!$I$141</f>
        <v>22.5</v>
      </c>
      <c r="E104" s="17">
        <v>6</v>
      </c>
      <c r="F104" s="26" t="str">
        <f>CADASTROS!$E$87</f>
        <v>Cx. Econômica</v>
      </c>
      <c r="G104" s="24">
        <f>CADASTROS!$F$87</f>
        <v>780</v>
      </c>
      <c r="H104" s="26">
        <f>CADASTROS!$G$87</f>
        <v>23</v>
      </c>
      <c r="I104" s="16" t="str">
        <f>CADASTROS!$H$87</f>
        <v>00011165-2</v>
      </c>
      <c r="J104" s="18">
        <f t="shared" si="3"/>
        <v>135</v>
      </c>
      <c r="K104" s="34"/>
      <c r="L104" s="24">
        <v>1693</v>
      </c>
      <c r="M104" s="15" t="s">
        <v>3449</v>
      </c>
      <c r="N104" s="25"/>
      <c r="O104" s="35">
        <v>57.5</v>
      </c>
      <c r="P104" s="17">
        <v>6</v>
      </c>
      <c r="Q104" s="26" t="s">
        <v>4852</v>
      </c>
      <c r="R104" s="24">
        <v>4601</v>
      </c>
      <c r="S104" s="26">
        <v>1288</v>
      </c>
      <c r="T104" s="16" t="s">
        <v>3450</v>
      </c>
      <c r="U104" s="18">
        <f t="shared" si="4"/>
        <v>345</v>
      </c>
    </row>
    <row r="105" spans="1:21" ht="20.100000000000001" customHeight="1" x14ac:dyDescent="0.25">
      <c r="A105" s="24">
        <f>CADASTROS!$B$88</f>
        <v>86</v>
      </c>
      <c r="B105" s="15" t="str">
        <f>CADASTROS!$C$88</f>
        <v>Janete de Jesus Maciel</v>
      </c>
      <c r="C105" s="25"/>
      <c r="D105" s="41">
        <f>PLANILHA_COLHEITA_DIÁRIA!$I$142</f>
        <v>0</v>
      </c>
      <c r="E105" s="17">
        <v>6</v>
      </c>
      <c r="F105" s="26" t="str">
        <f>CADASTROS!$E$88</f>
        <v>Bradesco</v>
      </c>
      <c r="G105" s="24" t="str">
        <f>CADASTROS!$F$88</f>
        <v>3801-6</v>
      </c>
      <c r="H105" s="26" t="str">
        <f>CADASTROS!$G$88</f>
        <v>poup</v>
      </c>
      <c r="I105" s="16" t="str">
        <f>CADASTROS!$H$88</f>
        <v>1000053-0</v>
      </c>
      <c r="J105" s="18">
        <f t="shared" si="3"/>
        <v>0</v>
      </c>
      <c r="K105" s="34"/>
      <c r="L105" s="24">
        <v>1694</v>
      </c>
      <c r="M105" s="15" t="s">
        <v>3451</v>
      </c>
      <c r="N105" s="25"/>
      <c r="O105" s="35">
        <v>174</v>
      </c>
      <c r="P105" s="17">
        <v>6</v>
      </c>
      <c r="Q105" s="26" t="s">
        <v>4852</v>
      </c>
      <c r="R105" s="24">
        <v>4601</v>
      </c>
      <c r="S105" s="26">
        <v>13</v>
      </c>
      <c r="T105" s="16" t="s">
        <v>3452</v>
      </c>
      <c r="U105" s="18">
        <f t="shared" si="4"/>
        <v>1044</v>
      </c>
    </row>
    <row r="106" spans="1:21" ht="20.100000000000001" customHeight="1" x14ac:dyDescent="0.25">
      <c r="A106" s="24">
        <f>CADASTROS!$B$89</f>
        <v>87</v>
      </c>
      <c r="B106" s="15" t="str">
        <f>CADASTROS!$C$89</f>
        <v>Roseli dos Anjos Rocha</v>
      </c>
      <c r="C106" s="25"/>
      <c r="D106" s="35">
        <f>PLANILHA_COLHEITA_DIÁRIA!$I$143</f>
        <v>0</v>
      </c>
      <c r="E106" s="17">
        <v>6</v>
      </c>
      <c r="F106" s="26" t="str">
        <f>CADASTROS!$E$89</f>
        <v>Cx. Econômica</v>
      </c>
      <c r="G106" s="24">
        <f>CADASTROS!$F$89</f>
        <v>4825</v>
      </c>
      <c r="H106" s="26">
        <f>CADASTROS!$G$89</f>
        <v>1288</v>
      </c>
      <c r="I106" s="16" t="str">
        <f>CADASTROS!$H$89</f>
        <v>858860243-0</v>
      </c>
      <c r="J106" s="18">
        <f t="shared" si="3"/>
        <v>0</v>
      </c>
      <c r="K106" s="34"/>
      <c r="L106" s="24">
        <v>1696</v>
      </c>
      <c r="M106" s="15" t="s">
        <v>3455</v>
      </c>
      <c r="N106" s="25"/>
      <c r="O106" s="35">
        <v>26.5</v>
      </c>
      <c r="P106" s="17">
        <v>6</v>
      </c>
      <c r="Q106" s="26" t="s">
        <v>4852</v>
      </c>
      <c r="R106" s="24">
        <v>4601</v>
      </c>
      <c r="S106" s="26">
        <v>1288</v>
      </c>
      <c r="T106" s="16" t="s">
        <v>3456</v>
      </c>
      <c r="U106" s="18">
        <f t="shared" si="4"/>
        <v>159</v>
      </c>
    </row>
    <row r="107" spans="1:21" ht="20.100000000000001" customHeight="1" x14ac:dyDescent="0.25">
      <c r="A107" s="24">
        <f>CADASTROS!$B$90</f>
        <v>88</v>
      </c>
      <c r="B107" s="15" t="str">
        <f>CADASTROS!$C$90</f>
        <v>Vilma Souza Santos</v>
      </c>
      <c r="C107" s="25"/>
      <c r="D107" s="35">
        <f>PLANILHA_COLHEITA_DIÁRIA!$I$144</f>
        <v>0</v>
      </c>
      <c r="E107" s="17">
        <v>6</v>
      </c>
      <c r="F107" s="26" t="str">
        <f>CADASTROS!$E$90</f>
        <v>Cx. Econômica</v>
      </c>
      <c r="G107" s="24">
        <f>CADASTROS!$F$90</f>
        <v>949</v>
      </c>
      <c r="H107" s="26">
        <f>CADASTROS!$G$90</f>
        <v>0</v>
      </c>
      <c r="I107" s="16" t="str">
        <f>CADASTROS!$H$90</f>
        <v>000757769231-0</v>
      </c>
      <c r="J107" s="18">
        <f t="shared" si="3"/>
        <v>0</v>
      </c>
      <c r="K107" s="34"/>
      <c r="L107" s="24">
        <v>1697</v>
      </c>
      <c r="M107" s="15" t="s">
        <v>3457</v>
      </c>
      <c r="N107" s="25"/>
      <c r="O107" s="35">
        <v>93</v>
      </c>
      <c r="P107" s="17">
        <v>6</v>
      </c>
      <c r="Q107" s="26" t="s">
        <v>4852</v>
      </c>
      <c r="R107" s="24">
        <v>4601</v>
      </c>
      <c r="S107" s="26">
        <v>1288</v>
      </c>
      <c r="T107" s="16" t="s">
        <v>3458</v>
      </c>
      <c r="U107" s="18">
        <f t="shared" si="4"/>
        <v>558</v>
      </c>
    </row>
    <row r="108" spans="1:21" ht="20.100000000000001" customHeight="1" x14ac:dyDescent="0.25">
      <c r="A108" s="24">
        <f>CADASTROS!$B$91</f>
        <v>89</v>
      </c>
      <c r="B108" s="15" t="str">
        <f>CADASTROS!$C$91</f>
        <v>Izabel Rosa de Oliveira</v>
      </c>
      <c r="C108" s="25"/>
      <c r="D108" s="41">
        <f>PLANILHA_COLHEITA_DIÁRIA!$I$145</f>
        <v>0</v>
      </c>
      <c r="E108" s="17">
        <v>6</v>
      </c>
      <c r="F108" s="26" t="str">
        <f>CADASTROS!$E$91</f>
        <v>Cx. Econômica</v>
      </c>
      <c r="G108" s="24">
        <f>CADASTROS!$F$91</f>
        <v>4825</v>
      </c>
      <c r="H108" s="26">
        <f>CADASTROS!$G$91</f>
        <v>0</v>
      </c>
      <c r="I108" s="16" t="str">
        <f>CADASTROS!$H$91</f>
        <v>000859660495-0</v>
      </c>
      <c r="J108" s="18">
        <f t="shared" si="3"/>
        <v>0</v>
      </c>
      <c r="K108" s="34"/>
      <c r="L108" s="24">
        <v>1698</v>
      </c>
      <c r="M108" s="15" t="s">
        <v>4878</v>
      </c>
      <c r="N108" s="25"/>
      <c r="O108" s="35">
        <v>93</v>
      </c>
      <c r="P108" s="17">
        <v>6</v>
      </c>
      <c r="Q108" s="26" t="s">
        <v>4852</v>
      </c>
      <c r="R108" s="24">
        <v>780</v>
      </c>
      <c r="S108" s="26">
        <v>23</v>
      </c>
      <c r="T108" s="16" t="s">
        <v>3460</v>
      </c>
      <c r="U108" s="18">
        <f t="shared" si="4"/>
        <v>558</v>
      </c>
    </row>
    <row r="109" spans="1:21" ht="20.100000000000001" customHeight="1" x14ac:dyDescent="0.25">
      <c r="A109" s="24" t="e">
        <f>CADASTROS!#REF!</f>
        <v>#REF!</v>
      </c>
      <c r="B109" s="15" t="e">
        <f>CADASTROS!#REF!</f>
        <v>#REF!</v>
      </c>
      <c r="C109" s="25"/>
      <c r="D109" s="35">
        <f>PLANILHA_COLHEITA_DIÁRIA!$I$146</f>
        <v>0</v>
      </c>
      <c r="E109" s="17">
        <v>6</v>
      </c>
      <c r="F109" s="26" t="e">
        <f>CADASTROS!#REF!</f>
        <v>#REF!</v>
      </c>
      <c r="G109" s="24" t="e">
        <f>CADASTROS!#REF!</f>
        <v>#REF!</v>
      </c>
      <c r="H109" s="26" t="e">
        <f>CADASTROS!#REF!</f>
        <v>#REF!</v>
      </c>
      <c r="I109" s="16" t="e">
        <f>CADASTROS!#REF!</f>
        <v>#REF!</v>
      </c>
      <c r="J109" s="18">
        <f t="shared" si="3"/>
        <v>0</v>
      </c>
      <c r="K109" s="34"/>
      <c r="L109" s="24"/>
      <c r="M109" s="15"/>
      <c r="N109" s="25"/>
      <c r="O109" s="35"/>
      <c r="P109" s="17"/>
      <c r="Q109" s="26"/>
      <c r="R109" s="24"/>
      <c r="S109" s="26"/>
      <c r="T109" s="16"/>
      <c r="U109" s="18"/>
    </row>
    <row r="110" spans="1:21" ht="23.25" x14ac:dyDescent="0.35">
      <c r="B110" s="220"/>
      <c r="C110" s="220"/>
      <c r="D110" s="12">
        <f>SUM(D65:D109)</f>
        <v>91</v>
      </c>
      <c r="E110" s="12"/>
      <c r="F110" s="225"/>
      <c r="G110" s="226"/>
      <c r="H110" s="226"/>
      <c r="I110" s="227"/>
      <c r="J110" s="14">
        <f>SUM(J65:J109)</f>
        <v>546</v>
      </c>
      <c r="K110" s="34"/>
      <c r="L110" s="44"/>
      <c r="M110" s="199"/>
      <c r="N110" s="199"/>
      <c r="O110" s="45">
        <f>SUM(O65:O109)</f>
        <v>2446</v>
      </c>
      <c r="P110" s="45"/>
      <c r="Q110" s="200" t="s">
        <v>4869</v>
      </c>
      <c r="R110" s="201"/>
      <c r="S110" s="201"/>
      <c r="T110" s="202"/>
      <c r="U110" s="46">
        <f>SUM(U65:U109)</f>
        <v>14676</v>
      </c>
    </row>
    <row r="113" spans="1:21" ht="15.75" x14ac:dyDescent="0.25">
      <c r="A113" s="213" t="s">
        <v>4816</v>
      </c>
      <c r="B113" s="213"/>
      <c r="C113" s="213"/>
      <c r="D113" s="213"/>
      <c r="E113" s="213"/>
      <c r="F113" s="213"/>
      <c r="G113" s="213"/>
      <c r="H113" s="213"/>
      <c r="I113" s="213"/>
      <c r="J113" s="213"/>
      <c r="L113" s="237" t="s">
        <v>4816</v>
      </c>
      <c r="M113" s="237"/>
      <c r="N113" s="237"/>
      <c r="O113" s="237"/>
      <c r="P113" s="237"/>
      <c r="Q113" s="237"/>
      <c r="R113" s="237"/>
      <c r="S113" s="237"/>
      <c r="T113" s="237"/>
      <c r="U113" s="237"/>
    </row>
    <row r="114" spans="1:21" ht="16.5" thickBot="1" x14ac:dyDescent="0.3">
      <c r="A114" s="214" t="s">
        <v>4843</v>
      </c>
      <c r="B114" s="214"/>
      <c r="C114" s="214"/>
      <c r="D114" s="214"/>
      <c r="E114" s="214"/>
      <c r="F114" s="214"/>
      <c r="G114" s="214"/>
      <c r="H114" s="214"/>
      <c r="I114" s="214"/>
      <c r="J114" s="214"/>
      <c r="L114" s="203" t="s">
        <v>4843</v>
      </c>
      <c r="M114" s="203"/>
      <c r="N114" s="203"/>
      <c r="O114" s="203"/>
      <c r="P114" s="203"/>
      <c r="Q114" s="203"/>
      <c r="R114" s="203"/>
      <c r="S114" s="203"/>
      <c r="T114" s="203"/>
      <c r="U114" s="203"/>
    </row>
    <row r="115" spans="1:21" ht="17.25" thickTop="1" thickBot="1" x14ac:dyDescent="0.3">
      <c r="A115" s="215" t="s">
        <v>4844</v>
      </c>
      <c r="B115" s="215"/>
      <c r="C115" s="215"/>
      <c r="D115" s="215"/>
      <c r="E115" s="215"/>
      <c r="F115" s="215"/>
      <c r="G115" s="215"/>
      <c r="H115" s="215"/>
      <c r="I115" s="215"/>
      <c r="J115" s="215"/>
      <c r="L115" s="204" t="s">
        <v>4845</v>
      </c>
      <c r="M115" s="204"/>
      <c r="N115" s="204"/>
      <c r="O115" s="204"/>
      <c r="P115" s="204"/>
      <c r="Q115" s="204"/>
      <c r="R115" s="204"/>
      <c r="S115" s="204"/>
      <c r="T115" s="204"/>
      <c r="U115" s="204"/>
    </row>
    <row r="116" spans="1:21" ht="20.100000000000001" customHeight="1" x14ac:dyDescent="0.3">
      <c r="A116" s="19" t="s">
        <v>4846</v>
      </c>
      <c r="B116" s="216" t="s">
        <v>1</v>
      </c>
      <c r="C116" s="221" t="s">
        <v>2</v>
      </c>
      <c r="D116" s="223" t="s">
        <v>4847</v>
      </c>
      <c r="E116" s="20" t="s">
        <v>4848</v>
      </c>
      <c r="F116" s="216" t="s">
        <v>3</v>
      </c>
      <c r="G116" s="216" t="s">
        <v>4</v>
      </c>
      <c r="H116" s="216" t="s">
        <v>5</v>
      </c>
      <c r="I116" s="216" t="s">
        <v>6</v>
      </c>
      <c r="J116" s="218" t="s">
        <v>4849</v>
      </c>
      <c r="L116" s="47" t="s">
        <v>4846</v>
      </c>
      <c r="M116" s="205" t="s">
        <v>1</v>
      </c>
      <c r="N116" s="207" t="s">
        <v>2</v>
      </c>
      <c r="O116" s="209" t="s">
        <v>4847</v>
      </c>
      <c r="P116" s="50" t="s">
        <v>4848</v>
      </c>
      <c r="Q116" s="205" t="s">
        <v>3</v>
      </c>
      <c r="R116" s="205" t="s">
        <v>4</v>
      </c>
      <c r="S116" s="205" t="s">
        <v>5</v>
      </c>
      <c r="T116" s="205" t="s">
        <v>6</v>
      </c>
      <c r="U116" s="211" t="s">
        <v>4849</v>
      </c>
    </row>
    <row r="117" spans="1:21" ht="20.100000000000001" customHeight="1" thickBot="1" x14ac:dyDescent="0.35">
      <c r="A117" s="21" t="s">
        <v>4850</v>
      </c>
      <c r="B117" s="217"/>
      <c r="C117" s="222"/>
      <c r="D117" s="224"/>
      <c r="E117" s="161" t="s">
        <v>4851</v>
      </c>
      <c r="F117" s="217"/>
      <c r="G117" s="217"/>
      <c r="H117" s="217"/>
      <c r="I117" s="217"/>
      <c r="J117" s="219"/>
      <c r="L117" s="48" t="s">
        <v>4850</v>
      </c>
      <c r="M117" s="206"/>
      <c r="N117" s="208"/>
      <c r="O117" s="210"/>
      <c r="P117" s="166" t="s">
        <v>4851</v>
      </c>
      <c r="Q117" s="206"/>
      <c r="R117" s="206"/>
      <c r="S117" s="206"/>
      <c r="T117" s="206"/>
      <c r="U117" s="212"/>
    </row>
    <row r="118" spans="1:21" ht="20.100000000000001" customHeight="1" x14ac:dyDescent="0.25">
      <c r="A118" s="24">
        <f>CADASTROS!$B$182</f>
        <v>180</v>
      </c>
      <c r="B118" s="15" t="str">
        <f>CADASTROS!$C$182</f>
        <v>Ideiblem de Santana Lima</v>
      </c>
      <c r="C118" s="25"/>
      <c r="D118" s="35">
        <f>PLANILHA_COLHEITA_DIÁRIA!$I$309</f>
        <v>0</v>
      </c>
      <c r="E118" s="17">
        <v>6</v>
      </c>
      <c r="F118" s="26" t="str">
        <f>CADASTROS!$E$182</f>
        <v>Bradesco</v>
      </c>
      <c r="G118" s="24">
        <f>CADASTROS!$F$182</f>
        <v>3929</v>
      </c>
      <c r="H118" s="26" t="str">
        <f>CADASTROS!$G$182</f>
        <v>poup</v>
      </c>
      <c r="I118" s="16" t="str">
        <f>CADASTROS!$H$182</f>
        <v>0448496-7</v>
      </c>
      <c r="J118" s="18">
        <f t="shared" ref="J118:J162" si="5">D118*E118</f>
        <v>0</v>
      </c>
      <c r="L118" s="24">
        <f>CADASTROS!$B$1394</f>
        <v>1392</v>
      </c>
      <c r="M118" s="15" t="str">
        <f>CADASTROS!$C$1394</f>
        <v>Manelito Silva A. Souza</v>
      </c>
      <c r="N118" s="25"/>
      <c r="O118" s="35">
        <f>PLANILHA_COLHEITA_DIÁRIA!$I$2120</f>
        <v>28</v>
      </c>
      <c r="P118" s="17">
        <v>6</v>
      </c>
      <c r="Q118" s="26" t="str">
        <f>CADASTROS!$E$1394</f>
        <v>Cx. Econômica</v>
      </c>
      <c r="R118" s="24">
        <f>CADASTROS!$F$1394</f>
        <v>4818</v>
      </c>
      <c r="S118" s="26">
        <f>CADASTROS!$G$1394</f>
        <v>13</v>
      </c>
      <c r="T118" s="16" t="str">
        <f>CADASTROS!$H$1394</f>
        <v>00007921-9</v>
      </c>
      <c r="U118" s="18">
        <f t="shared" ref="U118:U162" si="6">O118*P118</f>
        <v>168</v>
      </c>
    </row>
    <row r="119" spans="1:21" ht="20.100000000000001" customHeight="1" x14ac:dyDescent="0.25">
      <c r="A119" s="24">
        <f>CADASTROS!$B$183</f>
        <v>181</v>
      </c>
      <c r="B119" s="15" t="str">
        <f>CADASTROS!$C$183</f>
        <v>Romeilton de Jesus Souza</v>
      </c>
      <c r="C119" s="25"/>
      <c r="D119" s="52">
        <f>PLANILHA_COLHEITA_DIÁRIA!$I$310</f>
        <v>0</v>
      </c>
      <c r="E119" s="17">
        <v>6</v>
      </c>
      <c r="F119" s="26" t="str">
        <f>CADASTROS!$E$183</f>
        <v>Cx. Econômica</v>
      </c>
      <c r="G119" s="24">
        <f>CADASTROS!$F$183</f>
        <v>4825</v>
      </c>
      <c r="H119" s="26">
        <f>CADASTROS!$G$183</f>
        <v>1288</v>
      </c>
      <c r="I119" s="16" t="str">
        <f>CADASTROS!$H$183</f>
        <v>871263092-4</v>
      </c>
      <c r="J119" s="18">
        <f t="shared" si="5"/>
        <v>0</v>
      </c>
      <c r="L119" s="24">
        <f>CADASTROS!$B$1395</f>
        <v>1393</v>
      </c>
      <c r="M119" s="15" t="str">
        <f>CADASTROS!$C$1395</f>
        <v>Lívia Sousa Gonçalves</v>
      </c>
      <c r="N119" s="25"/>
      <c r="O119" s="35">
        <f>PLANILHA_COLHEITA_DIÁRIA!$I$2121</f>
        <v>40.5</v>
      </c>
      <c r="P119" s="17">
        <v>6</v>
      </c>
      <c r="Q119" s="26" t="str">
        <f>CADASTROS!$E$1395</f>
        <v>Bradesco</v>
      </c>
      <c r="R119" s="24" t="str">
        <f>CADASTROS!$F$1395</f>
        <v>3801-6</v>
      </c>
      <c r="S119" s="26" t="str">
        <f>CADASTROS!$G$1395</f>
        <v>poup</v>
      </c>
      <c r="T119" s="16" t="str">
        <f>CADASTROS!$H$1395</f>
        <v>0004280-3</v>
      </c>
      <c r="U119" s="18">
        <f t="shared" si="6"/>
        <v>243</v>
      </c>
    </row>
    <row r="120" spans="1:21" ht="20.100000000000001" customHeight="1" x14ac:dyDescent="0.25">
      <c r="A120" s="24">
        <f>CADASTROS!$B$184</f>
        <v>182</v>
      </c>
      <c r="B120" s="15" t="str">
        <f>CADASTROS!$C$184</f>
        <v>Lucas Pereira Gomes</v>
      </c>
      <c r="C120" s="25"/>
      <c r="D120" s="35">
        <f>PLANILHA_COLHEITA_DIÁRIA!$I$311</f>
        <v>0</v>
      </c>
      <c r="E120" s="17">
        <v>6</v>
      </c>
      <c r="F120" s="26" t="str">
        <f>CADASTROS!$E$184</f>
        <v>Cx. Econômica</v>
      </c>
      <c r="G120" s="24">
        <f>CADASTROS!$F$184</f>
        <v>4825</v>
      </c>
      <c r="H120" s="26">
        <f>CADASTROS!$G$184</f>
        <v>13</v>
      </c>
      <c r="I120" s="16" t="str">
        <f>CADASTROS!$H$184</f>
        <v>00010049-6</v>
      </c>
      <c r="J120" s="18">
        <f t="shared" si="5"/>
        <v>0</v>
      </c>
      <c r="L120" s="24">
        <v>1705</v>
      </c>
      <c r="M120" s="15" t="s">
        <v>3470</v>
      </c>
      <c r="N120" s="25"/>
      <c r="O120" s="35">
        <v>60</v>
      </c>
      <c r="P120" s="17">
        <v>6</v>
      </c>
      <c r="Q120" s="26" t="s">
        <v>4879</v>
      </c>
      <c r="R120" s="24">
        <v>949</v>
      </c>
      <c r="S120" s="26">
        <v>13</v>
      </c>
      <c r="T120" s="16" t="s">
        <v>3471</v>
      </c>
      <c r="U120" s="18">
        <f t="shared" si="6"/>
        <v>360</v>
      </c>
    </row>
    <row r="121" spans="1:21" ht="20.100000000000001" customHeight="1" x14ac:dyDescent="0.25">
      <c r="A121" s="24">
        <f>CADASTROS!$B$185</f>
        <v>183</v>
      </c>
      <c r="B121" s="15" t="str">
        <f>CADASTROS!$C$185</f>
        <v>Erivaldo Souza da Silva</v>
      </c>
      <c r="C121" s="25"/>
      <c r="D121" s="35">
        <f>PLANILHA_COLHEITA_DIÁRIA!$I$312</f>
        <v>0</v>
      </c>
      <c r="E121" s="17">
        <v>6</v>
      </c>
      <c r="F121" s="26" t="str">
        <f>CADASTROS!$E$185</f>
        <v>Cx. Econômica</v>
      </c>
      <c r="G121" s="24">
        <f>CADASTROS!$F$185</f>
        <v>4825</v>
      </c>
      <c r="H121" s="26">
        <f>CADASTROS!$G$185</f>
        <v>1288</v>
      </c>
      <c r="I121" s="16" t="str">
        <f>CADASTROS!$H$185</f>
        <v>797725457-4</v>
      </c>
      <c r="J121" s="18">
        <f t="shared" si="5"/>
        <v>0</v>
      </c>
      <c r="L121" s="24">
        <v>1706</v>
      </c>
      <c r="M121" s="15" t="s">
        <v>3472</v>
      </c>
      <c r="N121" s="25"/>
      <c r="O121" s="35">
        <v>27</v>
      </c>
      <c r="P121" s="17">
        <v>6</v>
      </c>
      <c r="Q121" s="26" t="s">
        <v>4879</v>
      </c>
      <c r="R121" s="24">
        <v>783</v>
      </c>
      <c r="S121" s="26">
        <v>13</v>
      </c>
      <c r="T121" s="16" t="s">
        <v>3473</v>
      </c>
      <c r="U121" s="18">
        <f t="shared" si="6"/>
        <v>162</v>
      </c>
    </row>
    <row r="122" spans="1:21" ht="20.100000000000001" customHeight="1" x14ac:dyDescent="0.25">
      <c r="A122" s="24">
        <f>CADASTROS!$B$186</f>
        <v>184</v>
      </c>
      <c r="B122" s="15" t="str">
        <f>CADASTROS!$C$186</f>
        <v>Marilene de Araújo Souza</v>
      </c>
      <c r="C122" s="25"/>
      <c r="D122" s="35">
        <f>PLANILHA_COLHEITA_DIÁRIA!$I$313</f>
        <v>0</v>
      </c>
      <c r="E122" s="17">
        <v>6</v>
      </c>
      <c r="F122" s="26" t="str">
        <f>CADASTROS!$E$186</f>
        <v>Cx. Econômica</v>
      </c>
      <c r="G122" s="24">
        <f>CADASTROS!$F$186</f>
        <v>4825</v>
      </c>
      <c r="H122" s="26">
        <f>CADASTROS!$G$186</f>
        <v>0</v>
      </c>
      <c r="I122" s="16" t="str">
        <f>CADASTROS!$H$186</f>
        <v>000803734273-3</v>
      </c>
      <c r="J122" s="18">
        <f t="shared" si="5"/>
        <v>0</v>
      </c>
      <c r="L122" s="24">
        <v>1712</v>
      </c>
      <c r="M122" s="15" t="s">
        <v>3482</v>
      </c>
      <c r="N122" s="25"/>
      <c r="O122" s="35">
        <v>44.5</v>
      </c>
      <c r="P122" s="17">
        <v>6</v>
      </c>
      <c r="Q122" s="26" t="s">
        <v>4879</v>
      </c>
      <c r="R122" s="24">
        <v>4818</v>
      </c>
      <c r="S122" s="26">
        <v>13</v>
      </c>
      <c r="T122" s="16" t="s">
        <v>3484</v>
      </c>
      <c r="U122" s="18">
        <f t="shared" si="6"/>
        <v>267</v>
      </c>
    </row>
    <row r="123" spans="1:21" ht="20.100000000000001" customHeight="1" x14ac:dyDescent="0.25">
      <c r="A123" s="24">
        <f>CADASTROS!$B$187</f>
        <v>185</v>
      </c>
      <c r="B123" s="15" t="str">
        <f>CADASTROS!$C$187</f>
        <v>Leonardo da Silva Moura</v>
      </c>
      <c r="C123" s="25"/>
      <c r="D123" s="35">
        <f>PLANILHA_COLHEITA_DIÁRIA!$I$314</f>
        <v>0</v>
      </c>
      <c r="E123" s="17">
        <v>6</v>
      </c>
      <c r="F123" s="26" t="str">
        <f>CADASTROS!$E$187</f>
        <v>Cx. Econômica</v>
      </c>
      <c r="G123" s="24">
        <f>CADASTROS!$F$187</f>
        <v>4818</v>
      </c>
      <c r="H123" s="26">
        <f>CADASTROS!$G$187</f>
        <v>13</v>
      </c>
      <c r="I123" s="16" t="str">
        <f>CADASTROS!$H$187</f>
        <v>00015112-2</v>
      </c>
      <c r="J123" s="18">
        <f t="shared" si="5"/>
        <v>0</v>
      </c>
      <c r="L123" s="24">
        <v>1713</v>
      </c>
      <c r="M123" s="15" t="s">
        <v>3485</v>
      </c>
      <c r="N123" s="25"/>
      <c r="O123" s="35">
        <v>28.5</v>
      </c>
      <c r="P123" s="17">
        <v>6</v>
      </c>
      <c r="Q123" s="26" t="s">
        <v>4879</v>
      </c>
      <c r="R123" s="24">
        <v>949</v>
      </c>
      <c r="S123" s="26">
        <v>1288</v>
      </c>
      <c r="T123" s="16" t="s">
        <v>3486</v>
      </c>
      <c r="U123" s="18">
        <f t="shared" si="6"/>
        <v>171</v>
      </c>
    </row>
    <row r="124" spans="1:21" ht="20.100000000000001" customHeight="1" x14ac:dyDescent="0.25">
      <c r="A124" s="24">
        <f>CADASTROS!$B$188</f>
        <v>186</v>
      </c>
      <c r="B124" s="15" t="str">
        <f>CADASTROS!$C$188</f>
        <v>Jaelson Araújo dos Anjos</v>
      </c>
      <c r="C124" s="33"/>
      <c r="D124" s="35">
        <f>PLANILHA_COLHEITA_DIÁRIA!$I$315</f>
        <v>0</v>
      </c>
      <c r="E124" s="17">
        <v>6</v>
      </c>
      <c r="F124" s="26" t="str">
        <f>CADASTROS!$E$188</f>
        <v>Bradesco</v>
      </c>
      <c r="G124" s="24" t="str">
        <f>CADASTROS!$F$188</f>
        <v>3801-6</v>
      </c>
      <c r="H124" s="26" t="str">
        <f>CADASTROS!$G$188</f>
        <v>poup</v>
      </c>
      <c r="I124" s="16" t="str">
        <f>CADASTROS!$H$188</f>
        <v>0004348-6</v>
      </c>
      <c r="J124" s="18">
        <f t="shared" si="5"/>
        <v>0</v>
      </c>
      <c r="L124" s="24">
        <v>1716</v>
      </c>
      <c r="M124" s="15" t="s">
        <v>3492</v>
      </c>
      <c r="N124" s="25"/>
      <c r="O124" s="35">
        <v>46</v>
      </c>
      <c r="P124" s="17">
        <v>6</v>
      </c>
      <c r="Q124" s="26" t="s">
        <v>4879</v>
      </c>
      <c r="R124" s="24">
        <v>4818</v>
      </c>
      <c r="S124" s="26">
        <v>13</v>
      </c>
      <c r="T124" s="16" t="s">
        <v>3493</v>
      </c>
      <c r="U124" s="18">
        <f t="shared" si="6"/>
        <v>276</v>
      </c>
    </row>
    <row r="125" spans="1:21" ht="20.100000000000001" customHeight="1" x14ac:dyDescent="0.25">
      <c r="A125" s="24">
        <f>CADASTROS!$B$189</f>
        <v>187</v>
      </c>
      <c r="B125" s="15" t="str">
        <f>CADASTROS!$C$189</f>
        <v>Welton Araújo dos Anjos</v>
      </c>
      <c r="C125" s="25"/>
      <c r="D125" s="35">
        <f>PLANILHA_COLHEITA_DIÁRIA!$I$316</f>
        <v>0</v>
      </c>
      <c r="E125" s="17">
        <v>6</v>
      </c>
      <c r="F125" s="26" t="str">
        <f>CADASTROS!$E$189</f>
        <v>Cx. Econômica</v>
      </c>
      <c r="G125" s="24">
        <f>CADASTROS!$F$189</f>
        <v>4825</v>
      </c>
      <c r="H125" s="26">
        <f>CADASTROS!$G$189</f>
        <v>1288</v>
      </c>
      <c r="I125" s="16" t="str">
        <f>CADASTROS!$H$189</f>
        <v>801327813-0</v>
      </c>
      <c r="J125" s="18">
        <f t="shared" si="5"/>
        <v>0</v>
      </c>
      <c r="L125" s="24">
        <v>1719</v>
      </c>
      <c r="M125" s="15" t="s">
        <v>3498</v>
      </c>
      <c r="N125" s="25"/>
      <c r="O125" s="35">
        <v>7</v>
      </c>
      <c r="P125" s="17">
        <v>6</v>
      </c>
      <c r="Q125" s="26" t="s">
        <v>4879</v>
      </c>
      <c r="R125" s="24">
        <v>4818</v>
      </c>
      <c r="S125" s="26">
        <v>13</v>
      </c>
      <c r="T125" s="16" t="s">
        <v>3499</v>
      </c>
      <c r="U125" s="18">
        <f t="shared" si="6"/>
        <v>42</v>
      </c>
    </row>
    <row r="126" spans="1:21" ht="20.100000000000001" customHeight="1" x14ac:dyDescent="0.25">
      <c r="A126" s="24">
        <f>CADASTROS!$B$190</f>
        <v>188</v>
      </c>
      <c r="B126" s="15" t="str">
        <f>CADASTROS!$C$190</f>
        <v>Evanildo Souza de Oliveira</v>
      </c>
      <c r="C126" s="33"/>
      <c r="D126" s="35">
        <f>PLANILHA_COLHEITA_DIÁRIA!$I$317</f>
        <v>0</v>
      </c>
      <c r="E126" s="17">
        <v>6</v>
      </c>
      <c r="F126" s="26" t="str">
        <f>CADASTROS!$E$190</f>
        <v>Cx. Econômica</v>
      </c>
      <c r="G126" s="24">
        <f>CADASTROS!$F$190</f>
        <v>4825</v>
      </c>
      <c r="H126" s="26">
        <f>CADASTROS!$G$190</f>
        <v>13</v>
      </c>
      <c r="I126" s="16" t="str">
        <f>CADASTROS!$H$190</f>
        <v>00008902-8</v>
      </c>
      <c r="J126" s="18">
        <f t="shared" si="5"/>
        <v>0</v>
      </c>
      <c r="L126" s="24">
        <v>1720</v>
      </c>
      <c r="M126" s="15" t="s">
        <v>3500</v>
      </c>
      <c r="N126" s="25"/>
      <c r="O126" s="35">
        <v>69.5</v>
      </c>
      <c r="P126" s="17">
        <v>6</v>
      </c>
      <c r="Q126" s="26" t="s">
        <v>4879</v>
      </c>
      <c r="R126" s="24">
        <v>4818</v>
      </c>
      <c r="S126" s="26">
        <v>13</v>
      </c>
      <c r="T126" s="16" t="s">
        <v>3501</v>
      </c>
      <c r="U126" s="18">
        <f t="shared" si="6"/>
        <v>417</v>
      </c>
    </row>
    <row r="127" spans="1:21" ht="20.100000000000001" customHeight="1" x14ac:dyDescent="0.25">
      <c r="A127" s="24">
        <f>CADASTROS!$B$191</f>
        <v>189</v>
      </c>
      <c r="B127" s="15" t="str">
        <f>CADASTROS!$C$191</f>
        <v>Reinan Maciel Pinto</v>
      </c>
      <c r="C127" s="33"/>
      <c r="D127" s="35">
        <f>PLANILHA_COLHEITA_DIÁRIA!$I$318</f>
        <v>0</v>
      </c>
      <c r="E127" s="17">
        <v>6</v>
      </c>
      <c r="F127" s="26" t="str">
        <f>CADASTROS!$E$191</f>
        <v>Bradesco</v>
      </c>
      <c r="G127" s="24" t="str">
        <f>CADASTROS!$F$191</f>
        <v>3801-6</v>
      </c>
      <c r="H127" s="26" t="str">
        <f>CADASTROS!$G$191</f>
        <v>poup</v>
      </c>
      <c r="I127" s="16" t="str">
        <f>CADASTROS!$H$191</f>
        <v>0001764-7</v>
      </c>
      <c r="J127" s="18">
        <f t="shared" si="5"/>
        <v>0</v>
      </c>
      <c r="L127" s="24">
        <v>1723</v>
      </c>
      <c r="M127" s="15" t="s">
        <v>3506</v>
      </c>
      <c r="N127" s="25"/>
      <c r="O127" s="35">
        <v>213.5</v>
      </c>
      <c r="P127" s="17">
        <v>6</v>
      </c>
      <c r="Q127" s="26" t="s">
        <v>4879</v>
      </c>
      <c r="R127" s="24">
        <v>4601</v>
      </c>
      <c r="S127" s="26">
        <v>1288</v>
      </c>
      <c r="T127" s="16" t="s">
        <v>3507</v>
      </c>
      <c r="U127" s="18">
        <f t="shared" si="6"/>
        <v>1281</v>
      </c>
    </row>
    <row r="128" spans="1:21" ht="20.100000000000001" customHeight="1" x14ac:dyDescent="0.25">
      <c r="A128" s="24">
        <f>CADASTROS!$B$192</f>
        <v>190</v>
      </c>
      <c r="B128" s="15" t="str">
        <f>CADASTROS!$C$192</f>
        <v>Sirleide da Silva Santana</v>
      </c>
      <c r="C128" s="33"/>
      <c r="D128" s="35">
        <f>PLANILHA_COLHEITA_DIÁRIA!$I$319</f>
        <v>0</v>
      </c>
      <c r="E128" s="17">
        <v>6</v>
      </c>
      <c r="F128" s="26" t="str">
        <f>CADASTROS!$E$192</f>
        <v>Cx. Econômica</v>
      </c>
      <c r="G128" s="24">
        <f>CADASTROS!$F$192</f>
        <v>4818</v>
      </c>
      <c r="H128" s="26">
        <f>CADASTROS!$G$192</f>
        <v>1288</v>
      </c>
      <c r="I128" s="16" t="str">
        <f>CADASTROS!$H$192</f>
        <v>853253581-8</v>
      </c>
      <c r="J128" s="18">
        <f t="shared" si="5"/>
        <v>0</v>
      </c>
      <c r="L128" s="24">
        <v>1726</v>
      </c>
      <c r="M128" s="15" t="s">
        <v>3512</v>
      </c>
      <c r="N128" s="25"/>
      <c r="O128" s="35">
        <v>8</v>
      </c>
      <c r="P128" s="17">
        <v>6</v>
      </c>
      <c r="Q128" s="26" t="s">
        <v>4879</v>
      </c>
      <c r="R128" s="24">
        <v>949</v>
      </c>
      <c r="S128" s="26">
        <v>23</v>
      </c>
      <c r="T128" s="16" t="s">
        <v>3513</v>
      </c>
      <c r="U128" s="18">
        <f t="shared" si="6"/>
        <v>48</v>
      </c>
    </row>
    <row r="129" spans="1:21" ht="20.100000000000001" customHeight="1" x14ac:dyDescent="0.25">
      <c r="A129" s="24">
        <f>CADASTROS!$B$193</f>
        <v>191</v>
      </c>
      <c r="B129" s="15" t="str">
        <f>CADASTROS!$C$193</f>
        <v>Iranilda M Souza</v>
      </c>
      <c r="C129" s="25"/>
      <c r="D129" s="35">
        <f>PLANILHA_COLHEITA_DIÁRIA!$I$320</f>
        <v>109</v>
      </c>
      <c r="E129" s="17">
        <v>6</v>
      </c>
      <c r="F129" s="26" t="str">
        <f>CADASTROS!$E$193</f>
        <v>Banco do Brasil</v>
      </c>
      <c r="G129" s="24" t="str">
        <f>CADASTROS!$F$193</f>
        <v>2760-X</v>
      </c>
      <c r="H129" s="26" t="str">
        <f>CADASTROS!$G$193</f>
        <v>c/poup</v>
      </c>
      <c r="I129" s="16" t="str">
        <f>CADASTROS!$H$193</f>
        <v>22.200-3</v>
      </c>
      <c r="J129" s="18">
        <f t="shared" si="5"/>
        <v>654</v>
      </c>
      <c r="L129" s="24">
        <v>1727</v>
      </c>
      <c r="M129" s="15" t="s">
        <v>3514</v>
      </c>
      <c r="N129" s="25"/>
      <c r="O129" s="35">
        <v>30</v>
      </c>
      <c r="P129" s="17">
        <v>6</v>
      </c>
      <c r="Q129" s="26" t="s">
        <v>4879</v>
      </c>
      <c r="R129" s="24">
        <v>812</v>
      </c>
      <c r="S129" s="26">
        <v>1288</v>
      </c>
      <c r="T129" s="16" t="s">
        <v>3515</v>
      </c>
      <c r="U129" s="18">
        <f t="shared" si="6"/>
        <v>180</v>
      </c>
    </row>
    <row r="130" spans="1:21" ht="20.100000000000001" customHeight="1" x14ac:dyDescent="0.25">
      <c r="A130" s="24">
        <f>CADASTROS!$B$194</f>
        <v>192</v>
      </c>
      <c r="B130" s="15" t="str">
        <f>CADASTROS!$C$194</f>
        <v>Hildete Rosa da Silva</v>
      </c>
      <c r="C130" s="25"/>
      <c r="D130" s="52">
        <f>PLANILHA_COLHEITA_DIÁRIA!$I$321</f>
        <v>0</v>
      </c>
      <c r="E130" s="17">
        <v>6</v>
      </c>
      <c r="F130" s="26" t="str">
        <f>CADASTROS!$E$194</f>
        <v>Bradesco</v>
      </c>
      <c r="G130" s="24" t="str">
        <f>CADASTROS!$F$194</f>
        <v>3532-7</v>
      </c>
      <c r="H130" s="26" t="str">
        <f>CADASTROS!$G$194</f>
        <v>poup</v>
      </c>
      <c r="I130" s="16" t="str">
        <f>CADASTROS!$H$194</f>
        <v>0011766-8</v>
      </c>
      <c r="J130" s="18">
        <f t="shared" si="5"/>
        <v>0</v>
      </c>
      <c r="L130" s="24">
        <v>1728</v>
      </c>
      <c r="M130" s="15" t="s">
        <v>3516</v>
      </c>
      <c r="N130" s="25"/>
      <c r="O130" s="35">
        <v>51.5</v>
      </c>
      <c r="P130" s="17">
        <v>6</v>
      </c>
      <c r="Q130" s="26" t="s">
        <v>4879</v>
      </c>
      <c r="R130" s="24">
        <v>4825</v>
      </c>
      <c r="S130" s="26">
        <v>1288</v>
      </c>
      <c r="T130" s="16" t="s">
        <v>3517</v>
      </c>
      <c r="U130" s="18">
        <f t="shared" si="6"/>
        <v>309</v>
      </c>
    </row>
    <row r="131" spans="1:21" ht="20.100000000000001" customHeight="1" x14ac:dyDescent="0.25">
      <c r="A131" s="24">
        <f>CADASTROS!$B$195</f>
        <v>193</v>
      </c>
      <c r="B131" s="15" t="str">
        <f>CADASTROS!$C$195</f>
        <v>João Batista Rocha</v>
      </c>
      <c r="C131" s="25"/>
      <c r="D131" s="35">
        <f>PLANILHA_COLHEITA_DIÁRIA!$I$322</f>
        <v>0</v>
      </c>
      <c r="E131" s="17">
        <v>6</v>
      </c>
      <c r="F131" s="26" t="str">
        <f>CADASTROS!$E$195</f>
        <v>Cx. Econômica</v>
      </c>
      <c r="G131" s="24">
        <f>CADASTROS!$F$195</f>
        <v>1020</v>
      </c>
      <c r="H131" s="26">
        <f>CADASTROS!$G$195</f>
        <v>13</v>
      </c>
      <c r="I131" s="16" t="str">
        <f>CADASTROS!$H$195</f>
        <v>00039225-5</v>
      </c>
      <c r="J131" s="18">
        <f t="shared" si="5"/>
        <v>0</v>
      </c>
      <c r="L131" s="24">
        <v>1730</v>
      </c>
      <c r="M131" s="15" t="s">
        <v>3521</v>
      </c>
      <c r="N131" s="25"/>
      <c r="O131" s="35">
        <v>58</v>
      </c>
      <c r="P131" s="17">
        <v>6</v>
      </c>
      <c r="Q131" s="26" t="s">
        <v>4879</v>
      </c>
      <c r="R131" s="24">
        <v>949</v>
      </c>
      <c r="S131" s="26">
        <v>13</v>
      </c>
      <c r="T131" s="16" t="s">
        <v>3037</v>
      </c>
      <c r="U131" s="18">
        <f t="shared" si="6"/>
        <v>348</v>
      </c>
    </row>
    <row r="132" spans="1:21" ht="20.100000000000001" customHeight="1" x14ac:dyDescent="0.25">
      <c r="A132" s="24">
        <f>CADASTROS!$B$196</f>
        <v>194</v>
      </c>
      <c r="B132" s="15" t="str">
        <f>CADASTROS!$C$196</f>
        <v>Juciel S. França</v>
      </c>
      <c r="C132" s="25"/>
      <c r="D132" s="35">
        <f>PLANILHA_COLHEITA_DIÁRIA!$I$323</f>
        <v>0</v>
      </c>
      <c r="E132" s="17">
        <v>6</v>
      </c>
      <c r="F132" s="26" t="str">
        <f>CADASTROS!$E$196</f>
        <v>Banco do Brasil</v>
      </c>
      <c r="G132" s="24" t="str">
        <f>CADASTROS!$F$196</f>
        <v>2760-X</v>
      </c>
      <c r="H132" s="26" t="str">
        <f>CADASTROS!$G$196</f>
        <v>c/poup</v>
      </c>
      <c r="I132" s="16" t="str">
        <f>CADASTROS!$H$196</f>
        <v>23.411-7</v>
      </c>
      <c r="J132" s="18">
        <f t="shared" si="5"/>
        <v>0</v>
      </c>
      <c r="L132" s="24">
        <v>1735</v>
      </c>
      <c r="M132" s="15" t="s">
        <v>3529</v>
      </c>
      <c r="N132" s="25"/>
      <c r="O132" s="35">
        <v>3</v>
      </c>
      <c r="P132" s="17">
        <v>6</v>
      </c>
      <c r="Q132" s="26" t="s">
        <v>4852</v>
      </c>
      <c r="R132" s="24">
        <v>949</v>
      </c>
      <c r="S132" s="26">
        <v>23</v>
      </c>
      <c r="T132" s="16" t="s">
        <v>3530</v>
      </c>
      <c r="U132" s="18">
        <f t="shared" si="6"/>
        <v>18</v>
      </c>
    </row>
    <row r="133" spans="1:21" ht="20.100000000000001" customHeight="1" x14ac:dyDescent="0.25">
      <c r="A133" s="24">
        <f>CADASTROS!$B$197</f>
        <v>195</v>
      </c>
      <c r="B133" s="15" t="str">
        <f>CADASTROS!$C$197</f>
        <v>Joilson Alves de Oliveira</v>
      </c>
      <c r="C133" s="25"/>
      <c r="D133" s="41">
        <f>PLANILHA_COLHEITA_DIÁRIA!$I$324</f>
        <v>0</v>
      </c>
      <c r="E133" s="17">
        <v>6</v>
      </c>
      <c r="F133" s="26" t="str">
        <f>CADASTROS!$E$197</f>
        <v>Cx. Econômica</v>
      </c>
      <c r="G133" s="24">
        <f>CADASTROS!$F$197</f>
        <v>4825</v>
      </c>
      <c r="H133" s="26">
        <f>CADASTROS!$G$197</f>
        <v>1288</v>
      </c>
      <c r="I133" s="16" t="str">
        <f>CADASTROS!$H$197</f>
        <v>885913939-0</v>
      </c>
      <c r="J133" s="18">
        <f t="shared" si="5"/>
        <v>0</v>
      </c>
      <c r="L133" s="24">
        <v>1737</v>
      </c>
      <c r="M133" s="15" t="s">
        <v>3533</v>
      </c>
      <c r="N133" s="25"/>
      <c r="O133" s="35">
        <v>42.5</v>
      </c>
      <c r="P133" s="17">
        <v>6</v>
      </c>
      <c r="Q133" s="26" t="s">
        <v>4852</v>
      </c>
      <c r="R133" s="24">
        <v>949</v>
      </c>
      <c r="S133" s="26">
        <v>13</v>
      </c>
      <c r="T133" s="16" t="s">
        <v>3534</v>
      </c>
      <c r="U133" s="18">
        <f t="shared" si="6"/>
        <v>255</v>
      </c>
    </row>
    <row r="134" spans="1:21" ht="20.100000000000001" customHeight="1" x14ac:dyDescent="0.25">
      <c r="A134" s="24">
        <f>CADASTROS!$B$198</f>
        <v>196</v>
      </c>
      <c r="B134" s="15" t="str">
        <f>CADASTROS!$C$198</f>
        <v>Josiane Alves de Oliveira</v>
      </c>
      <c r="C134" s="25"/>
      <c r="D134" s="35">
        <f>PLANILHA_COLHEITA_DIÁRIA!$I$325</f>
        <v>0</v>
      </c>
      <c r="E134" s="17">
        <v>6</v>
      </c>
      <c r="F134" s="26" t="str">
        <f>CADASTROS!$E$198</f>
        <v>Cx. Econômica</v>
      </c>
      <c r="G134" s="24">
        <f>CADASTROS!$F$198</f>
        <v>4825</v>
      </c>
      <c r="H134" s="26">
        <f>CADASTROS!$G$198</f>
        <v>13</v>
      </c>
      <c r="I134" s="16" t="str">
        <f>CADASTROS!$H$198</f>
        <v>00004685-8</v>
      </c>
      <c r="J134" s="18">
        <f t="shared" si="5"/>
        <v>0</v>
      </c>
      <c r="L134" s="24">
        <v>1738</v>
      </c>
      <c r="M134" s="15" t="s">
        <v>3535</v>
      </c>
      <c r="N134" s="25"/>
      <c r="O134" s="35">
        <v>25.5</v>
      </c>
      <c r="P134" s="17">
        <v>6</v>
      </c>
      <c r="Q134" s="26" t="s">
        <v>4852</v>
      </c>
      <c r="R134" s="24">
        <v>4818</v>
      </c>
      <c r="S134" s="26">
        <v>13</v>
      </c>
      <c r="T134" s="16" t="s">
        <v>3536</v>
      </c>
      <c r="U134" s="18">
        <f t="shared" si="6"/>
        <v>153</v>
      </c>
    </row>
    <row r="135" spans="1:21" ht="20.100000000000001" customHeight="1" x14ac:dyDescent="0.25">
      <c r="A135" s="24">
        <f>CADASTROS!$B$199</f>
        <v>197</v>
      </c>
      <c r="B135" s="15" t="str">
        <f>CADASTROS!$C$199</f>
        <v>Marcos Souza Carneiro</v>
      </c>
      <c r="C135" s="25"/>
      <c r="D135" s="52">
        <f>PLANILHA_COLHEITA_DIÁRIA!$I$326</f>
        <v>0</v>
      </c>
      <c r="E135" s="17">
        <v>6</v>
      </c>
      <c r="F135" s="26" t="str">
        <f>CADASTROS!$E$199</f>
        <v>Cx. Econômica</v>
      </c>
      <c r="G135" s="24">
        <f>CADASTROS!$F$199</f>
        <v>4818</v>
      </c>
      <c r="H135" s="26">
        <f>CADASTROS!$G$199</f>
        <v>13</v>
      </c>
      <c r="I135" s="16" t="str">
        <f>CADASTROS!$H$199</f>
        <v>00014925-0</v>
      </c>
      <c r="J135" s="18">
        <f t="shared" si="5"/>
        <v>0</v>
      </c>
      <c r="L135" s="24">
        <v>1740</v>
      </c>
      <c r="M135" s="15" t="s">
        <v>3539</v>
      </c>
      <c r="N135" s="25"/>
      <c r="O135" s="35">
        <v>80.5</v>
      </c>
      <c r="P135" s="17">
        <v>6</v>
      </c>
      <c r="Q135" s="26" t="s">
        <v>4852</v>
      </c>
      <c r="R135" s="24">
        <v>563</v>
      </c>
      <c r="S135" s="26">
        <v>13</v>
      </c>
      <c r="T135" s="16" t="s">
        <v>3540</v>
      </c>
      <c r="U135" s="18">
        <f t="shared" si="6"/>
        <v>483</v>
      </c>
    </row>
    <row r="136" spans="1:21" ht="20.100000000000001" customHeight="1" x14ac:dyDescent="0.25">
      <c r="A136" s="24">
        <f>CADASTROS!$B$200</f>
        <v>198</v>
      </c>
      <c r="B136" s="15" t="str">
        <f>CADASTROS!$C$200</f>
        <v>Normeide Santos Almeida</v>
      </c>
      <c r="C136" s="25"/>
      <c r="D136" s="35">
        <f>PLANILHA_COLHEITA_DIÁRIA!$I$327</f>
        <v>0</v>
      </c>
      <c r="E136" s="17">
        <v>6</v>
      </c>
      <c r="F136" s="26" t="str">
        <f>CADASTROS!$E$200</f>
        <v>Cx. Econômica</v>
      </c>
      <c r="G136" s="24">
        <f>CADASTROS!$F$200</f>
        <v>4818</v>
      </c>
      <c r="H136" s="26">
        <f>CADASTROS!$G$200</f>
        <v>1288</v>
      </c>
      <c r="I136" s="16" t="str">
        <f>CADASTROS!$H$200</f>
        <v>859802632-6</v>
      </c>
      <c r="J136" s="18">
        <f t="shared" si="5"/>
        <v>0</v>
      </c>
      <c r="L136" s="24">
        <v>1744</v>
      </c>
      <c r="M136" s="15" t="s">
        <v>3546</v>
      </c>
      <c r="N136" s="25"/>
      <c r="O136" s="35">
        <v>20.5</v>
      </c>
      <c r="P136" s="17">
        <v>6</v>
      </c>
      <c r="Q136" s="26" t="s">
        <v>4852</v>
      </c>
      <c r="R136" s="24">
        <v>4694</v>
      </c>
      <c r="S136" s="26">
        <v>13</v>
      </c>
      <c r="T136" s="16" t="s">
        <v>3547</v>
      </c>
      <c r="U136" s="18">
        <f t="shared" si="6"/>
        <v>123</v>
      </c>
    </row>
    <row r="137" spans="1:21" ht="20.100000000000001" customHeight="1" x14ac:dyDescent="0.25">
      <c r="A137" s="24">
        <f>CADASTROS!$B$201</f>
        <v>199</v>
      </c>
      <c r="B137" s="15" t="str">
        <f>CADASTROS!$C$201</f>
        <v>Laese Souza Silva</v>
      </c>
      <c r="C137" s="25"/>
      <c r="D137" s="35">
        <f>PLANILHA_COLHEITA_DIÁRIA!$I$328</f>
        <v>0</v>
      </c>
      <c r="E137" s="17">
        <v>6</v>
      </c>
      <c r="F137" s="26" t="str">
        <f>CADASTROS!$E$201</f>
        <v>Cx. Econômica</v>
      </c>
      <c r="G137" s="24">
        <f>CADASTROS!$F$201</f>
        <v>1061</v>
      </c>
      <c r="H137" s="26">
        <f>CADASTROS!$G$201</f>
        <v>1288</v>
      </c>
      <c r="I137" s="16" t="str">
        <f>CADASTROS!$H$201</f>
        <v>896963435-3</v>
      </c>
      <c r="J137" s="18">
        <f t="shared" si="5"/>
        <v>0</v>
      </c>
      <c r="L137" s="24">
        <v>1747</v>
      </c>
      <c r="M137" s="15" t="s">
        <v>3553</v>
      </c>
      <c r="N137" s="25"/>
      <c r="O137" s="35">
        <v>19.5</v>
      </c>
      <c r="P137" s="17">
        <v>6</v>
      </c>
      <c r="Q137" s="26" t="s">
        <v>4852</v>
      </c>
      <c r="R137" s="24">
        <v>4818</v>
      </c>
      <c r="S137" s="26">
        <v>13</v>
      </c>
      <c r="T137" s="16" t="s">
        <v>4880</v>
      </c>
      <c r="U137" s="18">
        <f t="shared" si="6"/>
        <v>117</v>
      </c>
    </row>
    <row r="138" spans="1:21" ht="20.100000000000001" customHeight="1" x14ac:dyDescent="0.25">
      <c r="A138" s="24">
        <f>CADASTROS!$B$202</f>
        <v>200</v>
      </c>
      <c r="B138" s="15" t="str">
        <f>CADASTROS!$C$202</f>
        <v>Roseni Rodrigues Lopes</v>
      </c>
      <c r="C138" s="25"/>
      <c r="D138" s="35">
        <f>PLANILHA_COLHEITA_DIÁRIA!$I$329</f>
        <v>0</v>
      </c>
      <c r="E138" s="17">
        <v>6</v>
      </c>
      <c r="F138" s="26" t="str">
        <f>CADASTROS!$E$202</f>
        <v>Cx. Econômica</v>
      </c>
      <c r="G138" s="24">
        <f>CADASTROS!$F$202</f>
        <v>4825</v>
      </c>
      <c r="H138" s="26">
        <f>CADASTROS!$G$202</f>
        <v>13</v>
      </c>
      <c r="I138" s="16" t="str">
        <f>CADASTROS!$H$202</f>
        <v>00019405-9</v>
      </c>
      <c r="J138" s="18">
        <f t="shared" si="5"/>
        <v>0</v>
      </c>
      <c r="L138" s="24">
        <v>1750</v>
      </c>
      <c r="M138" s="15" t="s">
        <v>3560</v>
      </c>
      <c r="N138" s="25"/>
      <c r="O138" s="35">
        <v>29.5</v>
      </c>
      <c r="P138" s="17">
        <v>6</v>
      </c>
      <c r="Q138" s="26" t="s">
        <v>4852</v>
      </c>
      <c r="R138" s="24">
        <v>4818</v>
      </c>
      <c r="S138" s="26">
        <v>1288</v>
      </c>
      <c r="T138" s="16" t="s">
        <v>3561</v>
      </c>
      <c r="U138" s="18">
        <f t="shared" si="6"/>
        <v>177</v>
      </c>
    </row>
    <row r="139" spans="1:21" ht="20.100000000000001" customHeight="1" x14ac:dyDescent="0.25">
      <c r="A139" s="24">
        <f>CADASTROS!$B$203</f>
        <v>201</v>
      </c>
      <c r="B139" s="15" t="str">
        <f>CADASTROS!$C$203</f>
        <v>Elielma da Silva Nunes</v>
      </c>
      <c r="C139" s="25"/>
      <c r="D139" s="35">
        <f>PLANILHA_COLHEITA_DIÁRIA!$I$330</f>
        <v>0</v>
      </c>
      <c r="E139" s="17">
        <v>6</v>
      </c>
      <c r="F139" s="26" t="str">
        <f>CADASTROS!$E$203</f>
        <v>Cx. Econômica</v>
      </c>
      <c r="G139" s="24">
        <f>CADASTROS!$F$203</f>
        <v>4818</v>
      </c>
      <c r="H139" s="26">
        <f>CADASTROS!$G$203</f>
        <v>13</v>
      </c>
      <c r="I139" s="16" t="str">
        <f>CADASTROS!$H$203</f>
        <v>00014798-2</v>
      </c>
      <c r="J139" s="18">
        <f t="shared" si="5"/>
        <v>0</v>
      </c>
      <c r="L139" s="24">
        <v>1752</v>
      </c>
      <c r="M139" s="15" t="s">
        <v>3564</v>
      </c>
      <c r="N139" s="25"/>
      <c r="O139" s="35">
        <v>19</v>
      </c>
      <c r="P139" s="17">
        <v>6</v>
      </c>
      <c r="Q139" s="26" t="s">
        <v>4852</v>
      </c>
      <c r="R139" s="24">
        <v>4601</v>
      </c>
      <c r="S139" s="26">
        <v>1288</v>
      </c>
      <c r="T139" s="16" t="s">
        <v>3565</v>
      </c>
      <c r="U139" s="18">
        <f t="shared" si="6"/>
        <v>114</v>
      </c>
    </row>
    <row r="140" spans="1:21" ht="20.100000000000001" customHeight="1" x14ac:dyDescent="0.25">
      <c r="A140" s="24">
        <f>CADASTROS!$B$204</f>
        <v>202</v>
      </c>
      <c r="B140" s="15" t="str">
        <f>CADASTROS!$C$204</f>
        <v>João Lopes do Nascimento Filho</v>
      </c>
      <c r="C140" s="25"/>
      <c r="D140" s="52">
        <f>PLANILHA_COLHEITA_DIÁRIA!$I$331</f>
        <v>0</v>
      </c>
      <c r="E140" s="17">
        <v>6</v>
      </c>
      <c r="F140" s="26" t="str">
        <f>CADASTROS!$E$204</f>
        <v>Banco do Brasil</v>
      </c>
      <c r="G140" s="24" t="str">
        <f>CADASTROS!$F$204</f>
        <v>1696-9</v>
      </c>
      <c r="H140" s="26" t="str">
        <f>CADASTROS!$G$204</f>
        <v>poup</v>
      </c>
      <c r="I140" s="16" t="str">
        <f>CADASTROS!$H$204</f>
        <v>11.350-6</v>
      </c>
      <c r="J140" s="18">
        <f t="shared" si="5"/>
        <v>0</v>
      </c>
      <c r="L140" s="24">
        <v>1755</v>
      </c>
      <c r="M140" s="15" t="s">
        <v>3571</v>
      </c>
      <c r="N140" s="25"/>
      <c r="O140" s="35">
        <v>64.5</v>
      </c>
      <c r="P140" s="17">
        <v>6</v>
      </c>
      <c r="Q140" s="26" t="s">
        <v>4852</v>
      </c>
      <c r="R140" s="24">
        <v>4601</v>
      </c>
      <c r="S140" s="26">
        <v>13</v>
      </c>
      <c r="T140" s="16" t="s">
        <v>3572</v>
      </c>
      <c r="U140" s="18">
        <f t="shared" si="6"/>
        <v>387</v>
      </c>
    </row>
    <row r="141" spans="1:21" ht="20.100000000000001" customHeight="1" x14ac:dyDescent="0.25">
      <c r="A141" s="24">
        <f>CADASTROS!$B$205</f>
        <v>203</v>
      </c>
      <c r="B141" s="15" t="str">
        <f>CADASTROS!$C$205</f>
        <v>Adilton Souza dos Anjos</v>
      </c>
      <c r="C141" s="25"/>
      <c r="D141" s="35">
        <f>PLANILHA_COLHEITA_DIÁRIA!$I$332</f>
        <v>0</v>
      </c>
      <c r="E141" s="17">
        <v>6</v>
      </c>
      <c r="F141" s="26" t="str">
        <f>CADASTROS!$E$205</f>
        <v>Cx. Econômica</v>
      </c>
      <c r="G141" s="24">
        <f>CADASTROS!$F$205</f>
        <v>4825</v>
      </c>
      <c r="H141" s="26">
        <f>CADASTROS!$G$205</f>
        <v>0</v>
      </c>
      <c r="I141" s="16" t="str">
        <f>CADASTROS!$H$205</f>
        <v>000802530606-0</v>
      </c>
      <c r="J141" s="18">
        <f t="shared" si="5"/>
        <v>0</v>
      </c>
      <c r="L141" s="24">
        <v>1756</v>
      </c>
      <c r="M141" s="15" t="s">
        <v>3573</v>
      </c>
      <c r="N141" s="25"/>
      <c r="O141" s="35">
        <v>75.5</v>
      </c>
      <c r="P141" s="17">
        <v>6</v>
      </c>
      <c r="Q141" s="26" t="s">
        <v>4852</v>
      </c>
      <c r="R141" s="24">
        <v>4825</v>
      </c>
      <c r="S141" s="26">
        <v>13</v>
      </c>
      <c r="T141" s="16" t="s">
        <v>3574</v>
      </c>
      <c r="U141" s="18">
        <f t="shared" si="6"/>
        <v>453</v>
      </c>
    </row>
    <row r="142" spans="1:21" ht="20.100000000000001" customHeight="1" x14ac:dyDescent="0.25">
      <c r="A142" s="24">
        <f>CADASTROS!$B$206</f>
        <v>204</v>
      </c>
      <c r="B142" s="15" t="str">
        <f>CADASTROS!$C$206</f>
        <v>Rosineia das Virgens de Souza</v>
      </c>
      <c r="C142" s="25"/>
      <c r="D142" s="52">
        <f>PLANILHA_COLHEITA_DIÁRIA!$I$333</f>
        <v>0</v>
      </c>
      <c r="E142" s="17">
        <v>6</v>
      </c>
      <c r="F142" s="26" t="str">
        <f>CADASTROS!$E$206</f>
        <v>Cx. Econômica</v>
      </c>
      <c r="G142" s="24">
        <f>CADASTROS!$F$206</f>
        <v>4825</v>
      </c>
      <c r="H142" s="26">
        <f>CADASTROS!$G$206</f>
        <v>0</v>
      </c>
      <c r="I142" s="16" t="str">
        <f>CADASTROS!$H$206</f>
        <v>000854853221-0</v>
      </c>
      <c r="J142" s="18">
        <f t="shared" si="5"/>
        <v>0</v>
      </c>
      <c r="L142" s="24">
        <v>1760</v>
      </c>
      <c r="M142" s="15" t="s">
        <v>3582</v>
      </c>
      <c r="N142" s="25"/>
      <c r="O142" s="35">
        <v>22</v>
      </c>
      <c r="P142" s="17">
        <v>6</v>
      </c>
      <c r="Q142" s="26" t="s">
        <v>4852</v>
      </c>
      <c r="R142" s="24">
        <v>4818</v>
      </c>
      <c r="S142" s="26">
        <v>1288</v>
      </c>
      <c r="T142" s="16" t="s">
        <v>4881</v>
      </c>
      <c r="U142" s="18">
        <f t="shared" si="6"/>
        <v>132</v>
      </c>
    </row>
    <row r="143" spans="1:21" ht="20.100000000000001" customHeight="1" x14ac:dyDescent="0.25">
      <c r="A143" s="24">
        <f>CADASTROS!$B$207</f>
        <v>205</v>
      </c>
      <c r="B143" s="15" t="str">
        <f>CADASTROS!$C$207</f>
        <v>Claudia Ribeiro de Jesus</v>
      </c>
      <c r="C143" s="25"/>
      <c r="D143" s="35">
        <f>PLANILHA_COLHEITA_DIÁRIA!$I$334</f>
        <v>0</v>
      </c>
      <c r="E143" s="17">
        <v>6</v>
      </c>
      <c r="F143" s="26" t="str">
        <f>CADASTROS!$E$207</f>
        <v>Bradesco</v>
      </c>
      <c r="G143" s="24">
        <f>CADASTROS!$F$207</f>
        <v>3905</v>
      </c>
      <c r="H143" s="26">
        <f>CADASTROS!$G$207</f>
        <v>0</v>
      </c>
      <c r="I143" s="16" t="str">
        <f>CADASTROS!$H$207</f>
        <v>407327-4</v>
      </c>
      <c r="J143" s="18">
        <f t="shared" si="5"/>
        <v>0</v>
      </c>
      <c r="L143" s="24">
        <v>1765</v>
      </c>
      <c r="M143" s="15" t="s">
        <v>3593</v>
      </c>
      <c r="N143" s="25"/>
      <c r="O143" s="35">
        <v>18.5</v>
      </c>
      <c r="P143" s="17">
        <v>6</v>
      </c>
      <c r="Q143" s="26" t="s">
        <v>4852</v>
      </c>
      <c r="R143" s="24">
        <v>949</v>
      </c>
      <c r="S143" s="26">
        <v>1288</v>
      </c>
      <c r="T143" s="16" t="s">
        <v>3594</v>
      </c>
      <c r="U143" s="18">
        <f t="shared" si="6"/>
        <v>111</v>
      </c>
    </row>
    <row r="144" spans="1:21" ht="20.100000000000001" customHeight="1" x14ac:dyDescent="0.25">
      <c r="A144" s="24">
        <f>CADASTROS!$B$208</f>
        <v>206</v>
      </c>
      <c r="B144" s="15" t="str">
        <f>CADASTROS!$C$208</f>
        <v>Claudio Pires dos Santos</v>
      </c>
      <c r="C144" s="25"/>
      <c r="D144" s="35">
        <f>PLANILHA_COLHEITA_DIÁRIA!$I$335</f>
        <v>0</v>
      </c>
      <c r="E144" s="17">
        <v>6</v>
      </c>
      <c r="F144" s="26" t="str">
        <f>CADASTROS!$E$208</f>
        <v>Bradesco</v>
      </c>
      <c r="G144" s="24" t="str">
        <f>CADASTROS!$F$208</f>
        <v>3801-6</v>
      </c>
      <c r="H144" s="26" t="str">
        <f>CADASTROS!$G$208</f>
        <v>poup</v>
      </c>
      <c r="I144" s="16" t="str">
        <f>CADASTROS!$H$208</f>
        <v>0006521-8</v>
      </c>
      <c r="J144" s="18">
        <f t="shared" si="5"/>
        <v>0</v>
      </c>
      <c r="L144" s="24">
        <v>1770</v>
      </c>
      <c r="M144" s="15" t="s">
        <v>4882</v>
      </c>
      <c r="N144" s="25"/>
      <c r="O144" s="35">
        <v>21</v>
      </c>
      <c r="P144" s="17">
        <v>6</v>
      </c>
      <c r="Q144" s="26" t="s">
        <v>4852</v>
      </c>
      <c r="R144" s="24">
        <v>4818</v>
      </c>
      <c r="S144" s="26">
        <v>1288</v>
      </c>
      <c r="T144" s="16" t="s">
        <v>3605</v>
      </c>
      <c r="U144" s="18">
        <f t="shared" si="6"/>
        <v>126</v>
      </c>
    </row>
    <row r="145" spans="1:21" ht="20.100000000000001" customHeight="1" x14ac:dyDescent="0.25">
      <c r="A145" s="24">
        <f>CADASTROS!$B$209</f>
        <v>207</v>
      </c>
      <c r="B145" s="15" t="str">
        <f>CADASTROS!$C$209</f>
        <v>José de Jesus Santos</v>
      </c>
      <c r="C145" s="25"/>
      <c r="D145" s="35">
        <f>PLANILHA_COLHEITA_DIÁRIA!$I$352</f>
        <v>0</v>
      </c>
      <c r="E145" s="17">
        <v>6</v>
      </c>
      <c r="F145" s="26" t="str">
        <f>CADASTROS!$E$209</f>
        <v>Cx. Econômica</v>
      </c>
      <c r="G145" s="24">
        <f>CADASTROS!$F$209</f>
        <v>4825</v>
      </c>
      <c r="H145" s="26">
        <f>CADASTROS!$G$209</f>
        <v>0</v>
      </c>
      <c r="I145" s="16" t="str">
        <f>CADASTROS!$H$209</f>
        <v>000736148455-8</v>
      </c>
      <c r="J145" s="18">
        <f t="shared" si="5"/>
        <v>0</v>
      </c>
      <c r="L145" s="24">
        <v>1771</v>
      </c>
      <c r="M145" s="15" t="s">
        <v>3606</v>
      </c>
      <c r="N145" s="25"/>
      <c r="O145" s="35">
        <v>12.5</v>
      </c>
      <c r="P145" s="17">
        <v>6</v>
      </c>
      <c r="Q145" s="26" t="s">
        <v>4852</v>
      </c>
      <c r="R145" s="24">
        <v>949</v>
      </c>
      <c r="S145" s="26">
        <v>13</v>
      </c>
      <c r="T145" s="16" t="s">
        <v>3608</v>
      </c>
      <c r="U145" s="18">
        <f t="shared" si="6"/>
        <v>75</v>
      </c>
    </row>
    <row r="146" spans="1:21" ht="20.100000000000001" customHeight="1" x14ac:dyDescent="0.25">
      <c r="A146" s="24">
        <f>CADASTROS!$B$210</f>
        <v>208</v>
      </c>
      <c r="B146" s="15" t="str">
        <f>CADASTROS!$C$210</f>
        <v>Irailde Mª de Jesus</v>
      </c>
      <c r="C146" s="25"/>
      <c r="D146" s="35">
        <f>PLANILHA_COLHEITA_DIÁRIA!$I$353</f>
        <v>0</v>
      </c>
      <c r="E146" s="17">
        <v>6</v>
      </c>
      <c r="F146" s="26" t="str">
        <f>CADASTROS!$E$210</f>
        <v>Cx. Econômica</v>
      </c>
      <c r="G146" s="24">
        <f>CADASTROS!$F$210</f>
        <v>4825</v>
      </c>
      <c r="H146" s="26">
        <f>CADASTROS!$G$210</f>
        <v>13</v>
      </c>
      <c r="I146" s="16" t="str">
        <f>CADASTROS!$H$210</f>
        <v>00015384-0</v>
      </c>
      <c r="J146" s="18">
        <f t="shared" si="5"/>
        <v>0</v>
      </c>
      <c r="L146" s="24">
        <v>1773</v>
      </c>
      <c r="M146" s="15" t="s">
        <v>3611</v>
      </c>
      <c r="N146" s="25"/>
      <c r="O146" s="35">
        <v>88.5</v>
      </c>
      <c r="P146" s="17">
        <v>6</v>
      </c>
      <c r="Q146" s="26" t="s">
        <v>4852</v>
      </c>
      <c r="R146" s="24">
        <v>4818</v>
      </c>
      <c r="S146" s="26">
        <v>13</v>
      </c>
      <c r="T146" s="16" t="s">
        <v>3612</v>
      </c>
      <c r="U146" s="18">
        <f t="shared" si="6"/>
        <v>531</v>
      </c>
    </row>
    <row r="147" spans="1:21" ht="20.100000000000001" customHeight="1" x14ac:dyDescent="0.25">
      <c r="A147" s="24">
        <f>CADASTROS!$B$211</f>
        <v>209</v>
      </c>
      <c r="B147" s="15" t="str">
        <f>CADASTROS!$C$211</f>
        <v>Cezar Silva Santos</v>
      </c>
      <c r="C147" s="25"/>
      <c r="D147" s="35">
        <f>PLANILHA_COLHEITA_DIÁRIA!$I$354</f>
        <v>0</v>
      </c>
      <c r="E147" s="17">
        <v>6</v>
      </c>
      <c r="F147" s="26" t="str">
        <f>CADASTROS!$E$211</f>
        <v>Banco do Brasil</v>
      </c>
      <c r="G147" s="24" t="str">
        <f>CADASTROS!$F$211</f>
        <v>2760-X</v>
      </c>
      <c r="H147" s="26" t="str">
        <f>CADASTROS!$G$211</f>
        <v>poup</v>
      </c>
      <c r="I147" s="16" t="str">
        <f>CADASTROS!$H$211</f>
        <v>24.111-3</v>
      </c>
      <c r="J147" s="18">
        <f t="shared" si="5"/>
        <v>0</v>
      </c>
      <c r="L147" s="24">
        <v>1775</v>
      </c>
      <c r="M147" s="15" t="s">
        <v>3615</v>
      </c>
      <c r="N147" s="25"/>
      <c r="O147" s="35">
        <v>12</v>
      </c>
      <c r="P147" s="17">
        <v>6</v>
      </c>
      <c r="Q147" s="26" t="s">
        <v>4852</v>
      </c>
      <c r="R147" s="24">
        <v>4601</v>
      </c>
      <c r="S147" s="26">
        <v>1288</v>
      </c>
      <c r="T147" s="16" t="s">
        <v>3616</v>
      </c>
      <c r="U147" s="18">
        <f t="shared" si="6"/>
        <v>72</v>
      </c>
    </row>
    <row r="148" spans="1:21" ht="20.100000000000001" customHeight="1" x14ac:dyDescent="0.25">
      <c r="A148" s="24">
        <f>CADASTROS!$B$212</f>
        <v>210</v>
      </c>
      <c r="B148" s="15" t="str">
        <f>CADASTROS!$C$212</f>
        <v>Edvan Silva de Jesus</v>
      </c>
      <c r="C148" s="25"/>
      <c r="D148" s="52">
        <f>PLANILHA_COLHEITA_DIÁRIA!$I$355</f>
        <v>0</v>
      </c>
      <c r="E148" s="17">
        <v>6</v>
      </c>
      <c r="F148" s="26" t="str">
        <f>CADASTROS!$E$212</f>
        <v>Bradesco</v>
      </c>
      <c r="G148" s="24" t="str">
        <f>CADASTROS!$F$212</f>
        <v>7615-5</v>
      </c>
      <c r="H148" s="26">
        <f>CADASTROS!$G$212</f>
        <v>0</v>
      </c>
      <c r="I148" s="16" t="str">
        <f>CADASTROS!$H$212</f>
        <v>0002601-8</v>
      </c>
      <c r="J148" s="18">
        <f t="shared" si="5"/>
        <v>0</v>
      </c>
      <c r="L148" s="24">
        <v>1776</v>
      </c>
      <c r="M148" s="15" t="s">
        <v>3617</v>
      </c>
      <c r="N148" s="25"/>
      <c r="O148" s="35">
        <v>71</v>
      </c>
      <c r="P148" s="17">
        <v>6</v>
      </c>
      <c r="Q148" s="26" t="s">
        <v>4852</v>
      </c>
      <c r="R148" s="24">
        <v>780</v>
      </c>
      <c r="S148" s="26">
        <v>1288</v>
      </c>
      <c r="T148" s="16" t="s">
        <v>3619</v>
      </c>
      <c r="U148" s="18">
        <f t="shared" si="6"/>
        <v>426</v>
      </c>
    </row>
    <row r="149" spans="1:21" ht="20.100000000000001" customHeight="1" x14ac:dyDescent="0.25">
      <c r="A149" s="24">
        <f>CADASTROS!$B$213</f>
        <v>211</v>
      </c>
      <c r="B149" s="15" t="str">
        <f>CADASTROS!$C$213</f>
        <v>Cariza Silva Pereira</v>
      </c>
      <c r="C149" s="25"/>
      <c r="D149" s="35">
        <f>PLANILHA_COLHEITA_DIÁRIA!$I$356</f>
        <v>0</v>
      </c>
      <c r="E149" s="17">
        <v>6</v>
      </c>
      <c r="F149" s="26" t="str">
        <f>CADASTROS!$E$213</f>
        <v>Bradesco</v>
      </c>
      <c r="G149" s="24" t="str">
        <f>CADASTROS!$F$213</f>
        <v>3801-6</v>
      </c>
      <c r="H149" s="26">
        <f>CADASTROS!$G$213</f>
        <v>0</v>
      </c>
      <c r="I149" s="16" t="str">
        <f>CADASTROS!$H$213</f>
        <v>0007181-1</v>
      </c>
      <c r="J149" s="18">
        <f t="shared" si="5"/>
        <v>0</v>
      </c>
      <c r="L149" s="24">
        <v>1778</v>
      </c>
      <c r="M149" s="15" t="s">
        <v>3622</v>
      </c>
      <c r="N149" s="25"/>
      <c r="O149" s="35">
        <v>27</v>
      </c>
      <c r="P149" s="17">
        <v>6</v>
      </c>
      <c r="Q149" s="26" t="s">
        <v>4852</v>
      </c>
      <c r="R149" s="24">
        <v>4818</v>
      </c>
      <c r="S149" s="26">
        <v>13</v>
      </c>
      <c r="T149" s="16" t="s">
        <v>3623</v>
      </c>
      <c r="U149" s="18">
        <f t="shared" si="6"/>
        <v>162</v>
      </c>
    </row>
    <row r="150" spans="1:21" ht="20.100000000000001" customHeight="1" x14ac:dyDescent="0.25">
      <c r="A150" s="24">
        <f>CADASTROS!$B$214</f>
        <v>212</v>
      </c>
      <c r="B150" s="15" t="str">
        <f>CADASTROS!$C$214</f>
        <v>Jaine da Cruz Almeida</v>
      </c>
      <c r="C150" s="25"/>
      <c r="D150" s="35">
        <f>PLANILHA_COLHEITA_DIÁRIA!$I$357</f>
        <v>0</v>
      </c>
      <c r="E150" s="17">
        <v>6</v>
      </c>
      <c r="F150" s="26" t="str">
        <f>CADASTROS!$E$214</f>
        <v>Cx. Econômica</v>
      </c>
      <c r="G150" s="24">
        <f>CADASTROS!$F$214</f>
        <v>3880</v>
      </c>
      <c r="H150" s="26">
        <f>CADASTROS!$G$214</f>
        <v>1288</v>
      </c>
      <c r="I150" s="16" t="str">
        <f>CADASTROS!$H$214</f>
        <v>863399925-9</v>
      </c>
      <c r="J150" s="18">
        <f t="shared" si="5"/>
        <v>0</v>
      </c>
      <c r="L150" s="24">
        <v>1779</v>
      </c>
      <c r="M150" s="15" t="s">
        <v>3624</v>
      </c>
      <c r="N150" s="25"/>
      <c r="O150" s="35">
        <v>16</v>
      </c>
      <c r="P150" s="17">
        <v>6</v>
      </c>
      <c r="Q150" s="26" t="s">
        <v>4852</v>
      </c>
      <c r="R150" s="24">
        <v>2307</v>
      </c>
      <c r="S150" s="26">
        <v>13</v>
      </c>
      <c r="T150" s="16" t="s">
        <v>3625</v>
      </c>
      <c r="U150" s="18">
        <f t="shared" si="6"/>
        <v>96</v>
      </c>
    </row>
    <row r="151" spans="1:21" ht="20.100000000000001" customHeight="1" x14ac:dyDescent="0.25">
      <c r="A151" s="24">
        <f>CADASTROS!$B$215</f>
        <v>213</v>
      </c>
      <c r="B151" s="15" t="str">
        <f>CADASTROS!$C$215</f>
        <v>Juliana Dos Anjos Oliveira</v>
      </c>
      <c r="C151" s="25"/>
      <c r="D151" s="35">
        <f>PLANILHA_COLHEITA_DIÁRIA!$I$358</f>
        <v>0</v>
      </c>
      <c r="E151" s="17">
        <v>6</v>
      </c>
      <c r="F151" s="26" t="str">
        <f>CADASTROS!$E$215</f>
        <v>Bradesco</v>
      </c>
      <c r="G151" s="24">
        <f>CADASTROS!$F$215</f>
        <v>7615</v>
      </c>
      <c r="H151" s="26">
        <f>CADASTROS!$G$215</f>
        <v>0</v>
      </c>
      <c r="I151" s="16" t="str">
        <f>CADASTROS!$H$215</f>
        <v>238428-0</v>
      </c>
      <c r="J151" s="18">
        <f t="shared" si="5"/>
        <v>0</v>
      </c>
      <c r="L151" s="24">
        <v>1780</v>
      </c>
      <c r="M151" s="15" t="s">
        <v>3626</v>
      </c>
      <c r="N151" s="25"/>
      <c r="O151" s="35">
        <v>96</v>
      </c>
      <c r="P151" s="17">
        <v>6</v>
      </c>
      <c r="Q151" s="26" t="s">
        <v>4852</v>
      </c>
      <c r="R151" s="24">
        <v>4825</v>
      </c>
      <c r="S151" s="26">
        <v>13</v>
      </c>
      <c r="T151" s="16" t="s">
        <v>3627</v>
      </c>
      <c r="U151" s="18">
        <f t="shared" si="6"/>
        <v>576</v>
      </c>
    </row>
    <row r="152" spans="1:21" ht="20.100000000000001" customHeight="1" x14ac:dyDescent="0.25">
      <c r="A152" s="24">
        <f>CADASTROS!$B$216</f>
        <v>214</v>
      </c>
      <c r="B152" s="15" t="str">
        <f>CADASTROS!$C$216</f>
        <v>Jocelma Costa dos Santos</v>
      </c>
      <c r="C152" s="25"/>
      <c r="D152" s="52">
        <f>PLANILHA_COLHEITA_DIÁRIA!$I$359</f>
        <v>38</v>
      </c>
      <c r="E152" s="17">
        <v>6</v>
      </c>
      <c r="F152" s="26" t="str">
        <f>CADASTROS!$E$216</f>
        <v>Cx. Econômica</v>
      </c>
      <c r="G152" s="24">
        <f>CADASTROS!$F$216</f>
        <v>949</v>
      </c>
      <c r="H152" s="26">
        <f>CADASTROS!$G$216</f>
        <v>13</v>
      </c>
      <c r="I152" s="16" t="str">
        <f>CADASTROS!$H$216</f>
        <v>000836229187-5</v>
      </c>
      <c r="J152" s="18">
        <f t="shared" si="5"/>
        <v>228</v>
      </c>
      <c r="L152" s="24">
        <v>1784</v>
      </c>
      <c r="M152" s="15" t="s">
        <v>1338</v>
      </c>
      <c r="N152" s="25"/>
      <c r="O152" s="35">
        <v>138</v>
      </c>
      <c r="P152" s="17">
        <v>6</v>
      </c>
      <c r="Q152" s="26" t="s">
        <v>4852</v>
      </c>
      <c r="R152" s="24">
        <v>4825</v>
      </c>
      <c r="S152" s="26">
        <v>13</v>
      </c>
      <c r="T152" s="16" t="s">
        <v>1339</v>
      </c>
      <c r="U152" s="18">
        <f t="shared" si="6"/>
        <v>828</v>
      </c>
    </row>
    <row r="153" spans="1:21" ht="20.100000000000001" customHeight="1" x14ac:dyDescent="0.25">
      <c r="A153" s="24">
        <f>CADASTROS!$B$217</f>
        <v>215</v>
      </c>
      <c r="B153" s="15" t="str">
        <f>CADASTROS!$C$217</f>
        <v>Barbara Rosa de Miranda</v>
      </c>
      <c r="C153" s="25"/>
      <c r="D153" s="52">
        <f>PLANILHA_COLHEITA_DIÁRIA!$I$360</f>
        <v>0</v>
      </c>
      <c r="E153" s="17">
        <v>6</v>
      </c>
      <c r="F153" s="26" t="str">
        <f>CADASTROS!$E$217</f>
        <v>Cx. Econômica</v>
      </c>
      <c r="G153" s="24">
        <f>CADASTROS!$F$217</f>
        <v>4818</v>
      </c>
      <c r="H153" s="26">
        <f>CADASTROS!$G$217</f>
        <v>13</v>
      </c>
      <c r="I153" s="16" t="str">
        <f>CADASTROS!$H$217</f>
        <v>00009288-6</v>
      </c>
      <c r="J153" s="18">
        <f t="shared" si="5"/>
        <v>0</v>
      </c>
      <c r="L153" s="24">
        <v>1785</v>
      </c>
      <c r="M153" s="15" t="s">
        <v>3634</v>
      </c>
      <c r="N153" s="25"/>
      <c r="O153" s="35">
        <v>56</v>
      </c>
      <c r="P153" s="17">
        <v>6</v>
      </c>
      <c r="Q153" s="26" t="s">
        <v>4852</v>
      </c>
      <c r="R153" s="24">
        <v>4825</v>
      </c>
      <c r="S153" s="26">
        <v>13</v>
      </c>
      <c r="T153" s="16" t="s">
        <v>4883</v>
      </c>
      <c r="U153" s="18">
        <f t="shared" si="6"/>
        <v>336</v>
      </c>
    </row>
    <row r="154" spans="1:21" ht="20.100000000000001" customHeight="1" x14ac:dyDescent="0.25">
      <c r="A154" s="24">
        <f>CADASTROS!$B$218</f>
        <v>216</v>
      </c>
      <c r="B154" s="15" t="str">
        <f>CADASTROS!$C$218</f>
        <v>Gelsione Silva Lima</v>
      </c>
      <c r="C154" s="25"/>
      <c r="D154" s="35">
        <f>PLANILHA_COLHEITA_DIÁRIA!$I$361</f>
        <v>0</v>
      </c>
      <c r="E154" s="17">
        <v>6</v>
      </c>
      <c r="F154" s="26" t="str">
        <f>CADASTROS!$E$218</f>
        <v>Bradesco</v>
      </c>
      <c r="G154" s="24" t="str">
        <f>CADASTROS!$F$218</f>
        <v>3616-1</v>
      </c>
      <c r="H154" s="26" t="str">
        <f>CADASTROS!$G$218</f>
        <v>c/corr</v>
      </c>
      <c r="I154" s="16" t="str">
        <f>CADASTROS!$H$218</f>
        <v>0012699-3</v>
      </c>
      <c r="J154" s="18">
        <f t="shared" si="5"/>
        <v>0</v>
      </c>
      <c r="L154" s="24">
        <v>1787</v>
      </c>
      <c r="M154" s="15" t="s">
        <v>3639</v>
      </c>
      <c r="N154" s="25"/>
      <c r="O154" s="35">
        <v>57</v>
      </c>
      <c r="P154" s="17">
        <v>6</v>
      </c>
      <c r="Q154" s="26" t="s">
        <v>4852</v>
      </c>
      <c r="R154" s="24">
        <v>4825</v>
      </c>
      <c r="S154" s="26">
        <v>1288</v>
      </c>
      <c r="T154" s="16" t="s">
        <v>4884</v>
      </c>
      <c r="U154" s="18">
        <f t="shared" si="6"/>
        <v>342</v>
      </c>
    </row>
    <row r="155" spans="1:21" ht="20.100000000000001" customHeight="1" x14ac:dyDescent="0.25">
      <c r="A155" s="24">
        <f>CADASTROS!$B$219</f>
        <v>217</v>
      </c>
      <c r="B155" s="15" t="str">
        <f>CADASTROS!$C$219</f>
        <v>Jocileide Silva Caldeiras</v>
      </c>
      <c r="C155" s="25"/>
      <c r="D155" s="35">
        <f>PLANILHA_COLHEITA_DIÁRIA!$I$362</f>
        <v>0</v>
      </c>
      <c r="E155" s="17">
        <v>6</v>
      </c>
      <c r="F155" s="26" t="str">
        <f>CADASTROS!$E$219</f>
        <v>Cx. Econômica</v>
      </c>
      <c r="G155" s="24">
        <f>CADASTROS!$F$219</f>
        <v>949</v>
      </c>
      <c r="H155" s="26">
        <f>CADASTROS!$G$219</f>
        <v>0</v>
      </c>
      <c r="I155" s="16" t="str">
        <f>CADASTROS!$H$219</f>
        <v>000838080148-0</v>
      </c>
      <c r="J155" s="18">
        <f t="shared" si="5"/>
        <v>0</v>
      </c>
      <c r="L155" s="24">
        <v>1788</v>
      </c>
      <c r="M155" s="15" t="s">
        <v>3642</v>
      </c>
      <c r="N155" s="25"/>
      <c r="O155" s="35">
        <v>225</v>
      </c>
      <c r="P155" s="17">
        <v>6</v>
      </c>
      <c r="Q155" s="26" t="s">
        <v>4852</v>
      </c>
      <c r="R155" s="24">
        <v>4825</v>
      </c>
      <c r="S155" s="26">
        <v>13</v>
      </c>
      <c r="T155" s="16" t="s">
        <v>4885</v>
      </c>
      <c r="U155" s="18">
        <f t="shared" si="6"/>
        <v>1350</v>
      </c>
    </row>
    <row r="156" spans="1:21" ht="20.100000000000001" customHeight="1" x14ac:dyDescent="0.25">
      <c r="A156" s="24">
        <f>CADASTROS!$B$220</f>
        <v>218</v>
      </c>
      <c r="B156" s="15" t="str">
        <f>CADASTROS!$C$220</f>
        <v>Guiomar Silva Santos</v>
      </c>
      <c r="C156" s="25"/>
      <c r="D156" s="35">
        <f>PLANILHA_COLHEITA_DIÁRIA!$I$363</f>
        <v>0</v>
      </c>
      <c r="E156" s="17">
        <v>6</v>
      </c>
      <c r="F156" s="26" t="str">
        <f>CADASTROS!$E$220</f>
        <v>Cx. Econômica</v>
      </c>
      <c r="G156" s="24">
        <f>CADASTROS!$F$220</f>
        <v>4818</v>
      </c>
      <c r="H156" s="26">
        <f>CADASTROS!$G$220</f>
        <v>0</v>
      </c>
      <c r="I156" s="16" t="str">
        <f>CADASTROS!$H$220</f>
        <v>000748445157-7</v>
      </c>
      <c r="J156" s="18">
        <f t="shared" si="5"/>
        <v>0</v>
      </c>
      <c r="L156" s="24">
        <v>1790</v>
      </c>
      <c r="M156" s="15" t="s">
        <v>3647</v>
      </c>
      <c r="N156" s="25"/>
      <c r="O156" s="35">
        <v>47</v>
      </c>
      <c r="P156" s="17">
        <v>6</v>
      </c>
      <c r="Q156" s="26" t="s">
        <v>4852</v>
      </c>
      <c r="R156" s="24">
        <v>4818</v>
      </c>
      <c r="S156" s="26">
        <v>13</v>
      </c>
      <c r="T156" s="16" t="s">
        <v>3649</v>
      </c>
      <c r="U156" s="18">
        <f t="shared" si="6"/>
        <v>282</v>
      </c>
    </row>
    <row r="157" spans="1:21" ht="20.100000000000001" customHeight="1" x14ac:dyDescent="0.25">
      <c r="A157" s="24">
        <f>CADASTROS!$B$221</f>
        <v>219</v>
      </c>
      <c r="B157" s="15" t="str">
        <f>CADASTROS!$C$221</f>
        <v>Cleia Rosa de Souza</v>
      </c>
      <c r="C157" s="25"/>
      <c r="D157" s="35">
        <f>PLANILHA_COLHEITA_DIÁRIA!$I$364</f>
        <v>0</v>
      </c>
      <c r="E157" s="17">
        <v>6</v>
      </c>
      <c r="F157" s="26" t="str">
        <f>CADASTROS!$E$221</f>
        <v>Cx. Econômica</v>
      </c>
      <c r="G157" s="24">
        <f>CADASTROS!$F$221</f>
        <v>780</v>
      </c>
      <c r="H157" s="26">
        <f>CADASTROS!$G$221</f>
        <v>0</v>
      </c>
      <c r="I157" s="16" t="str">
        <f>CADASTROS!$H$221</f>
        <v>000800926054-0</v>
      </c>
      <c r="J157" s="18">
        <f t="shared" si="5"/>
        <v>0</v>
      </c>
      <c r="L157" s="24">
        <v>1794</v>
      </c>
      <c r="M157" s="15" t="s">
        <v>4886</v>
      </c>
      <c r="N157" s="25"/>
      <c r="O157" s="35">
        <v>104.5</v>
      </c>
      <c r="P157" s="17">
        <v>6</v>
      </c>
      <c r="Q157" s="26" t="s">
        <v>4852</v>
      </c>
      <c r="R157" s="24">
        <v>4825</v>
      </c>
      <c r="S157" s="26">
        <v>23</v>
      </c>
      <c r="T157" s="16" t="s">
        <v>4887</v>
      </c>
      <c r="U157" s="18">
        <f t="shared" si="6"/>
        <v>627</v>
      </c>
    </row>
    <row r="158" spans="1:21" ht="20.100000000000001" customHeight="1" x14ac:dyDescent="0.25">
      <c r="A158" s="24">
        <f>CADASTROS!$B$222</f>
        <v>220</v>
      </c>
      <c r="B158" s="15" t="str">
        <f>CADASTROS!$C$222</f>
        <v>Evelyn Gomes Santos</v>
      </c>
      <c r="C158" s="25"/>
      <c r="D158" s="35">
        <f>PLANILHA_COLHEITA_DIÁRIA!$I$365</f>
        <v>0</v>
      </c>
      <c r="E158" s="17">
        <v>6</v>
      </c>
      <c r="F158" s="26" t="str">
        <f>CADASTROS!$E$222</f>
        <v>Banco do Brasil</v>
      </c>
      <c r="G158" s="24" t="str">
        <f>CADASTROS!$F$222</f>
        <v>2760-X</v>
      </c>
      <c r="H158" s="26" t="str">
        <f>CADASTROS!$G$222</f>
        <v>poup</v>
      </c>
      <c r="I158" s="16" t="str">
        <f>CADASTROS!$H$222</f>
        <v>23.922-4</v>
      </c>
      <c r="J158" s="18">
        <f t="shared" si="5"/>
        <v>0</v>
      </c>
      <c r="L158" s="24">
        <v>1795</v>
      </c>
      <c r="M158" s="15" t="s">
        <v>3659</v>
      </c>
      <c r="N158" s="25"/>
      <c r="O158" s="35">
        <v>31</v>
      </c>
      <c r="P158" s="17">
        <v>6</v>
      </c>
      <c r="Q158" s="26" t="s">
        <v>4852</v>
      </c>
      <c r="R158" s="24">
        <v>949</v>
      </c>
      <c r="S158" s="26">
        <v>23</v>
      </c>
      <c r="T158" s="16" t="s">
        <v>3660</v>
      </c>
      <c r="U158" s="18">
        <f t="shared" si="6"/>
        <v>186</v>
      </c>
    </row>
    <row r="159" spans="1:21" ht="20.100000000000001" customHeight="1" x14ac:dyDescent="0.25">
      <c r="A159" s="24">
        <f>CADASTROS!$B$223</f>
        <v>221</v>
      </c>
      <c r="B159" s="15" t="str">
        <f>CADASTROS!$C$223</f>
        <v>Bruno Souza Novais</v>
      </c>
      <c r="C159" s="25"/>
      <c r="D159" s="35">
        <f>PLANILHA_COLHEITA_DIÁRIA!$I$366</f>
        <v>0</v>
      </c>
      <c r="E159" s="17">
        <v>6</v>
      </c>
      <c r="F159" s="26" t="str">
        <f>CADASTROS!$E$223</f>
        <v>Cx. Econômica</v>
      </c>
      <c r="G159" s="24">
        <f>CADASTROS!$F$223</f>
        <v>3880</v>
      </c>
      <c r="H159" s="26">
        <f>CADASTROS!$G$223</f>
        <v>1288</v>
      </c>
      <c r="I159" s="16" t="str">
        <f>CADASTROS!$H$223</f>
        <v>876738728-2</v>
      </c>
      <c r="J159" s="18">
        <f t="shared" si="5"/>
        <v>0</v>
      </c>
      <c r="L159" s="24">
        <v>1796</v>
      </c>
      <c r="M159" s="15" t="s">
        <v>3661</v>
      </c>
      <c r="N159" s="25"/>
      <c r="O159" s="35">
        <v>11.5</v>
      </c>
      <c r="P159" s="17">
        <v>6</v>
      </c>
      <c r="Q159" s="26" t="s">
        <v>4852</v>
      </c>
      <c r="R159" s="24">
        <v>4825</v>
      </c>
      <c r="S159" s="26">
        <v>1288</v>
      </c>
      <c r="T159" s="16" t="s">
        <v>3662</v>
      </c>
      <c r="U159" s="18">
        <f t="shared" si="6"/>
        <v>69</v>
      </c>
    </row>
    <row r="160" spans="1:21" ht="20.100000000000001" customHeight="1" x14ac:dyDescent="0.25">
      <c r="A160" s="24">
        <f>CADASTROS!$B$224</f>
        <v>222</v>
      </c>
      <c r="B160" s="15" t="str">
        <f>CADASTROS!$C$224</f>
        <v>Robson Bispo dos Santos</v>
      </c>
      <c r="C160" s="25"/>
      <c r="D160" s="35">
        <f>PLANILHA_COLHEITA_DIÁRIA!$I$367</f>
        <v>0</v>
      </c>
      <c r="E160" s="17">
        <v>6</v>
      </c>
      <c r="F160" s="26" t="str">
        <f>CADASTROS!$E$224</f>
        <v>Cx. Econômica</v>
      </c>
      <c r="G160" s="24">
        <f>CADASTROS!$F$224</f>
        <v>4818</v>
      </c>
      <c r="H160" s="26">
        <f>CADASTROS!$G$224</f>
        <v>0</v>
      </c>
      <c r="I160" s="16" t="str">
        <f>CADASTROS!$H$224</f>
        <v>000751068995-4</v>
      </c>
      <c r="J160" s="18">
        <f t="shared" si="5"/>
        <v>0</v>
      </c>
      <c r="L160" s="24">
        <v>1798</v>
      </c>
      <c r="M160" s="15" t="s">
        <v>3665</v>
      </c>
      <c r="N160" s="25"/>
      <c r="O160" s="35">
        <v>34</v>
      </c>
      <c r="P160" s="17">
        <v>6</v>
      </c>
      <c r="Q160" s="26" t="s">
        <v>4852</v>
      </c>
      <c r="R160" s="24">
        <v>4818</v>
      </c>
      <c r="S160" s="26">
        <v>1288</v>
      </c>
      <c r="T160" s="16" t="s">
        <v>3666</v>
      </c>
      <c r="U160" s="18">
        <f t="shared" si="6"/>
        <v>204</v>
      </c>
    </row>
    <row r="161" spans="1:21" ht="20.100000000000001" customHeight="1" x14ac:dyDescent="0.25">
      <c r="A161" s="24">
        <f>CADASTROS!$B$225</f>
        <v>223</v>
      </c>
      <c r="B161" s="15" t="str">
        <f>CADASTROS!$C$225</f>
        <v>Marenice Souza Lomes</v>
      </c>
      <c r="C161" s="25"/>
      <c r="D161" s="35">
        <f>PLANILHA_COLHEITA_DIÁRIA!$I$368</f>
        <v>0</v>
      </c>
      <c r="E161" s="17">
        <v>6</v>
      </c>
      <c r="F161" s="26" t="str">
        <f>CADASTROS!$E$225</f>
        <v>Bradesco</v>
      </c>
      <c r="G161" s="24" t="str">
        <f>CADASTROS!$F$225</f>
        <v>3532-7</v>
      </c>
      <c r="H161" s="26" t="str">
        <f>CADASTROS!$G$225</f>
        <v>poup</v>
      </c>
      <c r="I161" s="16" t="str">
        <f>CADASTROS!$H$225</f>
        <v>883747-3</v>
      </c>
      <c r="J161" s="18">
        <f t="shared" si="5"/>
        <v>0</v>
      </c>
      <c r="L161" s="24">
        <v>1804</v>
      </c>
      <c r="M161" s="15" t="s">
        <v>3675</v>
      </c>
      <c r="N161" s="25"/>
      <c r="O161" s="35">
        <v>123.5</v>
      </c>
      <c r="P161" s="17">
        <v>6</v>
      </c>
      <c r="Q161" s="26" t="s">
        <v>4852</v>
      </c>
      <c r="R161" s="24">
        <v>4825</v>
      </c>
      <c r="S161" s="26">
        <v>13</v>
      </c>
      <c r="T161" s="16" t="s">
        <v>3676</v>
      </c>
      <c r="U161" s="18">
        <f t="shared" si="6"/>
        <v>741</v>
      </c>
    </row>
    <row r="162" spans="1:21" ht="20.100000000000001" customHeight="1" x14ac:dyDescent="0.25">
      <c r="A162" s="24">
        <f>CADASTROS!$B$226</f>
        <v>224</v>
      </c>
      <c r="B162" s="15" t="str">
        <f>CADASTROS!$C$226</f>
        <v>Sandro Rodrigues do Nascimento</v>
      </c>
      <c r="C162" s="25"/>
      <c r="D162" s="35">
        <f>PLANILHA_COLHEITA_DIÁRIA!$I$369</f>
        <v>0</v>
      </c>
      <c r="E162" s="17">
        <v>6</v>
      </c>
      <c r="F162" s="26" t="str">
        <f>CADASTROS!$E$226</f>
        <v>Bradesco</v>
      </c>
      <c r="G162" s="24">
        <f>CADASTROS!$F$226</f>
        <v>3899</v>
      </c>
      <c r="H162" s="26">
        <f>CADASTROS!$G$226</f>
        <v>0</v>
      </c>
      <c r="I162" s="16" t="str">
        <f>CADASTROS!$H$226</f>
        <v>640109-0</v>
      </c>
      <c r="J162" s="18">
        <f t="shared" si="5"/>
        <v>0</v>
      </c>
      <c r="L162" s="24">
        <v>1805</v>
      </c>
      <c r="M162" s="15" t="s">
        <v>3677</v>
      </c>
      <c r="N162" s="25"/>
      <c r="O162" s="35">
        <v>5</v>
      </c>
      <c r="P162" s="17">
        <v>6</v>
      </c>
      <c r="Q162" s="26" t="s">
        <v>4852</v>
      </c>
      <c r="R162" s="24">
        <v>949</v>
      </c>
      <c r="S162" s="26">
        <v>13</v>
      </c>
      <c r="T162" s="16" t="s">
        <v>3678</v>
      </c>
      <c r="U162" s="18">
        <f t="shared" si="6"/>
        <v>30</v>
      </c>
    </row>
    <row r="163" spans="1:21" ht="23.25" x14ac:dyDescent="0.35">
      <c r="B163" s="220"/>
      <c r="C163" s="220"/>
      <c r="D163" s="12">
        <f>SUM(D118:D162)</f>
        <v>147</v>
      </c>
      <c r="E163" s="12"/>
      <c r="F163" s="225"/>
      <c r="G163" s="226"/>
      <c r="H163" s="226"/>
      <c r="I163" s="227"/>
      <c r="J163" s="14">
        <f>SUM(J118:J162)</f>
        <v>882</v>
      </c>
      <c r="L163" s="44"/>
      <c r="M163" s="199"/>
      <c r="N163" s="199"/>
      <c r="O163" s="45">
        <f>SUM(O118:O162)</f>
        <v>2309</v>
      </c>
      <c r="P163" s="45"/>
      <c r="Q163" s="200" t="s">
        <v>4869</v>
      </c>
      <c r="R163" s="201"/>
      <c r="S163" s="201"/>
      <c r="T163" s="202"/>
      <c r="U163" s="46">
        <f>SUM(U118:U162)</f>
        <v>13854</v>
      </c>
    </row>
    <row r="165" spans="1:21" ht="15.75" x14ac:dyDescent="0.25">
      <c r="A165" s="213" t="s">
        <v>4816</v>
      </c>
      <c r="B165" s="213"/>
      <c r="C165" s="213"/>
      <c r="D165" s="213"/>
      <c r="E165" s="213"/>
      <c r="F165" s="213"/>
      <c r="G165" s="213"/>
      <c r="H165" s="213"/>
      <c r="I165" s="213"/>
      <c r="J165" s="213"/>
      <c r="L165" s="213" t="s">
        <v>4888</v>
      </c>
      <c r="M165" s="213"/>
      <c r="N165" s="213"/>
      <c r="O165" s="213"/>
      <c r="P165" s="213"/>
      <c r="Q165" s="213"/>
      <c r="R165" s="213"/>
      <c r="S165" s="213"/>
      <c r="T165" s="213"/>
      <c r="U165" s="213"/>
    </row>
    <row r="166" spans="1:21" ht="16.5" thickBot="1" x14ac:dyDescent="0.3">
      <c r="A166" s="214" t="s">
        <v>4843</v>
      </c>
      <c r="B166" s="214"/>
      <c r="C166" s="214"/>
      <c r="D166" s="214"/>
      <c r="E166" s="214"/>
      <c r="F166" s="214"/>
      <c r="G166" s="214"/>
      <c r="H166" s="214"/>
      <c r="I166" s="214"/>
      <c r="J166" s="214"/>
      <c r="L166" s="203" t="s">
        <v>4843</v>
      </c>
      <c r="M166" s="203"/>
      <c r="N166" s="203"/>
      <c r="O166" s="203"/>
      <c r="P166" s="203"/>
      <c r="Q166" s="203"/>
      <c r="R166" s="203"/>
      <c r="S166" s="203"/>
      <c r="T166" s="203"/>
      <c r="U166" s="203"/>
    </row>
    <row r="167" spans="1:21" ht="17.25" thickTop="1" thickBot="1" x14ac:dyDescent="0.3">
      <c r="A167" s="215" t="s">
        <v>4844</v>
      </c>
      <c r="B167" s="215"/>
      <c r="C167" s="215"/>
      <c r="D167" s="215"/>
      <c r="E167" s="215"/>
      <c r="F167" s="215"/>
      <c r="G167" s="215"/>
      <c r="H167" s="215"/>
      <c r="I167" s="215"/>
      <c r="J167" s="215"/>
      <c r="L167" s="204" t="s">
        <v>4845</v>
      </c>
      <c r="M167" s="204"/>
      <c r="N167" s="204"/>
      <c r="O167" s="204"/>
      <c r="P167" s="204"/>
      <c r="Q167" s="204"/>
      <c r="R167" s="204"/>
      <c r="S167" s="204"/>
      <c r="T167" s="204"/>
      <c r="U167" s="204"/>
    </row>
    <row r="168" spans="1:21" ht="20.100000000000001" customHeight="1" x14ac:dyDescent="0.3">
      <c r="A168" s="19" t="s">
        <v>4846</v>
      </c>
      <c r="B168" s="216" t="s">
        <v>1</v>
      </c>
      <c r="C168" s="221" t="s">
        <v>2</v>
      </c>
      <c r="D168" s="223" t="s">
        <v>4847</v>
      </c>
      <c r="E168" s="20" t="s">
        <v>4848</v>
      </c>
      <c r="F168" s="216" t="s">
        <v>3</v>
      </c>
      <c r="G168" s="216" t="s">
        <v>4</v>
      </c>
      <c r="H168" s="216" t="s">
        <v>5</v>
      </c>
      <c r="I168" s="216" t="s">
        <v>6</v>
      </c>
      <c r="J168" s="218" t="s">
        <v>4849</v>
      </c>
      <c r="L168" s="47" t="s">
        <v>4846</v>
      </c>
      <c r="M168" s="205" t="s">
        <v>1</v>
      </c>
      <c r="N168" s="207" t="s">
        <v>2</v>
      </c>
      <c r="O168" s="209" t="s">
        <v>4847</v>
      </c>
      <c r="P168" s="50" t="s">
        <v>4848</v>
      </c>
      <c r="Q168" s="205" t="s">
        <v>3</v>
      </c>
      <c r="R168" s="205" t="s">
        <v>4</v>
      </c>
      <c r="S168" s="205" t="s">
        <v>5</v>
      </c>
      <c r="T168" s="205" t="s">
        <v>6</v>
      </c>
      <c r="U168" s="211" t="s">
        <v>4849</v>
      </c>
    </row>
    <row r="169" spans="1:21" ht="20.100000000000001" customHeight="1" thickBot="1" x14ac:dyDescent="0.35">
      <c r="A169" s="21" t="s">
        <v>4850</v>
      </c>
      <c r="B169" s="217"/>
      <c r="C169" s="222"/>
      <c r="D169" s="224"/>
      <c r="E169" s="161" t="s">
        <v>4851</v>
      </c>
      <c r="F169" s="217"/>
      <c r="G169" s="217"/>
      <c r="H169" s="217"/>
      <c r="I169" s="217"/>
      <c r="J169" s="219"/>
      <c r="L169" s="48" t="s">
        <v>4850</v>
      </c>
      <c r="M169" s="206"/>
      <c r="N169" s="208"/>
      <c r="O169" s="210"/>
      <c r="P169" s="166" t="s">
        <v>4851</v>
      </c>
      <c r="Q169" s="206"/>
      <c r="R169" s="206"/>
      <c r="S169" s="206"/>
      <c r="T169" s="206"/>
      <c r="U169" s="212"/>
    </row>
    <row r="170" spans="1:21" ht="15.75" x14ac:dyDescent="0.25">
      <c r="A170" s="24">
        <f>CADASTROS!$B$227</f>
        <v>225</v>
      </c>
      <c r="B170" s="15" t="str">
        <f>CADASTROS!$C$227</f>
        <v>Elizabete Francisco</v>
      </c>
      <c r="C170" s="25"/>
      <c r="D170" s="25">
        <f>PLANILHA_COLHEITA_DIÁRIA!$I$370</f>
        <v>0</v>
      </c>
      <c r="E170" s="17">
        <v>6</v>
      </c>
      <c r="F170" s="26" t="str">
        <f>CADASTROS!$E$227</f>
        <v>Cx. Econômica</v>
      </c>
      <c r="G170" s="24">
        <f>CADASTROS!$F$227</f>
        <v>4825</v>
      </c>
      <c r="H170" s="26">
        <f>CADASTROS!$G$227</f>
        <v>13</v>
      </c>
      <c r="I170" s="16" t="str">
        <f>CADASTROS!$H$227</f>
        <v>00017762-6</v>
      </c>
      <c r="J170" s="18">
        <f t="shared" ref="J170:J214" si="7">D170*E170</f>
        <v>0</v>
      </c>
      <c r="L170" s="24">
        <v>1806</v>
      </c>
      <c r="M170" s="15" t="s">
        <v>3679</v>
      </c>
      <c r="N170" s="25"/>
      <c r="O170" s="35">
        <v>45.5</v>
      </c>
      <c r="P170" s="17">
        <v>6</v>
      </c>
      <c r="Q170" s="26" t="s">
        <v>4852</v>
      </c>
      <c r="R170" s="24">
        <v>4818</v>
      </c>
      <c r="S170" s="26">
        <v>13</v>
      </c>
      <c r="T170" s="16" t="s">
        <v>3680</v>
      </c>
      <c r="U170" s="18">
        <f t="shared" ref="U170:U214" si="8">O170*P170</f>
        <v>273</v>
      </c>
    </row>
    <row r="171" spans="1:21" ht="15.75" x14ac:dyDescent="0.25">
      <c r="A171" s="24">
        <f>CADASTROS!$B$228</f>
        <v>226</v>
      </c>
      <c r="B171" s="15" t="str">
        <f>CADASTROS!$C$228</f>
        <v>Florisvaldo Silva Campos</v>
      </c>
      <c r="C171" s="25"/>
      <c r="D171" s="25">
        <f>PLANILHA_COLHEITA_DIÁRIA!$I$371</f>
        <v>104</v>
      </c>
      <c r="E171" s="17">
        <v>6</v>
      </c>
      <c r="F171" s="26" t="str">
        <f>CADASTROS!$E$228</f>
        <v>Cx. Econômica</v>
      </c>
      <c r="G171" s="24">
        <f>CADASTROS!$F$228</f>
        <v>68</v>
      </c>
      <c r="H171" s="26">
        <f>CADASTROS!$G$228</f>
        <v>13</v>
      </c>
      <c r="I171" s="16" t="str">
        <f>CADASTROS!$H$228</f>
        <v>00118594-5</v>
      </c>
      <c r="J171" s="18">
        <f t="shared" si="7"/>
        <v>624</v>
      </c>
      <c r="L171" s="24">
        <v>1807</v>
      </c>
      <c r="M171" s="15" t="s">
        <v>4889</v>
      </c>
      <c r="N171" s="25"/>
      <c r="O171" s="35">
        <v>52</v>
      </c>
      <c r="P171" s="17">
        <v>6</v>
      </c>
      <c r="Q171" s="26" t="s">
        <v>4852</v>
      </c>
      <c r="R171" s="24">
        <v>780</v>
      </c>
      <c r="S171" s="26">
        <v>1288</v>
      </c>
      <c r="T171" s="16" t="s">
        <v>3682</v>
      </c>
      <c r="U171" s="18">
        <f t="shared" si="8"/>
        <v>312</v>
      </c>
    </row>
    <row r="172" spans="1:21" ht="15.75" x14ac:dyDescent="0.25">
      <c r="A172" s="24">
        <f>CADASTROS!$B$229</f>
        <v>227</v>
      </c>
      <c r="B172" s="15" t="str">
        <f>CADASTROS!$C$229</f>
        <v>Emerson Matos Lima</v>
      </c>
      <c r="C172" s="25"/>
      <c r="D172" s="25">
        <f>PLANILHA_COLHEITA_DIÁRIA!$I$372</f>
        <v>0</v>
      </c>
      <c r="E172" s="17">
        <v>6</v>
      </c>
      <c r="F172" s="26" t="str">
        <f>CADASTROS!$E$229</f>
        <v>Banco do Brasil</v>
      </c>
      <c r="G172" s="24" t="str">
        <f>CADASTROS!$F$229</f>
        <v>251-8</v>
      </c>
      <c r="H172" s="26" t="str">
        <f>CADASTROS!$G$229</f>
        <v>c/corr</v>
      </c>
      <c r="I172" s="16" t="str">
        <f>CADASTROS!$H$229</f>
        <v>18893-X</v>
      </c>
      <c r="J172" s="18">
        <f t="shared" si="7"/>
        <v>0</v>
      </c>
      <c r="L172" s="24">
        <v>1808</v>
      </c>
      <c r="M172" s="15" t="s">
        <v>3683</v>
      </c>
      <c r="N172" s="25"/>
      <c r="O172" s="35">
        <v>81.5</v>
      </c>
      <c r="P172" s="17">
        <v>6</v>
      </c>
      <c r="Q172" s="26" t="s">
        <v>4852</v>
      </c>
      <c r="R172" s="24">
        <v>949</v>
      </c>
      <c r="S172" s="26">
        <v>1288</v>
      </c>
      <c r="T172" s="16" t="s">
        <v>3684</v>
      </c>
      <c r="U172" s="18">
        <f t="shared" si="8"/>
        <v>489</v>
      </c>
    </row>
    <row r="173" spans="1:21" ht="15.75" x14ac:dyDescent="0.25">
      <c r="A173" s="24">
        <f>CADASTROS!$B$230</f>
        <v>228</v>
      </c>
      <c r="B173" s="15" t="str">
        <f>CADASTROS!$C$230</f>
        <v>Roque Moreira Silva</v>
      </c>
      <c r="C173" s="25"/>
      <c r="D173" s="25">
        <f>PLANILHA_COLHEITA_DIÁRIA!$I$373</f>
        <v>0</v>
      </c>
      <c r="E173" s="17">
        <v>6</v>
      </c>
      <c r="F173" s="26" t="str">
        <f>CADASTROS!$E$230</f>
        <v>Banco do Brasil</v>
      </c>
      <c r="G173" s="24" t="str">
        <f>CADASTROS!$F$230</f>
        <v>2760-X</v>
      </c>
      <c r="H173" s="26" t="str">
        <f>CADASTROS!$G$230</f>
        <v>c/corr</v>
      </c>
      <c r="I173" s="16" t="str">
        <f>CADASTROS!$H$230</f>
        <v>421-9</v>
      </c>
      <c r="J173" s="18">
        <f t="shared" si="7"/>
        <v>0</v>
      </c>
      <c r="L173" s="24">
        <v>1810</v>
      </c>
      <c r="M173" s="15" t="s">
        <v>3687</v>
      </c>
      <c r="N173" s="25"/>
      <c r="O173" s="35">
        <v>8</v>
      </c>
      <c r="P173" s="17">
        <v>6</v>
      </c>
      <c r="Q173" s="26" t="s">
        <v>4852</v>
      </c>
      <c r="R173" s="24">
        <v>949</v>
      </c>
      <c r="S173" s="26">
        <v>13</v>
      </c>
      <c r="T173" s="16" t="s">
        <v>3149</v>
      </c>
      <c r="U173" s="18">
        <f t="shared" si="8"/>
        <v>48</v>
      </c>
    </row>
    <row r="174" spans="1:21" ht="15.75" x14ac:dyDescent="0.25">
      <c r="A174" s="24">
        <f>CADASTROS!$B$231</f>
        <v>229</v>
      </c>
      <c r="B174" s="15" t="str">
        <f>CADASTROS!$C$231</f>
        <v>Edelvan Laranjeira</v>
      </c>
      <c r="C174" s="25"/>
      <c r="D174" s="52">
        <f>PLANILHA_COLHEITA_DIÁRIA!$I$374</f>
        <v>0</v>
      </c>
      <c r="E174" s="17">
        <v>6</v>
      </c>
      <c r="F174" s="26" t="str">
        <f>CADASTROS!$E$231</f>
        <v>Banco do Brasil</v>
      </c>
      <c r="G174" s="24" t="str">
        <f>CADASTROS!$F$231</f>
        <v>0595-9</v>
      </c>
      <c r="H174" s="26" t="str">
        <f>CADASTROS!$G$231</f>
        <v>poup</v>
      </c>
      <c r="I174" s="16" t="str">
        <f>CADASTROS!$H$231</f>
        <v>22.933-4</v>
      </c>
      <c r="J174" s="18">
        <f t="shared" si="7"/>
        <v>0</v>
      </c>
      <c r="L174" s="24">
        <v>1811</v>
      </c>
      <c r="M174" s="15" t="s">
        <v>3688</v>
      </c>
      <c r="N174" s="25"/>
      <c r="O174" s="35">
        <v>8</v>
      </c>
      <c r="P174" s="17">
        <v>6</v>
      </c>
      <c r="Q174" s="26" t="s">
        <v>4852</v>
      </c>
      <c r="R174" s="24">
        <v>949</v>
      </c>
      <c r="S174" s="26">
        <v>23</v>
      </c>
      <c r="T174" s="16" t="s">
        <v>3689</v>
      </c>
      <c r="U174" s="18">
        <f t="shared" si="8"/>
        <v>48</v>
      </c>
    </row>
    <row r="175" spans="1:21" ht="15.75" x14ac:dyDescent="0.25">
      <c r="A175" s="24">
        <f>CADASTROS!$B$232</f>
        <v>230</v>
      </c>
      <c r="B175" s="15" t="str">
        <f>CADASTROS!$C$232</f>
        <v>Marcos Antônio Rodrigues de Oliveira</v>
      </c>
      <c r="C175" s="25"/>
      <c r="D175" s="25">
        <f>PLANILHA_COLHEITA_DIÁRIA!$I$375</f>
        <v>0</v>
      </c>
      <c r="E175" s="17">
        <v>6</v>
      </c>
      <c r="F175" s="26" t="str">
        <f>CADASTROS!$E$232</f>
        <v>Cx. Econômica</v>
      </c>
      <c r="G175" s="24">
        <f>CADASTROS!$F$232</f>
        <v>4818</v>
      </c>
      <c r="H175" s="26">
        <f>CADASTROS!$G$232</f>
        <v>0</v>
      </c>
      <c r="I175" s="16" t="str">
        <f>CADASTROS!$H$232</f>
        <v>000794828205-0</v>
      </c>
      <c r="J175" s="18">
        <f t="shared" si="7"/>
        <v>0</v>
      </c>
      <c r="L175" s="24">
        <v>1814</v>
      </c>
      <c r="M175" s="15" t="s">
        <v>4890</v>
      </c>
      <c r="N175" s="25"/>
      <c r="O175" s="35">
        <v>70</v>
      </c>
      <c r="P175" s="17">
        <v>6</v>
      </c>
      <c r="Q175" s="26" t="s">
        <v>4852</v>
      </c>
      <c r="R175" s="24">
        <v>4379</v>
      </c>
      <c r="S175" s="26">
        <v>1288</v>
      </c>
      <c r="T175" s="16" t="s">
        <v>3696</v>
      </c>
      <c r="U175" s="18">
        <f t="shared" si="8"/>
        <v>420</v>
      </c>
    </row>
    <row r="176" spans="1:21" ht="15.75" x14ac:dyDescent="0.25">
      <c r="A176" s="24">
        <f>CADASTROS!$B$233</f>
        <v>231</v>
      </c>
      <c r="B176" s="15" t="str">
        <f>CADASTROS!$C$233</f>
        <v>Mª A. B. Oliveira</v>
      </c>
      <c r="C176" s="33"/>
      <c r="D176" s="25">
        <f>PLANILHA_COLHEITA_DIÁRIA!$I$376</f>
        <v>0</v>
      </c>
      <c r="E176" s="17">
        <v>6</v>
      </c>
      <c r="F176" s="26" t="str">
        <f>CADASTROS!$E$233</f>
        <v>Cx. Econômica</v>
      </c>
      <c r="G176" s="24">
        <f>CADASTROS!$F$233</f>
        <v>949</v>
      </c>
      <c r="H176" s="26">
        <f>CADASTROS!$G$233</f>
        <v>23</v>
      </c>
      <c r="I176" s="16" t="str">
        <f>CADASTROS!$H$233</f>
        <v>00024133-3</v>
      </c>
      <c r="J176" s="18">
        <f t="shared" si="7"/>
        <v>0</v>
      </c>
      <c r="L176" s="24">
        <v>1816</v>
      </c>
      <c r="M176" s="15" t="s">
        <v>3700</v>
      </c>
      <c r="N176" s="25"/>
      <c r="O176" s="35">
        <v>12.5</v>
      </c>
      <c r="P176" s="17">
        <v>6</v>
      </c>
      <c r="Q176" s="26" t="s">
        <v>4852</v>
      </c>
      <c r="R176" s="24">
        <v>4818</v>
      </c>
      <c r="S176" s="26">
        <v>1288</v>
      </c>
      <c r="T176" s="16" t="s">
        <v>3702</v>
      </c>
      <c r="U176" s="18">
        <f t="shared" si="8"/>
        <v>75</v>
      </c>
    </row>
    <row r="177" spans="1:21" ht="15.75" x14ac:dyDescent="0.25">
      <c r="A177" s="24">
        <f>CADASTROS!$B$234</f>
        <v>232</v>
      </c>
      <c r="B177" s="15" t="str">
        <f>CADASTROS!$C$234</f>
        <v>Rozeli Das Virgens de Souza</v>
      </c>
      <c r="C177" s="25"/>
      <c r="D177" s="25">
        <f>PLANILHA_COLHEITA_DIÁRIA!$I$377</f>
        <v>0</v>
      </c>
      <c r="E177" s="17">
        <v>6</v>
      </c>
      <c r="F177" s="26" t="str">
        <f>CADASTROS!$E$234</f>
        <v>Bradesco</v>
      </c>
      <c r="G177" s="24">
        <f>CADASTROS!$F$234</f>
        <v>3905</v>
      </c>
      <c r="H177" s="26">
        <f>CADASTROS!$G$234</f>
        <v>0</v>
      </c>
      <c r="I177" s="16" t="str">
        <f>CADASTROS!$H$234</f>
        <v>470201-8</v>
      </c>
      <c r="J177" s="18">
        <f t="shared" si="7"/>
        <v>0</v>
      </c>
      <c r="L177" s="24">
        <v>1817</v>
      </c>
      <c r="M177" s="15" t="s">
        <v>3703</v>
      </c>
      <c r="N177" s="25"/>
      <c r="O177" s="35">
        <v>15</v>
      </c>
      <c r="P177" s="17">
        <v>6</v>
      </c>
      <c r="Q177" s="26" t="s">
        <v>4852</v>
      </c>
      <c r="R177" s="24">
        <v>4825</v>
      </c>
      <c r="S177" s="26">
        <v>13</v>
      </c>
      <c r="T177" s="16" t="s">
        <v>3704</v>
      </c>
      <c r="U177" s="18">
        <f t="shared" si="8"/>
        <v>90</v>
      </c>
    </row>
    <row r="178" spans="1:21" ht="15.75" x14ac:dyDescent="0.25">
      <c r="A178" s="24">
        <f>CADASTROS!$B$235</f>
        <v>233</v>
      </c>
      <c r="B178" s="15" t="str">
        <f>CADASTROS!$C$235</f>
        <v>Daniel de Souza Andrade</v>
      </c>
      <c r="C178" s="33"/>
      <c r="D178" s="25">
        <f>PLANILHA_COLHEITA_DIÁRIA!$I$378</f>
        <v>0</v>
      </c>
      <c r="E178" s="17">
        <v>6</v>
      </c>
      <c r="F178" s="26" t="str">
        <f>CADASTROS!$E$235</f>
        <v>Cx. Econômica</v>
      </c>
      <c r="G178" s="24">
        <f>CADASTROS!$F$235</f>
        <v>247</v>
      </c>
      <c r="H178" s="26">
        <f>CADASTROS!$G$235</f>
        <v>13</v>
      </c>
      <c r="I178" s="16" t="str">
        <f>CADASTROS!$H$235</f>
        <v>00025774-0</v>
      </c>
      <c r="J178" s="18">
        <f t="shared" si="7"/>
        <v>0</v>
      </c>
      <c r="L178" s="24">
        <v>1823</v>
      </c>
      <c r="M178" s="15" t="s">
        <v>3715</v>
      </c>
      <c r="N178" s="25"/>
      <c r="O178" s="35">
        <v>47</v>
      </c>
      <c r="P178" s="17">
        <v>6</v>
      </c>
      <c r="Q178" s="26" t="s">
        <v>4852</v>
      </c>
      <c r="R178" s="24">
        <v>4825</v>
      </c>
      <c r="S178" s="26">
        <v>1288</v>
      </c>
      <c r="T178" s="16" t="s">
        <v>3716</v>
      </c>
      <c r="U178" s="18">
        <f t="shared" si="8"/>
        <v>282</v>
      </c>
    </row>
    <row r="179" spans="1:21" ht="15.75" x14ac:dyDescent="0.25">
      <c r="A179" s="24">
        <f>CADASTROS!$B$236</f>
        <v>234</v>
      </c>
      <c r="B179" s="15" t="str">
        <f>CADASTROS!$C$236</f>
        <v>Antônio Pereira Damasceno</v>
      </c>
      <c r="C179" s="33"/>
      <c r="D179" s="25">
        <f>PLANILHA_COLHEITA_DIÁRIA!$I$394</f>
        <v>0</v>
      </c>
      <c r="E179" s="17">
        <v>6</v>
      </c>
      <c r="F179" s="26" t="str">
        <f>CADASTROS!$E$236</f>
        <v>Cx. Econômica</v>
      </c>
      <c r="G179" s="24">
        <f>CADASTROS!$F$236</f>
        <v>4818</v>
      </c>
      <c r="H179" s="26">
        <f>CADASTROS!$G$236</f>
        <v>13</v>
      </c>
      <c r="I179" s="16" t="str">
        <f>CADASTROS!$H$236</f>
        <v>00015100-9</v>
      </c>
      <c r="J179" s="18">
        <f t="shared" si="7"/>
        <v>0</v>
      </c>
      <c r="L179" s="24">
        <v>1826</v>
      </c>
      <c r="M179" s="15" t="s">
        <v>3721</v>
      </c>
      <c r="N179" s="25"/>
      <c r="O179" s="35">
        <v>29.5</v>
      </c>
      <c r="P179" s="17">
        <v>6</v>
      </c>
      <c r="Q179" s="26" t="s">
        <v>4852</v>
      </c>
      <c r="R179" s="24">
        <v>1086</v>
      </c>
      <c r="S179" s="26">
        <v>13</v>
      </c>
      <c r="T179" s="16" t="s">
        <v>3722</v>
      </c>
      <c r="U179" s="18">
        <f t="shared" si="8"/>
        <v>177</v>
      </c>
    </row>
    <row r="180" spans="1:21" ht="15.75" x14ac:dyDescent="0.25">
      <c r="A180" s="24">
        <f>CADASTROS!$B$237</f>
        <v>235</v>
      </c>
      <c r="B180" s="15" t="str">
        <f>CADASTROS!$C$237</f>
        <v>Samara Silva de Sena</v>
      </c>
      <c r="C180" s="33"/>
      <c r="D180" s="52">
        <f>PLANILHA_COLHEITA_DIÁRIA!$I$395</f>
        <v>0</v>
      </c>
      <c r="E180" s="17">
        <v>6</v>
      </c>
      <c r="F180" s="26" t="str">
        <f>CADASTROS!$E$237</f>
        <v>Cx. Econômica</v>
      </c>
      <c r="G180" s="24">
        <f>CADASTROS!$F$237</f>
        <v>949</v>
      </c>
      <c r="H180" s="26">
        <f>CADASTROS!$G$237</f>
        <v>23</v>
      </c>
      <c r="I180" s="16" t="str">
        <f>CADASTROS!$H$237</f>
        <v>00027311-1</v>
      </c>
      <c r="J180" s="18">
        <f t="shared" si="7"/>
        <v>0</v>
      </c>
      <c r="L180" s="24">
        <v>1827</v>
      </c>
      <c r="M180" s="15" t="s">
        <v>4891</v>
      </c>
      <c r="N180" s="25"/>
      <c r="O180" s="35">
        <v>22.5</v>
      </c>
      <c r="P180" s="17">
        <v>6</v>
      </c>
      <c r="Q180" s="26" t="s">
        <v>4852</v>
      </c>
      <c r="R180" s="24">
        <v>949</v>
      </c>
      <c r="S180" s="26">
        <v>13</v>
      </c>
      <c r="T180" s="16" t="s">
        <v>3725</v>
      </c>
      <c r="U180" s="18">
        <f t="shared" si="8"/>
        <v>135</v>
      </c>
    </row>
    <row r="181" spans="1:21" ht="15.75" x14ac:dyDescent="0.25">
      <c r="A181" s="24">
        <f>CADASTROS!$B$238</f>
        <v>236</v>
      </c>
      <c r="B181" s="15" t="str">
        <f>CADASTROS!$C$238</f>
        <v>Maria do Carmo Sousa Santos</v>
      </c>
      <c r="C181" s="25"/>
      <c r="D181" s="25">
        <f>PLANILHA_COLHEITA_DIÁRIA!$I$396</f>
        <v>0</v>
      </c>
      <c r="E181" s="17">
        <v>6</v>
      </c>
      <c r="F181" s="26" t="str">
        <f>CADASTROS!$E$238</f>
        <v>Cx. Econômica</v>
      </c>
      <c r="G181" s="24">
        <f>CADASTROS!$F$238</f>
        <v>949</v>
      </c>
      <c r="H181" s="26">
        <f>CADASTROS!$G$238</f>
        <v>0</v>
      </c>
      <c r="I181" s="16" t="str">
        <f>CADASTROS!$H$238</f>
        <v>000876014361-2</v>
      </c>
      <c r="J181" s="18">
        <f t="shared" si="7"/>
        <v>0</v>
      </c>
      <c r="L181" s="24">
        <v>1828</v>
      </c>
      <c r="M181" s="15" t="s">
        <v>3726</v>
      </c>
      <c r="N181" s="25"/>
      <c r="O181" s="35">
        <v>122</v>
      </c>
      <c r="P181" s="17">
        <v>6</v>
      </c>
      <c r="Q181" s="26" t="s">
        <v>4852</v>
      </c>
      <c r="R181" s="24">
        <v>4825</v>
      </c>
      <c r="S181" s="26">
        <v>13</v>
      </c>
      <c r="T181" s="16" t="s">
        <v>3727</v>
      </c>
      <c r="U181" s="18">
        <f t="shared" si="8"/>
        <v>732</v>
      </c>
    </row>
    <row r="182" spans="1:21" ht="15.75" x14ac:dyDescent="0.25">
      <c r="A182" s="24">
        <f>CADASTROS!$B$239</f>
        <v>237</v>
      </c>
      <c r="B182" s="15" t="str">
        <f>CADASTROS!$C$239</f>
        <v>Diana Sousa Lima</v>
      </c>
      <c r="C182" s="25"/>
      <c r="D182" s="25">
        <f>PLANILHA_COLHEITA_DIÁRIA!$I$397</f>
        <v>0</v>
      </c>
      <c r="E182" s="17">
        <v>6</v>
      </c>
      <c r="F182" s="26" t="str">
        <f>CADASTROS!$E$239</f>
        <v>Cx. Econômica</v>
      </c>
      <c r="G182" s="24">
        <f>CADASTROS!$F$239</f>
        <v>949</v>
      </c>
      <c r="H182" s="26">
        <f>CADASTROS!$G$239</f>
        <v>0</v>
      </c>
      <c r="I182" s="16" t="str">
        <f>CADASTROS!$H$239</f>
        <v>000839007613-4</v>
      </c>
      <c r="J182" s="18">
        <f t="shared" si="7"/>
        <v>0</v>
      </c>
      <c r="L182" s="24">
        <v>1830</v>
      </c>
      <c r="M182" s="15" t="s">
        <v>3730</v>
      </c>
      <c r="N182" s="25"/>
      <c r="O182" s="35">
        <v>20.5</v>
      </c>
      <c r="P182" s="17">
        <v>6</v>
      </c>
      <c r="Q182" s="26" t="s">
        <v>4852</v>
      </c>
      <c r="R182" s="24">
        <v>4825</v>
      </c>
      <c r="S182" s="26">
        <v>13</v>
      </c>
      <c r="T182" s="16" t="s">
        <v>3731</v>
      </c>
      <c r="U182" s="18">
        <f t="shared" si="8"/>
        <v>123</v>
      </c>
    </row>
    <row r="183" spans="1:21" ht="15.75" x14ac:dyDescent="0.25">
      <c r="A183" s="24">
        <f>CADASTROS!$B$240</f>
        <v>238</v>
      </c>
      <c r="B183" s="15" t="str">
        <f>CADASTROS!$C$240</f>
        <v>Andreane Souza Batista</v>
      </c>
      <c r="C183" s="25"/>
      <c r="D183" s="25">
        <f>PLANILHA_COLHEITA_DIÁRIA!$I$398</f>
        <v>0</v>
      </c>
      <c r="E183" s="17">
        <v>6</v>
      </c>
      <c r="F183" s="26" t="str">
        <f>CADASTROS!$E$240</f>
        <v>Bradesco</v>
      </c>
      <c r="G183" s="24">
        <f>CADASTROS!$F$240</f>
        <v>3899</v>
      </c>
      <c r="H183" s="26" t="str">
        <f>CADASTROS!$G$240</f>
        <v>poup</v>
      </c>
      <c r="I183" s="16" t="str">
        <f>CADASTROS!$H$240</f>
        <v>0302858-5</v>
      </c>
      <c r="J183" s="18">
        <f t="shared" si="7"/>
        <v>0</v>
      </c>
      <c r="L183" s="24">
        <v>1831</v>
      </c>
      <c r="M183" s="15" t="s">
        <v>3732</v>
      </c>
      <c r="N183" s="25"/>
      <c r="O183" s="35">
        <v>115.5</v>
      </c>
      <c r="P183" s="17">
        <v>6</v>
      </c>
      <c r="Q183" s="26" t="s">
        <v>4852</v>
      </c>
      <c r="R183" s="24">
        <v>2734</v>
      </c>
      <c r="S183" s="26">
        <v>1288</v>
      </c>
      <c r="T183" s="16" t="s">
        <v>3733</v>
      </c>
      <c r="U183" s="18">
        <f t="shared" si="8"/>
        <v>693</v>
      </c>
    </row>
    <row r="184" spans="1:21" ht="15.75" x14ac:dyDescent="0.25">
      <c r="A184" s="24">
        <f>CADASTROS!$B$241</f>
        <v>239</v>
      </c>
      <c r="B184" s="15" t="str">
        <f>CADASTROS!$C$241</f>
        <v>Naili Oliveira de Souza</v>
      </c>
      <c r="C184" s="25"/>
      <c r="D184" s="25">
        <f>PLANILHA_COLHEITA_DIÁRIA!$I$399</f>
        <v>0</v>
      </c>
      <c r="E184" s="17">
        <v>6</v>
      </c>
      <c r="F184" s="26" t="str">
        <f>CADASTROS!$E$241</f>
        <v>Bradesco</v>
      </c>
      <c r="G184" s="24">
        <f>CADASTROS!$F$241</f>
        <v>3858</v>
      </c>
      <c r="H184" s="26" t="str">
        <f>CADASTROS!$G$241</f>
        <v>poup</v>
      </c>
      <c r="I184" s="16" t="str">
        <f>CADASTROS!$H$241</f>
        <v>0521619-2</v>
      </c>
      <c r="J184" s="18">
        <f t="shared" si="7"/>
        <v>0</v>
      </c>
      <c r="L184" s="24">
        <v>1832</v>
      </c>
      <c r="M184" s="15" t="s">
        <v>4892</v>
      </c>
      <c r="N184" s="25"/>
      <c r="O184" s="35">
        <v>74.5</v>
      </c>
      <c r="P184" s="17">
        <v>6</v>
      </c>
      <c r="Q184" s="26" t="s">
        <v>4852</v>
      </c>
      <c r="R184" s="24">
        <v>4825</v>
      </c>
      <c r="S184" s="26">
        <v>1288</v>
      </c>
      <c r="T184" s="16" t="s">
        <v>3736</v>
      </c>
      <c r="U184" s="18">
        <f t="shared" si="8"/>
        <v>447</v>
      </c>
    </row>
    <row r="185" spans="1:21" ht="15.75" x14ac:dyDescent="0.25">
      <c r="A185" s="24">
        <f>CADASTROS!$B$242</f>
        <v>240</v>
      </c>
      <c r="B185" s="15" t="str">
        <f>CADASTROS!$C$242</f>
        <v>Valtei Jesus de Sousa</v>
      </c>
      <c r="C185" s="25"/>
      <c r="D185" s="52">
        <f>PLANILHA_COLHEITA_DIÁRIA!$I$400</f>
        <v>0</v>
      </c>
      <c r="E185" s="17">
        <v>6</v>
      </c>
      <c r="F185" s="26" t="str">
        <f>CADASTROS!$E$242</f>
        <v>Cx. Econômica</v>
      </c>
      <c r="G185" s="24">
        <f>CADASTROS!$F$242</f>
        <v>4825</v>
      </c>
      <c r="H185" s="26">
        <f>CADASTROS!$G$242</f>
        <v>1288</v>
      </c>
      <c r="I185" s="16" t="str">
        <f>CADASTROS!$H$242</f>
        <v>762490404-8</v>
      </c>
      <c r="J185" s="18">
        <f t="shared" si="7"/>
        <v>0</v>
      </c>
      <c r="L185" s="24">
        <v>1833</v>
      </c>
      <c r="M185" s="15" t="s">
        <v>1470</v>
      </c>
      <c r="N185" s="25"/>
      <c r="O185" s="35">
        <v>15</v>
      </c>
      <c r="P185" s="17">
        <v>6</v>
      </c>
      <c r="Q185" s="26" t="s">
        <v>4852</v>
      </c>
      <c r="R185" s="24">
        <v>4825</v>
      </c>
      <c r="S185" s="26">
        <v>13</v>
      </c>
      <c r="T185" s="16" t="s">
        <v>1471</v>
      </c>
      <c r="U185" s="18">
        <f t="shared" si="8"/>
        <v>90</v>
      </c>
    </row>
    <row r="186" spans="1:21" ht="15.75" x14ac:dyDescent="0.25">
      <c r="A186" s="24">
        <f>CADASTROS!$B$243</f>
        <v>241</v>
      </c>
      <c r="B186" s="15" t="str">
        <f>CADASTROS!$C$243</f>
        <v>Desiane M Jesus dos Santos</v>
      </c>
      <c r="C186" s="25"/>
      <c r="D186" s="25">
        <f>PLANILHA_COLHEITA_DIÁRIA!$I$401</f>
        <v>0</v>
      </c>
      <c r="E186" s="17">
        <v>6</v>
      </c>
      <c r="F186" s="26" t="str">
        <f>CADASTROS!$E$243</f>
        <v>Bradesco</v>
      </c>
      <c r="G186" s="24">
        <f>CADASTROS!$F$243</f>
        <v>1195</v>
      </c>
      <c r="H186" s="26" t="str">
        <f>CADASTROS!$G$243</f>
        <v>poup</v>
      </c>
      <c r="I186" s="16" t="str">
        <f>CADASTROS!$H$243</f>
        <v>0400579-1</v>
      </c>
      <c r="J186" s="18">
        <f t="shared" si="7"/>
        <v>0</v>
      </c>
      <c r="L186" s="24">
        <v>1834</v>
      </c>
      <c r="M186" s="15" t="s">
        <v>3737</v>
      </c>
      <c r="N186" s="25"/>
      <c r="O186" s="35">
        <v>69.5</v>
      </c>
      <c r="P186" s="17">
        <v>6</v>
      </c>
      <c r="Q186" s="26" t="s">
        <v>4852</v>
      </c>
      <c r="R186" s="24">
        <v>4825</v>
      </c>
      <c r="S186" s="26">
        <v>1288</v>
      </c>
      <c r="T186" s="16" t="s">
        <v>3738</v>
      </c>
      <c r="U186" s="18">
        <f t="shared" si="8"/>
        <v>417</v>
      </c>
    </row>
    <row r="187" spans="1:21" ht="15.75" x14ac:dyDescent="0.25">
      <c r="A187" s="24">
        <f>CADASTROS!$B$244</f>
        <v>242</v>
      </c>
      <c r="B187" s="15" t="str">
        <f>CADASTROS!$C$244</f>
        <v>Noires de Jesus Moreira</v>
      </c>
      <c r="C187" s="25"/>
      <c r="D187" s="25">
        <f>PLANILHA_COLHEITA_DIÁRIA!$I$402</f>
        <v>0</v>
      </c>
      <c r="E187" s="17">
        <v>6</v>
      </c>
      <c r="F187" s="26" t="str">
        <f>CADASTROS!$E$244</f>
        <v>Cx. Econômica</v>
      </c>
      <c r="G187" s="24">
        <f>CADASTROS!$F$244</f>
        <v>949</v>
      </c>
      <c r="H187" s="26">
        <f>CADASTROS!$G$244</f>
        <v>23</v>
      </c>
      <c r="I187" s="16" t="str">
        <f>CADASTROS!$H$244</f>
        <v>00006593-4</v>
      </c>
      <c r="J187" s="18">
        <f t="shared" si="7"/>
        <v>0</v>
      </c>
      <c r="L187" s="24">
        <v>1835</v>
      </c>
      <c r="M187" s="15" t="s">
        <v>3739</v>
      </c>
      <c r="N187" s="25"/>
      <c r="O187" s="35">
        <v>64</v>
      </c>
      <c r="P187" s="17">
        <v>6</v>
      </c>
      <c r="Q187" s="26" t="s">
        <v>4852</v>
      </c>
      <c r="R187" s="24">
        <v>4825</v>
      </c>
      <c r="S187" s="26">
        <v>1288</v>
      </c>
      <c r="T187" s="16" t="s">
        <v>3740</v>
      </c>
      <c r="U187" s="18">
        <f t="shared" si="8"/>
        <v>384</v>
      </c>
    </row>
    <row r="188" spans="1:21" ht="15.75" x14ac:dyDescent="0.25">
      <c r="A188" s="24">
        <f>CADASTROS!$B$245</f>
        <v>243</v>
      </c>
      <c r="B188" s="15" t="str">
        <f>CADASTROS!$C$245</f>
        <v>Rita de Cássia J Souza</v>
      </c>
      <c r="C188" s="25"/>
      <c r="D188" s="25">
        <f>PLANILHA_COLHEITA_DIÁRIA!$I$403</f>
        <v>0</v>
      </c>
      <c r="E188" s="17">
        <v>6</v>
      </c>
      <c r="F188" s="26" t="str">
        <f>CADASTROS!$E$245</f>
        <v>Bradesco</v>
      </c>
      <c r="G188" s="24">
        <f>CADASTROS!$F$245</f>
        <v>3801</v>
      </c>
      <c r="H188" s="26" t="str">
        <f>CADASTROS!$G$245</f>
        <v>poup</v>
      </c>
      <c r="I188" s="16" t="str">
        <f>CADASTROS!$H$245</f>
        <v>1000224-9</v>
      </c>
      <c r="J188" s="18">
        <f t="shared" si="7"/>
        <v>0</v>
      </c>
      <c r="L188" s="24">
        <v>1836</v>
      </c>
      <c r="M188" s="15" t="s">
        <v>3741</v>
      </c>
      <c r="N188" s="25"/>
      <c r="O188" s="35">
        <v>54</v>
      </c>
      <c r="P188" s="17">
        <v>6</v>
      </c>
      <c r="Q188" s="26" t="s">
        <v>4852</v>
      </c>
      <c r="R188" s="24">
        <v>4132</v>
      </c>
      <c r="S188" s="26">
        <v>13</v>
      </c>
      <c r="T188" s="16" t="s">
        <v>3742</v>
      </c>
      <c r="U188" s="18">
        <f t="shared" si="8"/>
        <v>324</v>
      </c>
    </row>
    <row r="189" spans="1:21" ht="15.75" x14ac:dyDescent="0.25">
      <c r="A189" s="24">
        <f>CADASTROS!$B$246</f>
        <v>244</v>
      </c>
      <c r="B189" s="15" t="str">
        <f>CADASTROS!$C$246</f>
        <v>Jeferson de Souza Pires</v>
      </c>
      <c r="C189" s="25"/>
      <c r="D189" s="25">
        <f>PLANILHA_COLHEITA_DIÁRIA!$I$404</f>
        <v>0</v>
      </c>
      <c r="E189" s="17">
        <v>6</v>
      </c>
      <c r="F189" s="26" t="str">
        <f>CADASTROS!$E$246</f>
        <v>Bradesco</v>
      </c>
      <c r="G189" s="24">
        <f>CADASTROS!$F$246</f>
        <v>5216</v>
      </c>
      <c r="H189" s="26" t="str">
        <f>CADASTROS!$G$246</f>
        <v>poup</v>
      </c>
      <c r="I189" s="16" t="str">
        <f>CADASTROS!$H$246</f>
        <v>0007670-8</v>
      </c>
      <c r="J189" s="18">
        <f t="shared" si="7"/>
        <v>0</v>
      </c>
      <c r="L189" s="24">
        <v>1838</v>
      </c>
      <c r="M189" s="15" t="s">
        <v>4893</v>
      </c>
      <c r="N189" s="25"/>
      <c r="O189" s="35">
        <v>78.5</v>
      </c>
      <c r="P189" s="17">
        <v>6</v>
      </c>
      <c r="Q189" s="26" t="s">
        <v>4852</v>
      </c>
      <c r="R189" s="24">
        <v>780</v>
      </c>
      <c r="S189" s="26">
        <v>1288</v>
      </c>
      <c r="T189" s="16" t="s">
        <v>3746</v>
      </c>
      <c r="U189" s="18">
        <f t="shared" si="8"/>
        <v>471</v>
      </c>
    </row>
    <row r="190" spans="1:21" ht="15.75" x14ac:dyDescent="0.25">
      <c r="A190" s="24">
        <f>CADASTROS!$B$247</f>
        <v>245</v>
      </c>
      <c r="B190" s="15" t="str">
        <f>CADASTROS!$C$247</f>
        <v>Geisa Costa Silva</v>
      </c>
      <c r="C190" s="25"/>
      <c r="D190" s="25">
        <f>PLANILHA_COLHEITA_DIÁRIA!$I$405</f>
        <v>0</v>
      </c>
      <c r="E190" s="17">
        <v>6</v>
      </c>
      <c r="F190" s="26" t="str">
        <f>CADASTROS!$E$247</f>
        <v>Cx. Econômica</v>
      </c>
      <c r="G190" s="24">
        <f>CADASTROS!$F$247</f>
        <v>4818</v>
      </c>
      <c r="H190" s="26">
        <f>CADASTROS!$G$247</f>
        <v>0</v>
      </c>
      <c r="I190" s="16" t="str">
        <f>CADASTROS!$H$247</f>
        <v>000860461909-5</v>
      </c>
      <c r="J190" s="18">
        <f t="shared" si="7"/>
        <v>0</v>
      </c>
      <c r="L190" s="24">
        <v>1846</v>
      </c>
      <c r="M190" s="15" t="s">
        <v>4894</v>
      </c>
      <c r="N190" s="25"/>
      <c r="O190" s="35">
        <v>100</v>
      </c>
      <c r="P190" s="17">
        <v>6</v>
      </c>
      <c r="Q190" s="26" t="s">
        <v>4852</v>
      </c>
      <c r="R190" s="24">
        <v>4825</v>
      </c>
      <c r="S190" s="26">
        <v>13</v>
      </c>
      <c r="T190" s="16" t="s">
        <v>3759</v>
      </c>
      <c r="U190" s="18">
        <f t="shared" si="8"/>
        <v>600</v>
      </c>
    </row>
    <row r="191" spans="1:21" ht="15.75" x14ac:dyDescent="0.25">
      <c r="A191" s="24">
        <f>CADASTROS!$B$248</f>
        <v>246</v>
      </c>
      <c r="B191" s="15" t="str">
        <f>CADASTROS!$C$248</f>
        <v>José Paulo  Medrado Souza</v>
      </c>
      <c r="C191" s="25"/>
      <c r="D191" s="25">
        <f>PLANILHA_COLHEITA_DIÁRIA!$I$406</f>
        <v>0</v>
      </c>
      <c r="E191" s="17">
        <v>6</v>
      </c>
      <c r="F191" s="26" t="str">
        <f>CADASTROS!$E$248</f>
        <v>Banco do Brasil</v>
      </c>
      <c r="G191" s="24" t="str">
        <f>CADASTROS!$F$248</f>
        <v>2760-X</v>
      </c>
      <c r="H191" s="26" t="str">
        <f>CADASTROS!$G$248</f>
        <v>poup</v>
      </c>
      <c r="I191" s="16" t="str">
        <f>CADASTROS!$H$248</f>
        <v>18.175-7</v>
      </c>
      <c r="J191" s="18">
        <f t="shared" si="7"/>
        <v>0</v>
      </c>
      <c r="L191" s="24">
        <v>1855</v>
      </c>
      <c r="M191" s="15" t="s">
        <v>3775</v>
      </c>
      <c r="N191" s="25"/>
      <c r="O191" s="35">
        <v>81.5</v>
      </c>
      <c r="P191" s="17">
        <v>6</v>
      </c>
      <c r="Q191" s="26" t="s">
        <v>4852</v>
      </c>
      <c r="R191" s="24">
        <v>1168</v>
      </c>
      <c r="S191" s="26">
        <v>13</v>
      </c>
      <c r="T191" s="16" t="s">
        <v>3776</v>
      </c>
      <c r="U191" s="18">
        <f t="shared" si="8"/>
        <v>489</v>
      </c>
    </row>
    <row r="192" spans="1:21" ht="15.75" x14ac:dyDescent="0.25">
      <c r="A192" s="24">
        <f>CADASTROS!$B$249</f>
        <v>247</v>
      </c>
      <c r="B192" s="15" t="str">
        <f>CADASTROS!$C$249</f>
        <v>Gleivison Lima dos Santos</v>
      </c>
      <c r="C192" s="25"/>
      <c r="D192" s="25">
        <f>PLANILHA_COLHEITA_DIÁRIA!$I$407</f>
        <v>0</v>
      </c>
      <c r="E192" s="17">
        <v>6</v>
      </c>
      <c r="F192" s="26" t="str">
        <f>CADASTROS!$E$249</f>
        <v>Cx. Econômica</v>
      </c>
      <c r="G192" s="24">
        <f>CADASTROS!$F$249</f>
        <v>4818</v>
      </c>
      <c r="H192" s="26">
        <f>CADASTROS!$G$249</f>
        <v>13</v>
      </c>
      <c r="I192" s="16" t="str">
        <f>CADASTROS!$H$249</f>
        <v>00014185-2</v>
      </c>
      <c r="J192" s="18">
        <f t="shared" si="7"/>
        <v>0</v>
      </c>
      <c r="L192" s="24">
        <v>1859</v>
      </c>
      <c r="M192" s="15" t="s">
        <v>1306</v>
      </c>
      <c r="N192" s="25"/>
      <c r="O192" s="35">
        <v>10</v>
      </c>
      <c r="P192" s="17">
        <v>6</v>
      </c>
      <c r="Q192" s="26" t="s">
        <v>4852</v>
      </c>
      <c r="R192" s="24">
        <v>4825</v>
      </c>
      <c r="S192" s="26">
        <v>1288</v>
      </c>
      <c r="T192" s="16" t="s">
        <v>3782</v>
      </c>
      <c r="U192" s="18">
        <f t="shared" si="8"/>
        <v>60</v>
      </c>
    </row>
    <row r="193" spans="1:21" ht="15.75" x14ac:dyDescent="0.25">
      <c r="A193" s="24">
        <f>CADASTROS!$B$250</f>
        <v>248</v>
      </c>
      <c r="B193" s="15" t="str">
        <f>CADASTROS!$C$250</f>
        <v>Mª Cleuma R Souza</v>
      </c>
      <c r="C193" s="25"/>
      <c r="D193" s="25">
        <f>PLANILHA_COLHEITA_DIÁRIA!$I$408</f>
        <v>0</v>
      </c>
      <c r="E193" s="17">
        <v>6</v>
      </c>
      <c r="F193" s="26" t="str">
        <f>CADASTROS!$E$250</f>
        <v>Cx. Econômica</v>
      </c>
      <c r="G193" s="24">
        <f>CADASTROS!$F$250</f>
        <v>949</v>
      </c>
      <c r="H193" s="26">
        <f>CADASTROS!$G$250</f>
        <v>1288</v>
      </c>
      <c r="I193" s="16" t="str">
        <f>CADASTROS!$H$250</f>
        <v>875976856-6</v>
      </c>
      <c r="J193" s="18">
        <f t="shared" si="7"/>
        <v>0</v>
      </c>
      <c r="L193" s="24">
        <v>1860</v>
      </c>
      <c r="M193" s="15" t="s">
        <v>3783</v>
      </c>
      <c r="N193" s="25"/>
      <c r="O193" s="35">
        <v>12</v>
      </c>
      <c r="P193" s="17">
        <v>6</v>
      </c>
      <c r="Q193" s="26" t="s">
        <v>4852</v>
      </c>
      <c r="R193" s="24">
        <v>4818</v>
      </c>
      <c r="S193" s="26">
        <v>13</v>
      </c>
      <c r="T193" s="16" t="s">
        <v>3784</v>
      </c>
      <c r="U193" s="18">
        <f t="shared" si="8"/>
        <v>72</v>
      </c>
    </row>
    <row r="194" spans="1:21" ht="15.75" x14ac:dyDescent="0.25">
      <c r="A194" s="24">
        <f>CADASTROS!$B$251</f>
        <v>249</v>
      </c>
      <c r="B194" s="15" t="str">
        <f>CADASTROS!$C$251</f>
        <v>Josevaldo N de Souza</v>
      </c>
      <c r="C194" s="25"/>
      <c r="D194" s="25">
        <f>PLANILHA_COLHEITA_DIÁRIA!$I$409</f>
        <v>0</v>
      </c>
      <c r="E194" s="17">
        <v>6</v>
      </c>
      <c r="F194" s="26" t="str">
        <f>CADASTROS!$E$251</f>
        <v>Cx. Econômica</v>
      </c>
      <c r="G194" s="24">
        <f>CADASTROS!$F$251</f>
        <v>1340</v>
      </c>
      <c r="H194" s="26">
        <f>CADASTROS!$G$251</f>
        <v>23</v>
      </c>
      <c r="I194" s="16" t="str">
        <f>CADASTROS!$H$251</f>
        <v>00017203-1</v>
      </c>
      <c r="J194" s="18">
        <f t="shared" si="7"/>
        <v>0</v>
      </c>
      <c r="L194" s="24">
        <v>1861</v>
      </c>
      <c r="M194" s="15" t="s">
        <v>3785</v>
      </c>
      <c r="N194" s="25"/>
      <c r="O194" s="35">
        <v>14</v>
      </c>
      <c r="P194" s="17">
        <v>6</v>
      </c>
      <c r="Q194" s="26" t="s">
        <v>4852</v>
      </c>
      <c r="R194" s="24">
        <v>4818</v>
      </c>
      <c r="S194" s="26">
        <v>23</v>
      </c>
      <c r="T194" s="16" t="s">
        <v>2201</v>
      </c>
      <c r="U194" s="18">
        <f t="shared" si="8"/>
        <v>84</v>
      </c>
    </row>
    <row r="195" spans="1:21" ht="15.75" x14ac:dyDescent="0.25">
      <c r="A195" s="24">
        <f>CADASTROS!$B$252</f>
        <v>250</v>
      </c>
      <c r="B195" s="15" t="str">
        <f>CADASTROS!$C$252</f>
        <v>Noelio Ferreira dos Santos</v>
      </c>
      <c r="C195" s="25"/>
      <c r="D195" s="25">
        <f>PLANILHA_COLHEITA_DIÁRIA!$I$410</f>
        <v>0</v>
      </c>
      <c r="E195" s="17">
        <v>6</v>
      </c>
      <c r="F195" s="26" t="str">
        <f>CADASTROS!$E$252</f>
        <v>Bradesco</v>
      </c>
      <c r="G195" s="24">
        <f>CADASTROS!$F$252</f>
        <v>3532</v>
      </c>
      <c r="H195" s="26" t="str">
        <f>CADASTROS!$G$252</f>
        <v>poup</v>
      </c>
      <c r="I195" s="16" t="str">
        <f>CADASTROS!$H$252</f>
        <v>1003101-0</v>
      </c>
      <c r="J195" s="18">
        <f t="shared" si="7"/>
        <v>0</v>
      </c>
      <c r="L195" s="24">
        <v>1863</v>
      </c>
      <c r="M195" s="15" t="s">
        <v>4895</v>
      </c>
      <c r="N195" s="25"/>
      <c r="O195" s="35">
        <v>61.5</v>
      </c>
      <c r="P195" s="17">
        <v>6</v>
      </c>
      <c r="Q195" s="26" t="s">
        <v>4852</v>
      </c>
      <c r="R195" s="24">
        <v>3280</v>
      </c>
      <c r="S195" s="26">
        <v>13</v>
      </c>
      <c r="T195" s="16" t="s">
        <v>3789</v>
      </c>
      <c r="U195" s="18">
        <f t="shared" si="8"/>
        <v>369</v>
      </c>
    </row>
    <row r="196" spans="1:21" ht="15.75" x14ac:dyDescent="0.25">
      <c r="A196" s="24">
        <f>CADASTROS!$B$253</f>
        <v>251</v>
      </c>
      <c r="B196" s="15" t="str">
        <f>CADASTROS!$C$253</f>
        <v>João Cruz dos Santos</v>
      </c>
      <c r="C196" s="25"/>
      <c r="D196" s="25">
        <f>PLANILHA_COLHEITA_DIÁRIA!$I$411</f>
        <v>0</v>
      </c>
      <c r="E196" s="17">
        <v>6</v>
      </c>
      <c r="F196" s="26" t="str">
        <f>CADASTROS!$E$253</f>
        <v>Cx. Econômica</v>
      </c>
      <c r="G196" s="24">
        <f>CADASTROS!$F$253</f>
        <v>949</v>
      </c>
      <c r="H196" s="26">
        <f>CADASTROS!$G$253</f>
        <v>13</v>
      </c>
      <c r="I196" s="16" t="str">
        <f>CADASTROS!$H$253</f>
        <v>00025775-5</v>
      </c>
      <c r="J196" s="18">
        <f t="shared" si="7"/>
        <v>0</v>
      </c>
      <c r="L196" s="24">
        <v>1864</v>
      </c>
      <c r="M196" s="15" t="s">
        <v>3790</v>
      </c>
      <c r="N196" s="25"/>
      <c r="O196" s="35">
        <v>85</v>
      </c>
      <c r="P196" s="17">
        <v>6</v>
      </c>
      <c r="Q196" s="26" t="s">
        <v>4852</v>
      </c>
      <c r="R196" s="24">
        <v>4601</v>
      </c>
      <c r="S196" s="26">
        <v>13</v>
      </c>
      <c r="T196" s="16" t="s">
        <v>3791</v>
      </c>
      <c r="U196" s="18">
        <f t="shared" si="8"/>
        <v>510</v>
      </c>
    </row>
    <row r="197" spans="1:21" ht="15.75" x14ac:dyDescent="0.25">
      <c r="A197" s="24">
        <f>CADASTROS!$B$254</f>
        <v>252</v>
      </c>
      <c r="B197" s="15" t="str">
        <f>CADASTROS!$C$254</f>
        <v>Viviane Alves de Souza</v>
      </c>
      <c r="C197" s="25"/>
      <c r="D197" s="25">
        <f>PLANILHA_COLHEITA_DIÁRIA!$I$412</f>
        <v>0</v>
      </c>
      <c r="E197" s="17">
        <v>6</v>
      </c>
      <c r="F197" s="26" t="str">
        <f>CADASTROS!$E$254</f>
        <v>Cx. Econômica</v>
      </c>
      <c r="G197" s="24">
        <f>CADASTROS!$F$254</f>
        <v>949</v>
      </c>
      <c r="H197" s="26">
        <f>CADASTROS!$G$254</f>
        <v>23</v>
      </c>
      <c r="I197" s="16" t="str">
        <f>CADASTROS!$H$254</f>
        <v>00008888-8</v>
      </c>
      <c r="J197" s="18">
        <f t="shared" si="7"/>
        <v>0</v>
      </c>
      <c r="L197" s="24">
        <v>1865</v>
      </c>
      <c r="M197" s="15" t="s">
        <v>3792</v>
      </c>
      <c r="N197" s="25"/>
      <c r="O197" s="35">
        <v>104.5</v>
      </c>
      <c r="P197" s="17">
        <v>6</v>
      </c>
      <c r="Q197" s="26" t="s">
        <v>4852</v>
      </c>
      <c r="R197" s="24">
        <v>780</v>
      </c>
      <c r="S197" s="26">
        <v>1288</v>
      </c>
      <c r="T197" s="16" t="s">
        <v>3793</v>
      </c>
      <c r="U197" s="18">
        <f t="shared" si="8"/>
        <v>627</v>
      </c>
    </row>
    <row r="198" spans="1:21" ht="15.75" x14ac:dyDescent="0.25">
      <c r="A198" s="24">
        <f>CADASTROS!$B$255</f>
        <v>253</v>
      </c>
      <c r="B198" s="15" t="str">
        <f>CADASTROS!$C$255</f>
        <v>Luiz Meira Almeida</v>
      </c>
      <c r="C198" s="25"/>
      <c r="D198" s="25">
        <f>PLANILHA_COLHEITA_DIÁRIA!$I$413</f>
        <v>0</v>
      </c>
      <c r="E198" s="17">
        <v>6</v>
      </c>
      <c r="F198" s="26" t="str">
        <f>CADASTROS!$E$255</f>
        <v>Cx. Econômica</v>
      </c>
      <c r="G198" s="24">
        <f>CADASTROS!$F$255</f>
        <v>4601</v>
      </c>
      <c r="H198" s="26">
        <f>CADASTROS!$G$255</f>
        <v>1288</v>
      </c>
      <c r="I198" s="16" t="str">
        <f>CADASTROS!$H$255</f>
        <v>828071428-4</v>
      </c>
      <c r="J198" s="18">
        <f t="shared" si="7"/>
        <v>0</v>
      </c>
      <c r="L198" s="24">
        <v>1866</v>
      </c>
      <c r="M198" s="15" t="s">
        <v>3794</v>
      </c>
      <c r="N198" s="25"/>
      <c r="O198" s="35">
        <v>20</v>
      </c>
      <c r="P198" s="17">
        <v>6</v>
      </c>
      <c r="Q198" s="26" t="s">
        <v>4852</v>
      </c>
      <c r="R198" s="24">
        <v>949</v>
      </c>
      <c r="S198" s="26">
        <v>23</v>
      </c>
      <c r="T198" s="16" t="s">
        <v>3796</v>
      </c>
      <c r="U198" s="18">
        <f t="shared" si="8"/>
        <v>120</v>
      </c>
    </row>
    <row r="199" spans="1:21" ht="15.75" x14ac:dyDescent="0.25">
      <c r="A199" s="24">
        <f>CADASTROS!$B$256</f>
        <v>254</v>
      </c>
      <c r="B199" s="15" t="str">
        <f>CADASTROS!$C$256</f>
        <v>Iraildes Calixto Alves</v>
      </c>
      <c r="C199" s="25"/>
      <c r="D199" s="25">
        <f>PLANILHA_COLHEITA_DIÁRIA!$I$414</f>
        <v>0</v>
      </c>
      <c r="E199" s="17">
        <v>6</v>
      </c>
      <c r="F199" s="26" t="str">
        <f>CADASTROS!$E$256</f>
        <v>Cx. Econômica</v>
      </c>
      <c r="G199" s="24">
        <f>CADASTROS!$F$256</f>
        <v>4825</v>
      </c>
      <c r="H199" s="26">
        <f>CADASTROS!$G$256</f>
        <v>13</v>
      </c>
      <c r="I199" s="16" t="str">
        <f>CADASTROS!$H$256</f>
        <v>00020063-6</v>
      </c>
      <c r="J199" s="18">
        <f t="shared" si="7"/>
        <v>0</v>
      </c>
      <c r="L199" s="24">
        <v>1867</v>
      </c>
      <c r="M199" s="15" t="s">
        <v>4896</v>
      </c>
      <c r="N199" s="25"/>
      <c r="O199" s="35">
        <v>32</v>
      </c>
      <c r="P199" s="17">
        <v>6</v>
      </c>
      <c r="Q199" s="26" t="s">
        <v>4852</v>
      </c>
      <c r="R199" s="24">
        <v>4825</v>
      </c>
      <c r="S199" s="26">
        <v>13</v>
      </c>
      <c r="T199" s="16" t="s">
        <v>2797</v>
      </c>
      <c r="U199" s="18">
        <f t="shared" si="8"/>
        <v>192</v>
      </c>
    </row>
    <row r="200" spans="1:21" ht="15.75" x14ac:dyDescent="0.25">
      <c r="A200" s="24">
        <f>CADASTROS!$B$257</f>
        <v>255</v>
      </c>
      <c r="B200" s="15" t="str">
        <f>CADASTROS!$C$257</f>
        <v>Janio Souza de Jesus</v>
      </c>
      <c r="C200" s="25"/>
      <c r="D200" s="25">
        <f>PLANILHA_COLHEITA_DIÁRIA!$I$415</f>
        <v>0</v>
      </c>
      <c r="E200" s="17">
        <v>6</v>
      </c>
      <c r="F200" s="26" t="str">
        <f>CADASTROS!$E$257</f>
        <v>Bradesco</v>
      </c>
      <c r="G200" s="24">
        <f>CADASTROS!$F$257</f>
        <v>3801</v>
      </c>
      <c r="H200" s="26" t="str">
        <f>CADASTROS!$G$257</f>
        <v>poup</v>
      </c>
      <c r="I200" s="16" t="str">
        <f>CADASTROS!$H$257</f>
        <v>0523840-4</v>
      </c>
      <c r="J200" s="18">
        <f t="shared" si="7"/>
        <v>0</v>
      </c>
      <c r="L200" s="24">
        <v>1870</v>
      </c>
      <c r="M200" s="15" t="s">
        <v>3804</v>
      </c>
      <c r="N200" s="25"/>
      <c r="O200" s="35">
        <v>58.5</v>
      </c>
      <c r="P200" s="17">
        <v>6</v>
      </c>
      <c r="Q200" s="26" t="s">
        <v>4852</v>
      </c>
      <c r="R200" s="24">
        <v>4825</v>
      </c>
      <c r="S200" s="26">
        <v>13</v>
      </c>
      <c r="T200" s="16" t="s">
        <v>3805</v>
      </c>
      <c r="U200" s="18">
        <f t="shared" si="8"/>
        <v>351</v>
      </c>
    </row>
    <row r="201" spans="1:21" ht="15.75" x14ac:dyDescent="0.25">
      <c r="A201" s="24">
        <f>CADASTROS!$B$258</f>
        <v>256</v>
      </c>
      <c r="B201" s="15" t="str">
        <f>CADASTROS!$C$258</f>
        <v>Taciana Longim do Nascimento</v>
      </c>
      <c r="C201" s="25"/>
      <c r="D201" s="25">
        <f>PLANILHA_COLHEITA_DIÁRIA!$I$416</f>
        <v>0</v>
      </c>
      <c r="E201" s="17">
        <v>6</v>
      </c>
      <c r="F201" s="26" t="str">
        <f>CADASTROS!$E$258</f>
        <v>Cx. Econômica</v>
      </c>
      <c r="G201" s="24">
        <f>CADASTROS!$F$258</f>
        <v>780</v>
      </c>
      <c r="H201" s="26">
        <f>CADASTROS!$G$258</f>
        <v>1288</v>
      </c>
      <c r="I201" s="16" t="str">
        <f>CADASTROS!$H$258</f>
        <v>866690712-4</v>
      </c>
      <c r="J201" s="18">
        <f t="shared" si="7"/>
        <v>0</v>
      </c>
      <c r="L201" s="24">
        <v>1871</v>
      </c>
      <c r="M201" s="15" t="s">
        <v>4897</v>
      </c>
      <c r="N201" s="25"/>
      <c r="O201" s="35">
        <v>82.5</v>
      </c>
      <c r="P201" s="17">
        <v>6</v>
      </c>
      <c r="Q201" s="26" t="s">
        <v>4852</v>
      </c>
      <c r="R201" s="24">
        <v>4818</v>
      </c>
      <c r="S201" s="26">
        <v>13</v>
      </c>
      <c r="T201" s="16" t="s">
        <v>3807</v>
      </c>
      <c r="U201" s="18">
        <f t="shared" si="8"/>
        <v>495</v>
      </c>
    </row>
    <row r="202" spans="1:21" ht="15.75" x14ac:dyDescent="0.25">
      <c r="A202" s="24">
        <f>CADASTROS!$B$259</f>
        <v>257</v>
      </c>
      <c r="B202" s="15" t="str">
        <f>CADASTROS!$C$259</f>
        <v>Edivan Morais de Oliveira</v>
      </c>
      <c r="C202" s="25"/>
      <c r="D202" s="35">
        <f>PLANILHA_COLHEITA_DIÁRIA!$I$417</f>
        <v>24.5</v>
      </c>
      <c r="E202" s="17">
        <v>6</v>
      </c>
      <c r="F202" s="26" t="str">
        <f>CADASTROS!$E$259</f>
        <v>Bradesco</v>
      </c>
      <c r="G202" s="24">
        <f>CADASTROS!$F$259</f>
        <v>3860</v>
      </c>
      <c r="H202" s="26" t="str">
        <f>CADASTROS!$G$259</f>
        <v>poup</v>
      </c>
      <c r="I202" s="16" t="str">
        <f>CADASTROS!$H$259</f>
        <v>0600677-9</v>
      </c>
      <c r="J202" s="18">
        <f t="shared" si="7"/>
        <v>147</v>
      </c>
      <c r="L202" s="24">
        <v>1873</v>
      </c>
      <c r="M202" s="15" t="s">
        <v>3810</v>
      </c>
      <c r="N202" s="25"/>
      <c r="O202" s="35">
        <v>58.5</v>
      </c>
      <c r="P202" s="17">
        <v>6</v>
      </c>
      <c r="Q202" s="26" t="s">
        <v>4852</v>
      </c>
      <c r="R202" s="24">
        <v>780</v>
      </c>
      <c r="S202" s="26">
        <v>13</v>
      </c>
      <c r="T202" s="16" t="s">
        <v>3811</v>
      </c>
      <c r="U202" s="18">
        <f t="shared" si="8"/>
        <v>351</v>
      </c>
    </row>
    <row r="203" spans="1:21" ht="15.75" x14ac:dyDescent="0.25">
      <c r="A203" s="24">
        <f>CADASTROS!$B$260</f>
        <v>258</v>
      </c>
      <c r="B203" s="15" t="str">
        <f>CADASTROS!$C$260</f>
        <v>Carlos Araújo</v>
      </c>
      <c r="C203" s="25"/>
      <c r="D203" s="35">
        <f>PLANILHA_COLHEITA_DIÁRIA!$I$418</f>
        <v>0</v>
      </c>
      <c r="E203" s="17">
        <v>6</v>
      </c>
      <c r="F203" s="26" t="str">
        <f>CADASTROS!$E$260</f>
        <v>Cx. Econômica</v>
      </c>
      <c r="G203" s="24">
        <f>CADASTROS!$F$260</f>
        <v>4825</v>
      </c>
      <c r="H203" s="26">
        <f>CADASTROS!$G$260</f>
        <v>1288</v>
      </c>
      <c r="I203" s="16" t="str">
        <f>CADASTROS!$H$260</f>
        <v>786734723-3</v>
      </c>
      <c r="J203" s="18">
        <f t="shared" si="7"/>
        <v>0</v>
      </c>
      <c r="L203" s="24">
        <v>1874</v>
      </c>
      <c r="M203" s="15" t="s">
        <v>3812</v>
      </c>
      <c r="N203" s="25"/>
      <c r="O203" s="35">
        <v>27</v>
      </c>
      <c r="P203" s="17">
        <v>6</v>
      </c>
      <c r="Q203" s="26" t="s">
        <v>4852</v>
      </c>
      <c r="R203" s="24">
        <v>4825</v>
      </c>
      <c r="S203" s="26">
        <v>13</v>
      </c>
      <c r="T203" s="16" t="s">
        <v>3813</v>
      </c>
      <c r="U203" s="18">
        <f t="shared" si="8"/>
        <v>162</v>
      </c>
    </row>
    <row r="204" spans="1:21" ht="15.75" x14ac:dyDescent="0.25">
      <c r="A204" s="24">
        <f>CADASTROS!$B$261</f>
        <v>259</v>
      </c>
      <c r="B204" s="15" t="str">
        <f>CADASTROS!$C$261</f>
        <v>Mª Nalva Jesus de Souza</v>
      </c>
      <c r="C204" s="25"/>
      <c r="D204" s="35">
        <f>PLANILHA_COLHEITA_DIÁRIA!$I$419</f>
        <v>0</v>
      </c>
      <c r="E204" s="17">
        <v>6</v>
      </c>
      <c r="F204" s="26" t="str">
        <f>CADASTROS!$E$261</f>
        <v>Cx. Econômica</v>
      </c>
      <c r="G204" s="24">
        <f>CADASTROS!$F$261</f>
        <v>4601</v>
      </c>
      <c r="H204" s="26">
        <f>CADASTROS!$G$261</f>
        <v>13</v>
      </c>
      <c r="I204" s="16" t="str">
        <f>CADASTROS!$H$261</f>
        <v>00008261-9</v>
      </c>
      <c r="J204" s="18">
        <f t="shared" si="7"/>
        <v>0</v>
      </c>
      <c r="L204" s="24">
        <v>1875</v>
      </c>
      <c r="M204" s="15" t="s">
        <v>3814</v>
      </c>
      <c r="N204" s="25"/>
      <c r="O204" s="35">
        <v>40.5</v>
      </c>
      <c r="P204" s="17">
        <v>6</v>
      </c>
      <c r="Q204" s="26" t="s">
        <v>4852</v>
      </c>
      <c r="R204" s="24">
        <v>4825</v>
      </c>
      <c r="S204" s="26">
        <v>13</v>
      </c>
      <c r="T204" s="16" t="s">
        <v>3816</v>
      </c>
      <c r="U204" s="18">
        <f t="shared" si="8"/>
        <v>243</v>
      </c>
    </row>
    <row r="205" spans="1:21" ht="15.75" x14ac:dyDescent="0.25">
      <c r="A205" s="24">
        <f>CADASTROS!$B$262</f>
        <v>260</v>
      </c>
      <c r="B205" s="15" t="str">
        <f>CADASTROS!$C$262</f>
        <v>Wesley Gonçalves Rios</v>
      </c>
      <c r="C205" s="25"/>
      <c r="D205" s="35">
        <f>PLANILHA_COLHEITA_DIÁRIA!$I$420</f>
        <v>0</v>
      </c>
      <c r="E205" s="17">
        <v>6</v>
      </c>
      <c r="F205" s="26" t="str">
        <f>CADASTROS!$E$262</f>
        <v>Bradesco</v>
      </c>
      <c r="G205" s="24">
        <f>CADASTROS!$F$262</f>
        <v>3871</v>
      </c>
      <c r="H205" s="26" t="str">
        <f>CADASTROS!$G$262</f>
        <v>poup</v>
      </c>
      <c r="I205" s="16" t="str">
        <f>CADASTROS!$H$262</f>
        <v>0240237-8</v>
      </c>
      <c r="J205" s="18">
        <f t="shared" si="7"/>
        <v>0</v>
      </c>
      <c r="L205" s="24">
        <v>1877</v>
      </c>
      <c r="M205" s="15" t="s">
        <v>3819</v>
      </c>
      <c r="N205" s="25"/>
      <c r="O205" s="35">
        <v>8</v>
      </c>
      <c r="P205" s="17">
        <v>6</v>
      </c>
      <c r="Q205" s="26" t="s">
        <v>4852</v>
      </c>
      <c r="R205" s="24">
        <v>949</v>
      </c>
      <c r="S205" s="26">
        <v>13</v>
      </c>
      <c r="T205" s="16" t="s">
        <v>3820</v>
      </c>
      <c r="U205" s="18">
        <f t="shared" si="8"/>
        <v>48</v>
      </c>
    </row>
    <row r="206" spans="1:21" ht="15.75" x14ac:dyDescent="0.25">
      <c r="A206" s="24">
        <f>CADASTROS!$B$263</f>
        <v>261</v>
      </c>
      <c r="B206" s="15" t="str">
        <f>CADASTROS!$C$263</f>
        <v>Gleide Celma Jesus Santos</v>
      </c>
      <c r="C206" s="25"/>
      <c r="D206" s="35">
        <f>PLANILHA_COLHEITA_DIÁRIA!$I$437</f>
        <v>0</v>
      </c>
      <c r="E206" s="17">
        <v>6</v>
      </c>
      <c r="F206" s="26" t="str">
        <f>CADASTROS!$E$263</f>
        <v>Banco do Brasil</v>
      </c>
      <c r="G206" s="24" t="str">
        <f>CADASTROS!$F$263</f>
        <v>2760-X</v>
      </c>
      <c r="H206" s="26" t="str">
        <f>CADASTROS!$G$263</f>
        <v>c/Poup</v>
      </c>
      <c r="I206" s="16" t="str">
        <f>CADASTROS!$H$263</f>
        <v>16.296-5</v>
      </c>
      <c r="J206" s="18">
        <f t="shared" si="7"/>
        <v>0</v>
      </c>
      <c r="L206" s="24">
        <v>1879</v>
      </c>
      <c r="M206" s="15" t="s">
        <v>3823</v>
      </c>
      <c r="N206" s="25"/>
      <c r="O206" s="35">
        <v>36.5</v>
      </c>
      <c r="P206" s="17">
        <v>6</v>
      </c>
      <c r="Q206" s="26" t="s">
        <v>4852</v>
      </c>
      <c r="R206" s="24">
        <v>4818</v>
      </c>
      <c r="S206" s="26">
        <v>13</v>
      </c>
      <c r="T206" s="16" t="s">
        <v>831</v>
      </c>
      <c r="U206" s="18">
        <f t="shared" si="8"/>
        <v>219</v>
      </c>
    </row>
    <row r="207" spans="1:21" ht="15.75" x14ac:dyDescent="0.25">
      <c r="A207" s="24">
        <f>CADASTROS!$B$264</f>
        <v>262</v>
      </c>
      <c r="B207" s="15" t="str">
        <f>CADASTROS!$C$264</f>
        <v>Maicom Souza de Oliveira</v>
      </c>
      <c r="C207" s="25"/>
      <c r="D207" s="35">
        <f>PLANILHA_COLHEITA_DIÁRIA!$I$438</f>
        <v>0</v>
      </c>
      <c r="E207" s="17">
        <v>6</v>
      </c>
      <c r="F207" s="26" t="str">
        <f>CADASTROS!$E$264</f>
        <v>Bradesco</v>
      </c>
      <c r="G207" s="24">
        <f>CADASTROS!$F$264</f>
        <v>3905</v>
      </c>
      <c r="H207" s="26" t="str">
        <f>CADASTROS!$G$264</f>
        <v>poup</v>
      </c>
      <c r="I207" s="16" t="str">
        <f>CADASTROS!$H$264</f>
        <v>0213706-2</v>
      </c>
      <c r="J207" s="18">
        <f t="shared" si="7"/>
        <v>0</v>
      </c>
      <c r="L207" s="24">
        <v>1881</v>
      </c>
      <c r="M207" s="15" t="s">
        <v>4898</v>
      </c>
      <c r="N207" s="25"/>
      <c r="O207" s="35">
        <v>30.5</v>
      </c>
      <c r="P207" s="17">
        <v>6</v>
      </c>
      <c r="Q207" s="26" t="s">
        <v>4852</v>
      </c>
      <c r="R207" s="24">
        <v>4825</v>
      </c>
      <c r="S207" s="26">
        <v>13</v>
      </c>
      <c r="T207" s="16" t="s">
        <v>3827</v>
      </c>
      <c r="U207" s="18">
        <f t="shared" si="8"/>
        <v>183</v>
      </c>
    </row>
    <row r="208" spans="1:21" ht="15.75" x14ac:dyDescent="0.25">
      <c r="A208" s="24">
        <f>CADASTROS!$B$265</f>
        <v>263</v>
      </c>
      <c r="B208" s="15" t="str">
        <f>CADASTROS!$C$265</f>
        <v>Sandro Morais de Oliveira</v>
      </c>
      <c r="C208" s="25"/>
      <c r="D208" s="35">
        <f>PLANILHA_COLHEITA_DIÁRIA!$I$439</f>
        <v>0</v>
      </c>
      <c r="E208" s="17">
        <v>6</v>
      </c>
      <c r="F208" s="26" t="str">
        <f>CADASTROS!$E$265</f>
        <v>Bradesco</v>
      </c>
      <c r="G208" s="24">
        <f>CADASTROS!$F$265</f>
        <v>3943</v>
      </c>
      <c r="H208" s="26" t="str">
        <f>CADASTROS!$G$265</f>
        <v>poup</v>
      </c>
      <c r="I208" s="16" t="str">
        <f>CADASTROS!$H$265</f>
        <v>0032442-6</v>
      </c>
      <c r="J208" s="18">
        <f t="shared" si="7"/>
        <v>0</v>
      </c>
      <c r="L208" s="24">
        <v>1882</v>
      </c>
      <c r="M208" s="15" t="s">
        <v>3828</v>
      </c>
      <c r="N208" s="25"/>
      <c r="O208" s="35">
        <v>25.5</v>
      </c>
      <c r="P208" s="17">
        <v>6</v>
      </c>
      <c r="Q208" s="26" t="s">
        <v>4852</v>
      </c>
      <c r="R208" s="24">
        <v>2374</v>
      </c>
      <c r="S208" s="26">
        <v>1288</v>
      </c>
      <c r="T208" s="16" t="s">
        <v>3829</v>
      </c>
      <c r="U208" s="18">
        <f t="shared" si="8"/>
        <v>153</v>
      </c>
    </row>
    <row r="209" spans="1:21" ht="15.75" x14ac:dyDescent="0.25">
      <c r="A209" s="24">
        <f>CADASTROS!$B$266</f>
        <v>264</v>
      </c>
      <c r="B209" s="15" t="str">
        <f>CADASTROS!$C$266</f>
        <v>Amauri Dutra do Nascimento</v>
      </c>
      <c r="C209" s="25"/>
      <c r="D209" s="35">
        <f>PLANILHA_COLHEITA_DIÁRIA!$I$440</f>
        <v>48.5</v>
      </c>
      <c r="E209" s="17">
        <v>6</v>
      </c>
      <c r="F209" s="26" t="str">
        <f>CADASTROS!$E$266</f>
        <v>Bradesco</v>
      </c>
      <c r="G209" s="24">
        <f>CADASTROS!$F$266</f>
        <v>3801</v>
      </c>
      <c r="H209" s="26" t="str">
        <f>CADASTROS!$G$266</f>
        <v>poup</v>
      </c>
      <c r="I209" s="16" t="str">
        <f>CADASTROS!$H$266</f>
        <v>0523672-0</v>
      </c>
      <c r="J209" s="18">
        <f t="shared" si="7"/>
        <v>291</v>
      </c>
      <c r="L209" s="24">
        <v>1883</v>
      </c>
      <c r="M209" s="15" t="s">
        <v>3830</v>
      </c>
      <c r="N209" s="25"/>
      <c r="O209" s="35">
        <v>42.5</v>
      </c>
      <c r="P209" s="17">
        <v>6</v>
      </c>
      <c r="Q209" s="26" t="s">
        <v>4852</v>
      </c>
      <c r="R209" s="24">
        <v>4818</v>
      </c>
      <c r="S209" s="26">
        <v>13</v>
      </c>
      <c r="T209" s="16" t="s">
        <v>3831</v>
      </c>
      <c r="U209" s="18">
        <f t="shared" si="8"/>
        <v>255</v>
      </c>
    </row>
    <row r="210" spans="1:21" ht="15.75" x14ac:dyDescent="0.25">
      <c r="A210" s="24">
        <f>CADASTROS!$B$267</f>
        <v>265</v>
      </c>
      <c r="B210" s="15" t="str">
        <f>CADASTROS!$C$267</f>
        <v>Edemir Jesus de Oliveira</v>
      </c>
      <c r="C210" s="25"/>
      <c r="D210" s="25">
        <f>PLANILHA_COLHEITA_DIÁRIA!$I$441</f>
        <v>0</v>
      </c>
      <c r="E210" s="17">
        <v>6</v>
      </c>
      <c r="F210" s="26" t="str">
        <f>CADASTROS!$E$267</f>
        <v>Bradesco</v>
      </c>
      <c r="G210" s="24">
        <f>CADASTROS!$F$267</f>
        <v>3655</v>
      </c>
      <c r="H210" s="26" t="str">
        <f>CADASTROS!$G$267</f>
        <v>poup</v>
      </c>
      <c r="I210" s="16" t="str">
        <f>CADASTROS!$H$267</f>
        <v>1001749-1</v>
      </c>
      <c r="J210" s="18">
        <f t="shared" si="7"/>
        <v>0</v>
      </c>
      <c r="L210" s="24">
        <v>1885</v>
      </c>
      <c r="M210" s="15" t="s">
        <v>3832</v>
      </c>
      <c r="N210" s="25"/>
      <c r="O210" s="35">
        <v>22</v>
      </c>
      <c r="P210" s="17">
        <v>6</v>
      </c>
      <c r="Q210" s="26" t="s">
        <v>4852</v>
      </c>
      <c r="R210" s="24">
        <v>780</v>
      </c>
      <c r="S210" s="26">
        <v>13</v>
      </c>
      <c r="T210" s="16" t="s">
        <v>3833</v>
      </c>
      <c r="U210" s="18">
        <f t="shared" si="8"/>
        <v>132</v>
      </c>
    </row>
    <row r="211" spans="1:21" ht="15.75" x14ac:dyDescent="0.25">
      <c r="A211" s="24">
        <f>CADASTROS!$B$268</f>
        <v>266</v>
      </c>
      <c r="B211" s="15" t="str">
        <f>CADASTROS!$C$268</f>
        <v>Divina dos Anjos Souza</v>
      </c>
      <c r="C211" s="25"/>
      <c r="D211" s="52">
        <f>PLANILHA_COLHEITA_DIÁRIA!$I$442</f>
        <v>0</v>
      </c>
      <c r="E211" s="17">
        <v>6</v>
      </c>
      <c r="F211" s="26" t="str">
        <f>CADASTROS!$E$268</f>
        <v>Cx. Econômica</v>
      </c>
      <c r="G211" s="24">
        <f>CADASTROS!$F$268</f>
        <v>4825</v>
      </c>
      <c r="H211" s="26">
        <f>CADASTROS!$G$268</f>
        <v>1288</v>
      </c>
      <c r="I211" s="16" t="str">
        <f>CADASTROS!$H$268</f>
        <v>792839719-7</v>
      </c>
      <c r="J211" s="18">
        <f t="shared" si="7"/>
        <v>0</v>
      </c>
      <c r="L211" s="24">
        <v>1886</v>
      </c>
      <c r="M211" s="15" t="s">
        <v>3834</v>
      </c>
      <c r="N211" s="25"/>
      <c r="O211" s="35">
        <v>47</v>
      </c>
      <c r="P211" s="17">
        <v>6</v>
      </c>
      <c r="Q211" s="26" t="s">
        <v>4852</v>
      </c>
      <c r="R211" s="24">
        <v>4535</v>
      </c>
      <c r="S211" s="26">
        <v>13</v>
      </c>
      <c r="T211" s="16" t="s">
        <v>3836</v>
      </c>
      <c r="U211" s="18">
        <f t="shared" si="8"/>
        <v>282</v>
      </c>
    </row>
    <row r="212" spans="1:21" ht="15.75" x14ac:dyDescent="0.25">
      <c r="A212" s="24">
        <f>CADASTROS!$B$269</f>
        <v>267</v>
      </c>
      <c r="B212" s="15" t="str">
        <f>CADASTROS!$C$269</f>
        <v>Jane Maria de Jesus</v>
      </c>
      <c r="C212" s="25"/>
      <c r="D212" s="25">
        <f>PLANILHA_COLHEITA_DIÁRIA!$I$443</f>
        <v>0</v>
      </c>
      <c r="E212" s="17">
        <v>6</v>
      </c>
      <c r="F212" s="26" t="str">
        <f>CADASTROS!$E$269</f>
        <v>Cx. Econômica</v>
      </c>
      <c r="G212" s="24">
        <f>CADASTROS!$F$269</f>
        <v>4825</v>
      </c>
      <c r="H212" s="26">
        <f>CADASTROS!$G$269</f>
        <v>1288</v>
      </c>
      <c r="I212" s="16" t="str">
        <f>CADASTROS!$H$269</f>
        <v>960185798-8</v>
      </c>
      <c r="J212" s="18">
        <f t="shared" si="7"/>
        <v>0</v>
      </c>
      <c r="L212" s="24">
        <v>1888</v>
      </c>
      <c r="M212" s="15" t="s">
        <v>3839</v>
      </c>
      <c r="N212" s="25"/>
      <c r="O212" s="35">
        <v>20</v>
      </c>
      <c r="P212" s="17">
        <v>6</v>
      </c>
      <c r="Q212" s="26" t="s">
        <v>4852</v>
      </c>
      <c r="R212" s="24">
        <v>4825</v>
      </c>
      <c r="S212" s="26">
        <v>1288</v>
      </c>
      <c r="T212" s="16" t="s">
        <v>3840</v>
      </c>
      <c r="U212" s="18">
        <f t="shared" si="8"/>
        <v>120</v>
      </c>
    </row>
    <row r="213" spans="1:21" ht="15.75" x14ac:dyDescent="0.25">
      <c r="A213" s="24">
        <f>CADASTROS!$B$270</f>
        <v>268</v>
      </c>
      <c r="B213" s="15" t="str">
        <f>CADASTROS!$C$270</f>
        <v>João de  Jesus S Junior</v>
      </c>
      <c r="C213" s="25"/>
      <c r="D213" s="25">
        <f>PLANILHA_COLHEITA_DIÁRIA!$I$444</f>
        <v>0</v>
      </c>
      <c r="E213" s="17">
        <v>6</v>
      </c>
      <c r="F213" s="26" t="str">
        <f>CADASTROS!$E$270</f>
        <v>Cx. Econômica</v>
      </c>
      <c r="G213" s="24">
        <f>CADASTROS!$F$270</f>
        <v>791</v>
      </c>
      <c r="H213" s="26">
        <f>CADASTROS!$G$270</f>
        <v>23</v>
      </c>
      <c r="I213" s="16" t="str">
        <f>CADASTROS!$H$270</f>
        <v>00029934-1</v>
      </c>
      <c r="J213" s="18">
        <f t="shared" si="7"/>
        <v>0</v>
      </c>
      <c r="L213" s="24">
        <v>1889</v>
      </c>
      <c r="M213" s="15" t="s">
        <v>4899</v>
      </c>
      <c r="N213" s="25"/>
      <c r="O213" s="35">
        <v>18</v>
      </c>
      <c r="P213" s="17">
        <v>6</v>
      </c>
      <c r="Q213" s="26" t="s">
        <v>4852</v>
      </c>
      <c r="R213" s="24">
        <v>4825</v>
      </c>
      <c r="S213" s="26">
        <v>1288</v>
      </c>
      <c r="T213" s="16" t="s">
        <v>3842</v>
      </c>
      <c r="U213" s="18">
        <f t="shared" si="8"/>
        <v>108</v>
      </c>
    </row>
    <row r="214" spans="1:21" ht="15.75" x14ac:dyDescent="0.25">
      <c r="A214" s="24">
        <f>CADASTROS!$B$271</f>
        <v>269</v>
      </c>
      <c r="B214" s="15" t="str">
        <f>CADASTROS!$C$271</f>
        <v>Tânia Martinha Santos Machado Sousa</v>
      </c>
      <c r="C214" s="25"/>
      <c r="D214" s="25">
        <f>PLANILHA_COLHEITA_DIÁRIA!$I$445</f>
        <v>0</v>
      </c>
      <c r="E214" s="17">
        <v>6</v>
      </c>
      <c r="F214" s="26" t="str">
        <f>CADASTROS!$E$271</f>
        <v>Cx. Econômica</v>
      </c>
      <c r="G214" s="24">
        <f>CADASTROS!$F$271</f>
        <v>3880</v>
      </c>
      <c r="H214" s="26">
        <f>CADASTROS!$G$271</f>
        <v>1288</v>
      </c>
      <c r="I214" s="16" t="str">
        <f>CADASTROS!$H$271</f>
        <v>980818031-6</v>
      </c>
      <c r="J214" s="18">
        <f t="shared" si="7"/>
        <v>0</v>
      </c>
      <c r="L214" s="24">
        <v>1890</v>
      </c>
      <c r="M214" s="15" t="s">
        <v>3843</v>
      </c>
      <c r="N214" s="25"/>
      <c r="O214" s="35">
        <v>35.5</v>
      </c>
      <c r="P214" s="17">
        <v>6</v>
      </c>
      <c r="Q214" s="26" t="s">
        <v>4852</v>
      </c>
      <c r="R214" s="24">
        <v>4825</v>
      </c>
      <c r="S214" s="26">
        <v>13</v>
      </c>
      <c r="T214" s="16" t="s">
        <v>3844</v>
      </c>
      <c r="U214" s="18">
        <f t="shared" si="8"/>
        <v>213</v>
      </c>
    </row>
    <row r="215" spans="1:21" ht="23.25" x14ac:dyDescent="0.35">
      <c r="B215" s="220"/>
      <c r="C215" s="220"/>
      <c r="D215" s="12">
        <f>SUM(D170:D214)</f>
        <v>177</v>
      </c>
      <c r="E215" s="12"/>
      <c r="F215" s="225"/>
      <c r="G215" s="226"/>
      <c r="H215" s="226"/>
      <c r="I215" s="227"/>
      <c r="J215" s="14">
        <f>SUM(J170:J214)</f>
        <v>1062</v>
      </c>
      <c r="L215" s="44"/>
      <c r="M215" s="199"/>
      <c r="N215" s="199"/>
      <c r="O215" s="45">
        <f>SUM(O170:O214)</f>
        <v>2078</v>
      </c>
      <c r="P215" s="45"/>
      <c r="Q215" s="234"/>
      <c r="R215" s="235"/>
      <c r="S215" s="235"/>
      <c r="T215" s="236"/>
      <c r="U215" s="46">
        <f>SUM(U170:U214)</f>
        <v>12468</v>
      </c>
    </row>
    <row r="218" spans="1:21" ht="16.5" thickBot="1" x14ac:dyDescent="0.3">
      <c r="A218" s="213" t="s">
        <v>4816</v>
      </c>
      <c r="B218" s="213"/>
      <c r="C218" s="213"/>
      <c r="D218" s="213"/>
      <c r="E218" s="213"/>
      <c r="F218" s="213"/>
      <c r="G218" s="213"/>
      <c r="H218" s="213"/>
      <c r="I218" s="213"/>
      <c r="J218" s="213"/>
      <c r="L218" s="203" t="s">
        <v>4843</v>
      </c>
      <c r="M218" s="203"/>
      <c r="N218" s="203"/>
      <c r="O218" s="203"/>
      <c r="P218" s="203"/>
      <c r="Q218" s="203"/>
      <c r="R218" s="203"/>
      <c r="S218" s="203"/>
      <c r="T218" s="203"/>
      <c r="U218" s="203"/>
    </row>
    <row r="219" spans="1:21" ht="17.25" thickTop="1" thickBot="1" x14ac:dyDescent="0.3">
      <c r="A219" s="214" t="s">
        <v>4843</v>
      </c>
      <c r="B219" s="214"/>
      <c r="C219" s="214"/>
      <c r="D219" s="214"/>
      <c r="E219" s="214"/>
      <c r="F219" s="214"/>
      <c r="G219" s="214"/>
      <c r="H219" s="214"/>
      <c r="I219" s="214"/>
      <c r="J219" s="214"/>
      <c r="L219" s="204" t="s">
        <v>4845</v>
      </c>
      <c r="M219" s="204"/>
      <c r="N219" s="204"/>
      <c r="O219" s="204"/>
      <c r="P219" s="204"/>
      <c r="Q219" s="204"/>
      <c r="R219" s="204"/>
      <c r="S219" s="204"/>
      <c r="T219" s="204"/>
      <c r="U219" s="204"/>
    </row>
    <row r="220" spans="1:21" ht="17.25" customHeight="1" thickTop="1" thickBot="1" x14ac:dyDescent="0.35">
      <c r="A220" s="215" t="s">
        <v>4844</v>
      </c>
      <c r="B220" s="215"/>
      <c r="C220" s="215"/>
      <c r="D220" s="215"/>
      <c r="E220" s="215"/>
      <c r="F220" s="215"/>
      <c r="G220" s="215"/>
      <c r="H220" s="215"/>
      <c r="I220" s="215"/>
      <c r="J220" s="215"/>
      <c r="L220" s="47" t="s">
        <v>4846</v>
      </c>
      <c r="M220" s="205" t="s">
        <v>1</v>
      </c>
      <c r="N220" s="207" t="s">
        <v>2</v>
      </c>
      <c r="O220" s="209" t="s">
        <v>4847</v>
      </c>
      <c r="P220" s="50" t="s">
        <v>4848</v>
      </c>
      <c r="Q220" s="205" t="s">
        <v>3</v>
      </c>
      <c r="R220" s="205" t="s">
        <v>4</v>
      </c>
      <c r="S220" s="205" t="s">
        <v>5</v>
      </c>
      <c r="T220" s="205" t="s">
        <v>6</v>
      </c>
      <c r="U220" s="211" t="s">
        <v>4849</v>
      </c>
    </row>
    <row r="221" spans="1:21" ht="20.100000000000001" customHeight="1" thickBot="1" x14ac:dyDescent="0.35">
      <c r="A221" s="19" t="s">
        <v>4846</v>
      </c>
      <c r="B221" s="216" t="s">
        <v>1</v>
      </c>
      <c r="C221" s="221" t="s">
        <v>2</v>
      </c>
      <c r="D221" s="223" t="s">
        <v>4847</v>
      </c>
      <c r="E221" s="20" t="s">
        <v>4848</v>
      </c>
      <c r="F221" s="216" t="s">
        <v>3</v>
      </c>
      <c r="G221" s="216" t="s">
        <v>4</v>
      </c>
      <c r="H221" s="216" t="s">
        <v>5</v>
      </c>
      <c r="I221" s="216" t="s">
        <v>6</v>
      </c>
      <c r="J221" s="218" t="s">
        <v>4849</v>
      </c>
      <c r="L221" s="48" t="s">
        <v>4850</v>
      </c>
      <c r="M221" s="206"/>
      <c r="N221" s="208"/>
      <c r="O221" s="210"/>
      <c r="P221" s="166" t="s">
        <v>4851</v>
      </c>
      <c r="Q221" s="206"/>
      <c r="R221" s="206"/>
      <c r="S221" s="206"/>
      <c r="T221" s="206"/>
      <c r="U221" s="212"/>
    </row>
    <row r="222" spans="1:21" ht="20.100000000000001" customHeight="1" thickBot="1" x14ac:dyDescent="0.3">
      <c r="A222" s="21" t="s">
        <v>4850</v>
      </c>
      <c r="B222" s="217"/>
      <c r="C222" s="222"/>
      <c r="D222" s="224"/>
      <c r="E222" s="161" t="s">
        <v>4851</v>
      </c>
      <c r="F222" s="217"/>
      <c r="G222" s="217"/>
      <c r="H222" s="217"/>
      <c r="I222" s="217"/>
      <c r="J222" s="219"/>
      <c r="L222" s="24">
        <v>1891</v>
      </c>
      <c r="M222" s="15" t="s">
        <v>2691</v>
      </c>
      <c r="N222" s="25"/>
      <c r="O222" s="35">
        <v>29</v>
      </c>
      <c r="P222" s="17">
        <v>6</v>
      </c>
      <c r="Q222" s="26" t="s">
        <v>4852</v>
      </c>
      <c r="R222" s="24">
        <v>4825</v>
      </c>
      <c r="S222" s="26">
        <v>13</v>
      </c>
      <c r="T222" s="16" t="s">
        <v>2692</v>
      </c>
      <c r="U222" s="18">
        <f t="shared" ref="U222:U266" si="9">O222*P222</f>
        <v>174</v>
      </c>
    </row>
    <row r="223" spans="1:21" ht="20.100000000000001" customHeight="1" x14ac:dyDescent="0.25">
      <c r="A223" s="24">
        <f>CADASTROS!$B$92</f>
        <v>90</v>
      </c>
      <c r="B223" s="15" t="str">
        <f>CADASTROS!$C$92</f>
        <v>Marivani Cruz Damasceno</v>
      </c>
      <c r="C223" s="25"/>
      <c r="D223" s="25">
        <f>PLANILHA_COLHEITA_DIÁRIA!$I$147</f>
        <v>0</v>
      </c>
      <c r="E223" s="17">
        <v>6</v>
      </c>
      <c r="F223" s="26" t="str">
        <f>CADASTROS!$E$92</f>
        <v>Cx. Econômica</v>
      </c>
      <c r="G223" s="24">
        <f>CADASTROS!$F$92</f>
        <v>780</v>
      </c>
      <c r="H223" s="26">
        <f>CADASTROS!$G$92</f>
        <v>23</v>
      </c>
      <c r="I223" s="16" t="str">
        <f>CADASTROS!$H$92</f>
        <v>00012098-8</v>
      </c>
      <c r="J223" s="18">
        <f t="shared" ref="J223:J267" si="10">D223*E223</f>
        <v>0</v>
      </c>
      <c r="L223" s="24">
        <v>1892</v>
      </c>
      <c r="M223" s="15" t="s">
        <v>3845</v>
      </c>
      <c r="N223" s="25"/>
      <c r="O223" s="35">
        <v>56</v>
      </c>
      <c r="P223" s="17">
        <v>6</v>
      </c>
      <c r="Q223" s="26" t="s">
        <v>4852</v>
      </c>
      <c r="R223" s="24">
        <v>4825</v>
      </c>
      <c r="S223" s="26">
        <v>13</v>
      </c>
      <c r="T223" s="16" t="s">
        <v>3846</v>
      </c>
      <c r="U223" s="18">
        <f t="shared" si="9"/>
        <v>336</v>
      </c>
    </row>
    <row r="224" spans="1:21" ht="20.100000000000001" customHeight="1" x14ac:dyDescent="0.25">
      <c r="A224" s="24">
        <f>CADASTROS!$B$93</f>
        <v>91</v>
      </c>
      <c r="B224" s="15" t="str">
        <f>CADASTROS!$C$93</f>
        <v>Cleonice Aguida de Souza</v>
      </c>
      <c r="C224" s="25"/>
      <c r="D224" s="25">
        <f>PLANILHA_COLHEITA_DIÁRIA!$I$148</f>
        <v>0</v>
      </c>
      <c r="E224" s="17">
        <v>6</v>
      </c>
      <c r="F224" s="26" t="str">
        <f>CADASTROS!$E$93</f>
        <v>Bradesco</v>
      </c>
      <c r="G224" s="24" t="str">
        <f>CADASTROS!$F$93</f>
        <v>3801-6</v>
      </c>
      <c r="H224" s="26">
        <f>CADASTROS!$G$93</f>
        <v>0</v>
      </c>
      <c r="I224" s="16" t="str">
        <f>CADASTROS!$H$93</f>
        <v>0006926-4</v>
      </c>
      <c r="J224" s="18">
        <f t="shared" si="10"/>
        <v>0</v>
      </c>
      <c r="L224" s="24">
        <v>1893</v>
      </c>
      <c r="M224" s="15" t="s">
        <v>3847</v>
      </c>
      <c r="N224" s="25"/>
      <c r="O224" s="35">
        <v>10</v>
      </c>
      <c r="P224" s="17">
        <v>6</v>
      </c>
      <c r="Q224" s="26" t="s">
        <v>4852</v>
      </c>
      <c r="R224" s="24">
        <v>2437</v>
      </c>
      <c r="S224" s="26">
        <v>23</v>
      </c>
      <c r="T224" s="16" t="s">
        <v>3848</v>
      </c>
      <c r="U224" s="18">
        <f t="shared" si="9"/>
        <v>60</v>
      </c>
    </row>
    <row r="225" spans="1:21" ht="20.100000000000001" customHeight="1" x14ac:dyDescent="0.25">
      <c r="A225" s="24">
        <f>CADASTROS!$B$94</f>
        <v>92</v>
      </c>
      <c r="B225" s="15" t="str">
        <f>CADASTROS!$C$94</f>
        <v>Maurilia E Nascimento</v>
      </c>
      <c r="C225" s="25"/>
      <c r="D225" s="52">
        <f>PLANILHA_COLHEITA_DIÁRIA!$I$149</f>
        <v>0</v>
      </c>
      <c r="E225" s="17">
        <v>6</v>
      </c>
      <c r="F225" s="26" t="str">
        <f>CADASTROS!$E$94</f>
        <v>Cx. Econômica</v>
      </c>
      <c r="G225" s="24">
        <f>CADASTROS!$F$94</f>
        <v>4825</v>
      </c>
      <c r="H225" s="26">
        <f>CADASTROS!$G$94</f>
        <v>1288</v>
      </c>
      <c r="I225" s="16" t="str">
        <f>CADASTROS!$H$94</f>
        <v>736722362-4</v>
      </c>
      <c r="J225" s="18">
        <f t="shared" si="10"/>
        <v>0</v>
      </c>
      <c r="L225" s="24">
        <v>1896</v>
      </c>
      <c r="M225" s="15" t="s">
        <v>3853</v>
      </c>
      <c r="N225" s="25"/>
      <c r="O225" s="35">
        <v>3.5</v>
      </c>
      <c r="P225" s="17">
        <v>6</v>
      </c>
      <c r="Q225" s="26" t="s">
        <v>4852</v>
      </c>
      <c r="R225" s="24">
        <v>950</v>
      </c>
      <c r="S225" s="26">
        <v>13</v>
      </c>
      <c r="T225" s="16" t="s">
        <v>3854</v>
      </c>
      <c r="U225" s="18">
        <f t="shared" si="9"/>
        <v>21</v>
      </c>
    </row>
    <row r="226" spans="1:21" ht="20.100000000000001" customHeight="1" x14ac:dyDescent="0.25">
      <c r="A226" s="24">
        <f>CADASTROS!$B$95</f>
        <v>93</v>
      </c>
      <c r="B226" s="15" t="str">
        <f>CADASTROS!$C$95</f>
        <v>Itamilton Araújo Rocha</v>
      </c>
      <c r="C226" s="25"/>
      <c r="D226" s="25">
        <f>PLANILHA_COLHEITA_DIÁRIA!$I$150</f>
        <v>0</v>
      </c>
      <c r="E226" s="17">
        <v>6</v>
      </c>
      <c r="F226" s="26" t="str">
        <f>CADASTROS!$E$95</f>
        <v>Bradesco</v>
      </c>
      <c r="G226" s="24">
        <f>CADASTROS!$F$95</f>
        <v>7802</v>
      </c>
      <c r="H226" s="26" t="str">
        <f>CADASTROS!$G$95</f>
        <v>poup</v>
      </c>
      <c r="I226" s="16" t="str">
        <f>CADASTROS!$H$95</f>
        <v>0218202-5</v>
      </c>
      <c r="J226" s="18">
        <f t="shared" si="10"/>
        <v>0</v>
      </c>
      <c r="L226" s="24">
        <v>1897</v>
      </c>
      <c r="M226" s="15" t="s">
        <v>3855</v>
      </c>
      <c r="N226" s="25"/>
      <c r="O226" s="35">
        <v>13</v>
      </c>
      <c r="P226" s="17">
        <v>6</v>
      </c>
      <c r="Q226" s="26" t="s">
        <v>4852</v>
      </c>
      <c r="R226" s="24">
        <v>3233</v>
      </c>
      <c r="S226" s="26">
        <v>13</v>
      </c>
      <c r="T226" s="16" t="s">
        <v>3856</v>
      </c>
      <c r="U226" s="18">
        <f t="shared" si="9"/>
        <v>78</v>
      </c>
    </row>
    <row r="227" spans="1:21" ht="20.100000000000001" customHeight="1" x14ac:dyDescent="0.25">
      <c r="A227" s="24">
        <f>CADASTROS!$B$96</f>
        <v>94</v>
      </c>
      <c r="B227" s="15" t="str">
        <f>CADASTROS!$C$96</f>
        <v>Kelvin Félix da Silva</v>
      </c>
      <c r="C227" s="25"/>
      <c r="D227" s="35">
        <f>PLANILHA_COLHEITA_DIÁRIA!$I$151</f>
        <v>0</v>
      </c>
      <c r="E227" s="17">
        <v>6</v>
      </c>
      <c r="F227" s="26" t="str">
        <f>CADASTROS!$E$96</f>
        <v>Bradesco</v>
      </c>
      <c r="G227" s="24">
        <f>CADASTROS!$F$96</f>
        <v>3862</v>
      </c>
      <c r="H227" s="26" t="str">
        <f>CADASTROS!$G$96</f>
        <v>poup</v>
      </c>
      <c r="I227" s="16" t="str">
        <f>CADASTROS!$H$96</f>
        <v>0501766-1</v>
      </c>
      <c r="J227" s="18">
        <f t="shared" si="10"/>
        <v>0</v>
      </c>
      <c r="L227" s="24">
        <v>1898</v>
      </c>
      <c r="M227" s="15" t="s">
        <v>1712</v>
      </c>
      <c r="N227" s="25"/>
      <c r="O227" s="35">
        <v>22</v>
      </c>
      <c r="P227" s="17">
        <v>6</v>
      </c>
      <c r="Q227" s="26" t="s">
        <v>4852</v>
      </c>
      <c r="R227" s="24">
        <v>4825</v>
      </c>
      <c r="S227" s="26">
        <v>1288</v>
      </c>
      <c r="T227" s="16" t="s">
        <v>3857</v>
      </c>
      <c r="U227" s="18">
        <f t="shared" si="9"/>
        <v>132</v>
      </c>
    </row>
    <row r="228" spans="1:21" ht="20.100000000000001" customHeight="1" x14ac:dyDescent="0.25">
      <c r="A228" s="24">
        <f>CADASTROS!$B$97</f>
        <v>95</v>
      </c>
      <c r="B228" s="15" t="str">
        <f>CADASTROS!$C$97</f>
        <v>João Batista Calisto de Olivera</v>
      </c>
      <c r="C228" s="25"/>
      <c r="D228" s="41">
        <f>PLANILHA_COLHEITA_DIÁRIA!$I$152</f>
        <v>0</v>
      </c>
      <c r="E228" s="17">
        <v>6</v>
      </c>
      <c r="F228" s="26" t="str">
        <f>CADASTROS!$E$97</f>
        <v>Cx. Econômica</v>
      </c>
      <c r="G228" s="24">
        <f>CADASTROS!$F$97</f>
        <v>4825</v>
      </c>
      <c r="H228" s="26">
        <f>CADASTROS!$G$97</f>
        <v>13</v>
      </c>
      <c r="I228" s="16" t="str">
        <f>CADASTROS!$H$97</f>
        <v>00007997-7</v>
      </c>
      <c r="J228" s="18">
        <f t="shared" si="10"/>
        <v>0</v>
      </c>
      <c r="L228" s="24">
        <v>1899</v>
      </c>
      <c r="M228" s="15" t="s">
        <v>3858</v>
      </c>
      <c r="N228" s="25"/>
      <c r="O228" s="35">
        <v>47.5</v>
      </c>
      <c r="P228" s="17">
        <v>6</v>
      </c>
      <c r="Q228" s="26" t="s">
        <v>4852</v>
      </c>
      <c r="R228" s="24">
        <v>4825</v>
      </c>
      <c r="S228" s="26">
        <v>13</v>
      </c>
      <c r="T228" s="16" t="s">
        <v>3859</v>
      </c>
      <c r="U228" s="18">
        <f t="shared" si="9"/>
        <v>285</v>
      </c>
    </row>
    <row r="229" spans="1:21" ht="20.100000000000001" customHeight="1" x14ac:dyDescent="0.25">
      <c r="A229" s="24">
        <f>CADASTROS!$B$98</f>
        <v>96</v>
      </c>
      <c r="B229" s="15" t="str">
        <f>CADASTROS!$C$98</f>
        <v>José Luis Pereira Santos</v>
      </c>
      <c r="C229" s="25"/>
      <c r="D229" s="25">
        <f>PLANILHA_COLHEITA_DIÁRIA!$I$153</f>
        <v>0</v>
      </c>
      <c r="E229" s="17">
        <v>6</v>
      </c>
      <c r="F229" s="26" t="str">
        <f>CADASTROS!$E$98</f>
        <v>Cx. Econômica</v>
      </c>
      <c r="G229" s="24">
        <f>CADASTROS!$F$98</f>
        <v>4535</v>
      </c>
      <c r="H229" s="26">
        <f>CADASTROS!$G$98</f>
        <v>13</v>
      </c>
      <c r="I229" s="16" t="str">
        <f>CADASTROS!$H$98</f>
        <v>00001734-7</v>
      </c>
      <c r="J229" s="18">
        <f t="shared" si="10"/>
        <v>0</v>
      </c>
      <c r="L229" s="24">
        <v>1900</v>
      </c>
      <c r="M229" s="15" t="s">
        <v>3860</v>
      </c>
      <c r="N229" s="25"/>
      <c r="O229" s="35">
        <v>39</v>
      </c>
      <c r="P229" s="17">
        <v>6</v>
      </c>
      <c r="Q229" s="26" t="s">
        <v>4852</v>
      </c>
      <c r="R229" s="24">
        <v>4825</v>
      </c>
      <c r="S229" s="26">
        <v>13</v>
      </c>
      <c r="T229" s="16" t="s">
        <v>3861</v>
      </c>
      <c r="U229" s="18">
        <f t="shared" si="9"/>
        <v>234</v>
      </c>
    </row>
    <row r="230" spans="1:21" ht="20.100000000000001" customHeight="1" x14ac:dyDescent="0.25">
      <c r="A230" s="24">
        <f>CADASTROS!$B$99</f>
        <v>97</v>
      </c>
      <c r="B230" s="15" t="str">
        <f>CADASTROS!$C$99</f>
        <v>Solange Alves Torres Novais</v>
      </c>
      <c r="C230" s="25"/>
      <c r="D230" s="41">
        <f>PLANILHA_COLHEITA_DIÁRIA!$I$154</f>
        <v>0</v>
      </c>
      <c r="E230" s="17">
        <v>6</v>
      </c>
      <c r="F230" s="26" t="str">
        <f>CADASTROS!$E$99</f>
        <v>Cx. Econômica</v>
      </c>
      <c r="G230" s="24">
        <f>CADASTROS!$F$99</f>
        <v>3204</v>
      </c>
      <c r="H230" s="26">
        <f>CADASTROS!$G$99</f>
        <v>1288</v>
      </c>
      <c r="I230" s="16" t="str">
        <f>CADASTROS!$H$99</f>
        <v>834037088-8</v>
      </c>
      <c r="J230" s="18">
        <f t="shared" si="10"/>
        <v>0</v>
      </c>
      <c r="L230" s="24">
        <v>1901</v>
      </c>
      <c r="M230" s="15" t="s">
        <v>3862</v>
      </c>
      <c r="N230" s="25"/>
      <c r="O230" s="35">
        <v>14</v>
      </c>
      <c r="P230" s="17">
        <v>6</v>
      </c>
      <c r="Q230" s="26" t="s">
        <v>4852</v>
      </c>
      <c r="R230" s="24">
        <v>4825</v>
      </c>
      <c r="S230" s="26">
        <v>1288</v>
      </c>
      <c r="T230" s="16" t="s">
        <v>3863</v>
      </c>
      <c r="U230" s="18">
        <f t="shared" si="9"/>
        <v>84</v>
      </c>
    </row>
    <row r="231" spans="1:21" ht="20.100000000000001" customHeight="1" x14ac:dyDescent="0.25">
      <c r="A231" s="24">
        <f>CADASTROS!$B$100</f>
        <v>98</v>
      </c>
      <c r="B231" s="15" t="str">
        <f>CADASTROS!$C$100</f>
        <v>Tamires Carlos da Silva</v>
      </c>
      <c r="C231" s="25"/>
      <c r="D231" s="25">
        <f>PLANILHA_COLHEITA_DIÁRIA!$I$155</f>
        <v>0</v>
      </c>
      <c r="E231" s="17">
        <v>6</v>
      </c>
      <c r="F231" s="26" t="str">
        <f>CADASTROS!$E$100</f>
        <v>Cx. Econômica</v>
      </c>
      <c r="G231" s="24">
        <f>CADASTROS!$F$100</f>
        <v>4825</v>
      </c>
      <c r="H231" s="26">
        <f>CADASTROS!$G$100</f>
        <v>13</v>
      </c>
      <c r="I231" s="16" t="str">
        <f>CADASTROS!$H$100</f>
        <v>00023453-0</v>
      </c>
      <c r="J231" s="18">
        <f t="shared" si="10"/>
        <v>0</v>
      </c>
      <c r="L231" s="24">
        <v>1902</v>
      </c>
      <c r="M231" s="15" t="s">
        <v>3864</v>
      </c>
      <c r="N231" s="25"/>
      <c r="O231" s="35">
        <v>34</v>
      </c>
      <c r="P231" s="17">
        <v>6</v>
      </c>
      <c r="Q231" s="26" t="s">
        <v>4852</v>
      </c>
      <c r="R231" s="24">
        <v>780</v>
      </c>
      <c r="S231" s="26">
        <v>13</v>
      </c>
      <c r="T231" s="16" t="s">
        <v>3865</v>
      </c>
      <c r="U231" s="18">
        <f t="shared" si="9"/>
        <v>204</v>
      </c>
    </row>
    <row r="232" spans="1:21" ht="20.100000000000001" customHeight="1" x14ac:dyDescent="0.25">
      <c r="A232" s="24">
        <f>CADASTROS!$B$101</f>
        <v>99</v>
      </c>
      <c r="B232" s="15" t="str">
        <f>CADASTROS!$C$101</f>
        <v>Adilson Brito de Souza</v>
      </c>
      <c r="C232" s="25"/>
      <c r="D232" s="25">
        <f>PLANILHA_COLHEITA_DIÁRIA!$I$156</f>
        <v>0</v>
      </c>
      <c r="E232" s="17">
        <v>6</v>
      </c>
      <c r="F232" s="26" t="str">
        <f>CADASTROS!$E$101</f>
        <v>Cx. Econômica</v>
      </c>
      <c r="G232" s="24">
        <f>CADASTROS!$F$101</f>
        <v>4818</v>
      </c>
      <c r="H232" s="26">
        <f>CADASTROS!$G$101</f>
        <v>13</v>
      </c>
      <c r="I232" s="16" t="str">
        <f>CADASTROS!$H$101</f>
        <v>00011627-0</v>
      </c>
      <c r="J232" s="18">
        <f t="shared" si="10"/>
        <v>0</v>
      </c>
      <c r="L232" s="24">
        <v>1903</v>
      </c>
      <c r="M232" s="15" t="s">
        <v>575</v>
      </c>
      <c r="N232" s="25"/>
      <c r="O232" s="35">
        <v>12</v>
      </c>
      <c r="P232" s="17">
        <v>6</v>
      </c>
      <c r="Q232" s="26" t="s">
        <v>4852</v>
      </c>
      <c r="R232" s="24">
        <v>4818</v>
      </c>
      <c r="S232" s="26">
        <v>13</v>
      </c>
      <c r="T232" s="16" t="s">
        <v>576</v>
      </c>
      <c r="U232" s="18">
        <f t="shared" si="9"/>
        <v>72</v>
      </c>
    </row>
    <row r="233" spans="1:21" ht="20.100000000000001" customHeight="1" x14ac:dyDescent="0.25">
      <c r="A233" s="24">
        <f>CADASTROS!$B$102</f>
        <v>100</v>
      </c>
      <c r="B233" s="15" t="str">
        <f>CADASTROS!$C$102</f>
        <v>Denaize de Jesus Silva</v>
      </c>
      <c r="C233" s="25"/>
      <c r="D233" s="25">
        <f>PLANILHA_COLHEITA_DIÁRIA!$I$157</f>
        <v>0</v>
      </c>
      <c r="E233" s="17">
        <v>6</v>
      </c>
      <c r="F233" s="26" t="str">
        <f>CADASTROS!$E$102</f>
        <v>Cx. Econômica</v>
      </c>
      <c r="G233" s="24">
        <f>CADASTROS!$F$102</f>
        <v>4825</v>
      </c>
      <c r="H233" s="26">
        <f>CADASTROS!$G$102</f>
        <v>1288</v>
      </c>
      <c r="I233" s="16" t="str">
        <f>CADASTROS!$H$102</f>
        <v>000851100159-8</v>
      </c>
      <c r="J233" s="18">
        <f t="shared" si="10"/>
        <v>0</v>
      </c>
      <c r="L233" s="24">
        <v>1904</v>
      </c>
      <c r="M233" s="15" t="s">
        <v>3866</v>
      </c>
      <c r="N233" s="25"/>
      <c r="O233" s="35">
        <v>17.5</v>
      </c>
      <c r="P233" s="17">
        <v>6</v>
      </c>
      <c r="Q233" s="26" t="s">
        <v>4852</v>
      </c>
      <c r="R233" s="24">
        <v>4818</v>
      </c>
      <c r="S233" s="26">
        <v>13</v>
      </c>
      <c r="T233" s="16" t="s">
        <v>1858</v>
      </c>
      <c r="U233" s="18">
        <f t="shared" si="9"/>
        <v>105</v>
      </c>
    </row>
    <row r="234" spans="1:21" ht="20.100000000000001" customHeight="1" x14ac:dyDescent="0.25">
      <c r="A234" s="24">
        <f>CADASTROS!$B$103</f>
        <v>101</v>
      </c>
      <c r="B234" s="15" t="str">
        <f>CADASTROS!$C$103</f>
        <v>Marineide Cruz Damasceno</v>
      </c>
      <c r="C234" s="25"/>
      <c r="D234" s="25">
        <f>PLANILHA_COLHEITA_DIÁRIA!$I$158</f>
        <v>0</v>
      </c>
      <c r="E234" s="17">
        <v>6</v>
      </c>
      <c r="F234" s="26" t="str">
        <f>CADASTROS!$E$103</f>
        <v>Cx. Econômica</v>
      </c>
      <c r="G234" s="24">
        <f>CADASTROS!$F$103</f>
        <v>4825</v>
      </c>
      <c r="H234" s="26">
        <f>CADASTROS!$G$103</f>
        <v>0</v>
      </c>
      <c r="I234" s="16" t="str">
        <f>CADASTROS!$H$103</f>
        <v>000851459478-6</v>
      </c>
      <c r="J234" s="18">
        <f t="shared" si="10"/>
        <v>0</v>
      </c>
      <c r="L234" s="24">
        <v>1906</v>
      </c>
      <c r="M234" s="15" t="s">
        <v>4900</v>
      </c>
      <c r="N234" s="25"/>
      <c r="O234" s="35">
        <v>49.5</v>
      </c>
      <c r="P234" s="17">
        <v>6</v>
      </c>
      <c r="Q234" s="26" t="s">
        <v>4852</v>
      </c>
      <c r="R234" s="24">
        <v>780</v>
      </c>
      <c r="S234" s="26">
        <v>23</v>
      </c>
      <c r="T234" s="16" t="s">
        <v>4901</v>
      </c>
      <c r="U234" s="18">
        <f t="shared" si="9"/>
        <v>297</v>
      </c>
    </row>
    <row r="235" spans="1:21" ht="20.100000000000001" customHeight="1" x14ac:dyDescent="0.25">
      <c r="A235" s="24">
        <f>CADASTROS!$B$104</f>
        <v>102</v>
      </c>
      <c r="B235" s="15" t="str">
        <f>CADASTROS!$C$104</f>
        <v>Maria Ires Pereira da Silva</v>
      </c>
      <c r="C235" s="25"/>
      <c r="D235" s="25">
        <f>PLANILHA_COLHEITA_DIÁRIA!$I$159</f>
        <v>0</v>
      </c>
      <c r="E235" s="17">
        <v>6</v>
      </c>
      <c r="F235" s="26" t="str">
        <f>CADASTROS!$E$104</f>
        <v>Cx. Econômica</v>
      </c>
      <c r="G235" s="24">
        <f>CADASTROS!$F$104</f>
        <v>949</v>
      </c>
      <c r="H235" s="26">
        <f>CADASTROS!$G$104</f>
        <v>23</v>
      </c>
      <c r="I235" s="16" t="str">
        <f>CADASTROS!$H$104</f>
        <v>00008938-8</v>
      </c>
      <c r="J235" s="18">
        <f t="shared" si="10"/>
        <v>0</v>
      </c>
      <c r="L235" s="73"/>
      <c r="M235" s="74"/>
      <c r="N235" s="75"/>
      <c r="O235" s="98"/>
      <c r="P235" s="76"/>
      <c r="Q235" s="77"/>
      <c r="R235" s="73"/>
      <c r="S235" s="77"/>
      <c r="T235" s="78"/>
      <c r="U235" s="18">
        <f t="shared" si="9"/>
        <v>0</v>
      </c>
    </row>
    <row r="236" spans="1:21" ht="20.100000000000001" customHeight="1" x14ac:dyDescent="0.25">
      <c r="A236" s="24">
        <f>CADASTROS!$B$105</f>
        <v>103</v>
      </c>
      <c r="B236" s="15" t="str">
        <f>CADASTROS!$C$105</f>
        <v>Elenice Almeida Santos</v>
      </c>
      <c r="C236" s="25"/>
      <c r="D236" s="25">
        <f>PLANILHA_COLHEITA_DIÁRIA!$I$160</f>
        <v>0</v>
      </c>
      <c r="E236" s="17">
        <v>6</v>
      </c>
      <c r="F236" s="26" t="str">
        <f>CADASTROS!$E$105</f>
        <v>Cx. Econômica</v>
      </c>
      <c r="G236" s="24">
        <f>CADASTROS!$F$105</f>
        <v>4818</v>
      </c>
      <c r="H236" s="26">
        <f>CADASTROS!$G$105</f>
        <v>13</v>
      </c>
      <c r="I236" s="16" t="str">
        <f>CADASTROS!$H$105</f>
        <v>00014282-4</v>
      </c>
      <c r="J236" s="18">
        <f t="shared" si="10"/>
        <v>0</v>
      </c>
      <c r="L236" s="73"/>
      <c r="M236" s="74"/>
      <c r="N236" s="75"/>
      <c r="O236" s="98"/>
      <c r="P236" s="76"/>
      <c r="Q236" s="77"/>
      <c r="R236" s="73"/>
      <c r="S236" s="77"/>
      <c r="T236" s="78"/>
      <c r="U236" s="18">
        <f t="shared" si="9"/>
        <v>0</v>
      </c>
    </row>
    <row r="237" spans="1:21" ht="20.100000000000001" customHeight="1" x14ac:dyDescent="0.25">
      <c r="A237" s="24">
        <f>CADASTROS!$B$106</f>
        <v>104</v>
      </c>
      <c r="B237" s="15" t="str">
        <f>CADASTROS!$C$106</f>
        <v>Jucelina Santos Santana</v>
      </c>
      <c r="C237" s="25"/>
      <c r="D237" s="25">
        <f>PLANILHA_COLHEITA_DIÁRIA!$I$177</f>
        <v>0</v>
      </c>
      <c r="E237" s="17">
        <v>6</v>
      </c>
      <c r="F237" s="26" t="str">
        <f>CADASTROS!$E$106</f>
        <v>Cx. Econômica</v>
      </c>
      <c r="G237" s="24">
        <f>CADASTROS!$F$106</f>
        <v>4825</v>
      </c>
      <c r="H237" s="26">
        <f>CADASTROS!$G$106</f>
        <v>13</v>
      </c>
      <c r="I237" s="16" t="str">
        <f>CADASTROS!$H$106</f>
        <v>00024124-3</v>
      </c>
      <c r="J237" s="18">
        <f t="shared" si="10"/>
        <v>0</v>
      </c>
      <c r="L237" s="73"/>
      <c r="M237" s="74"/>
      <c r="N237" s="75"/>
      <c r="O237" s="98"/>
      <c r="P237" s="76"/>
      <c r="Q237" s="77"/>
      <c r="R237" s="73"/>
      <c r="S237" s="77"/>
      <c r="T237" s="78"/>
      <c r="U237" s="18">
        <f t="shared" si="9"/>
        <v>0</v>
      </c>
    </row>
    <row r="238" spans="1:21" ht="20.100000000000001" customHeight="1" x14ac:dyDescent="0.25">
      <c r="A238" s="24">
        <f>CADASTROS!$B$107</f>
        <v>105</v>
      </c>
      <c r="B238" s="15" t="str">
        <f>CADASTROS!$C$107</f>
        <v>Adelandia Mª de Oliveira</v>
      </c>
      <c r="C238" s="25"/>
      <c r="D238" s="25">
        <f>PLANILHA_COLHEITA_DIÁRIA!$I$178</f>
        <v>0</v>
      </c>
      <c r="E238" s="17">
        <v>6</v>
      </c>
      <c r="F238" s="26" t="str">
        <f>CADASTROS!$E$107</f>
        <v>Cx. Econômica</v>
      </c>
      <c r="G238" s="24">
        <f>CADASTROS!$F$107</f>
        <v>4825</v>
      </c>
      <c r="H238" s="26">
        <f>CADASTROS!$G$107</f>
        <v>1288</v>
      </c>
      <c r="I238" s="16" t="str">
        <f>CADASTROS!$H$107</f>
        <v>800125357-9</v>
      </c>
      <c r="J238" s="18">
        <f t="shared" si="10"/>
        <v>0</v>
      </c>
      <c r="L238" s="73"/>
      <c r="M238" s="74"/>
      <c r="N238" s="75"/>
      <c r="O238" s="97"/>
      <c r="P238" s="76"/>
      <c r="Q238" s="77"/>
      <c r="R238" s="73"/>
      <c r="S238" s="77"/>
      <c r="T238" s="78"/>
      <c r="U238" s="18">
        <f t="shared" si="9"/>
        <v>0</v>
      </c>
    </row>
    <row r="239" spans="1:21" ht="20.100000000000001" customHeight="1" x14ac:dyDescent="0.25">
      <c r="A239" s="24">
        <f>CADASTROS!$B$108</f>
        <v>106</v>
      </c>
      <c r="B239" s="15" t="str">
        <f>CADASTROS!$C$108</f>
        <v>Geisa Barrada Macedo</v>
      </c>
      <c r="C239" s="25"/>
      <c r="D239" s="25">
        <f>PLANILHA_COLHEITA_DIÁRIA!$I$179</f>
        <v>0</v>
      </c>
      <c r="E239" s="17">
        <v>6</v>
      </c>
      <c r="F239" s="26" t="str">
        <f>CADASTROS!$E$108</f>
        <v>Bradesco</v>
      </c>
      <c r="G239" s="24">
        <f>CADASTROS!$F$108</f>
        <v>3905</v>
      </c>
      <c r="H239" s="26" t="str">
        <f>CADASTROS!$G$108</f>
        <v>poup</v>
      </c>
      <c r="I239" s="16" t="str">
        <f>CADASTROS!$H$108</f>
        <v>0383755-6</v>
      </c>
      <c r="J239" s="18">
        <f t="shared" si="10"/>
        <v>0</v>
      </c>
      <c r="L239" s="73"/>
      <c r="M239" s="74"/>
      <c r="N239" s="75"/>
      <c r="O239" s="97"/>
      <c r="P239" s="76"/>
      <c r="Q239" s="77"/>
      <c r="R239" s="73"/>
      <c r="S239" s="77"/>
      <c r="T239" s="78"/>
      <c r="U239" s="18">
        <f t="shared" si="9"/>
        <v>0</v>
      </c>
    </row>
    <row r="240" spans="1:21" ht="20.100000000000001" customHeight="1" x14ac:dyDescent="0.25">
      <c r="A240" s="24">
        <f>CADASTROS!$B$109</f>
        <v>107</v>
      </c>
      <c r="B240" s="15" t="str">
        <f>CADASTROS!$C$109</f>
        <v>Reinivaldo Dutra do Nascimento</v>
      </c>
      <c r="C240" s="25"/>
      <c r="D240" s="25">
        <f>PLANILHA_COLHEITA_DIÁRIA!$I$180</f>
        <v>0</v>
      </c>
      <c r="E240" s="17">
        <v>6</v>
      </c>
      <c r="F240" s="26" t="str">
        <f>CADASTROS!$E$109</f>
        <v>Banco do Brasil</v>
      </c>
      <c r="G240" s="24" t="str">
        <f>CADASTROS!$F$109</f>
        <v>2760-X</v>
      </c>
      <c r="H240" s="26" t="str">
        <f>CADASTROS!$G$109</f>
        <v>c/poup</v>
      </c>
      <c r="I240" s="16" t="str">
        <f>CADASTROS!$H$109</f>
        <v>18.481-0</v>
      </c>
      <c r="J240" s="18">
        <f t="shared" si="10"/>
        <v>0</v>
      </c>
      <c r="L240" s="73"/>
      <c r="M240" s="74"/>
      <c r="N240" s="75"/>
      <c r="O240" s="97"/>
      <c r="P240" s="76"/>
      <c r="Q240" s="77"/>
      <c r="R240" s="73"/>
      <c r="S240" s="77"/>
      <c r="T240" s="78"/>
      <c r="U240" s="18">
        <f t="shared" si="9"/>
        <v>0</v>
      </c>
    </row>
    <row r="241" spans="1:21" ht="20.100000000000001" customHeight="1" x14ac:dyDescent="0.25">
      <c r="A241" s="24">
        <f>CADASTROS!$B$110</f>
        <v>108</v>
      </c>
      <c r="B241" s="15">
        <f>CADASTROS!$C$110</f>
        <v>0</v>
      </c>
      <c r="C241" s="25"/>
      <c r="D241" s="25">
        <f>PLANILHA_COLHEITA_DIÁRIA!$I$181</f>
        <v>0</v>
      </c>
      <c r="E241" s="17">
        <v>6</v>
      </c>
      <c r="F241" s="26">
        <f>CADASTROS!$E$110</f>
        <v>0</v>
      </c>
      <c r="G241" s="24">
        <f>CADASTROS!$F$110</f>
        <v>0</v>
      </c>
      <c r="H241" s="26">
        <f>CADASTROS!$G$110</f>
        <v>0</v>
      </c>
      <c r="I241" s="16">
        <f>CADASTROS!$H$110</f>
        <v>0</v>
      </c>
      <c r="J241" s="18">
        <f t="shared" si="10"/>
        <v>0</v>
      </c>
      <c r="L241" s="73"/>
      <c r="M241" s="74"/>
      <c r="N241" s="75"/>
      <c r="O241" s="97"/>
      <c r="P241" s="76"/>
      <c r="Q241" s="77"/>
      <c r="R241" s="73"/>
      <c r="S241" s="77"/>
      <c r="T241" s="78"/>
      <c r="U241" s="18">
        <f t="shared" si="9"/>
        <v>0</v>
      </c>
    </row>
    <row r="242" spans="1:21" ht="20.100000000000001" customHeight="1" x14ac:dyDescent="0.25">
      <c r="A242" s="24">
        <f>CADASTROS!$B$111</f>
        <v>109</v>
      </c>
      <c r="B242" s="15">
        <f>CADASTROS!$C$111</f>
        <v>0</v>
      </c>
      <c r="C242" s="25"/>
      <c r="D242" s="25">
        <f>PLANILHA_COLHEITA_DIÁRIA!$I$182</f>
        <v>0</v>
      </c>
      <c r="E242" s="17">
        <v>6</v>
      </c>
      <c r="F242" s="26">
        <f>CADASTROS!$E$111</f>
        <v>0</v>
      </c>
      <c r="G242" s="24">
        <f>CADASTROS!$F$111</f>
        <v>0</v>
      </c>
      <c r="H242" s="26">
        <f>CADASTROS!$G$111</f>
        <v>0</v>
      </c>
      <c r="I242" s="16">
        <f>CADASTROS!$H$111</f>
        <v>0</v>
      </c>
      <c r="J242" s="18">
        <f t="shared" si="10"/>
        <v>0</v>
      </c>
      <c r="L242" s="73"/>
      <c r="M242" s="74"/>
      <c r="N242" s="75"/>
      <c r="O242" s="97"/>
      <c r="P242" s="76"/>
      <c r="Q242" s="77"/>
      <c r="R242" s="73"/>
      <c r="S242" s="77"/>
      <c r="T242" s="78"/>
      <c r="U242" s="18">
        <f t="shared" si="9"/>
        <v>0</v>
      </c>
    </row>
    <row r="243" spans="1:21" ht="20.100000000000001" customHeight="1" x14ac:dyDescent="0.25">
      <c r="A243" s="24">
        <f>CADASTROS!$B$112</f>
        <v>110</v>
      </c>
      <c r="B243" s="15">
        <f>CADASTROS!$C$112</f>
        <v>0</v>
      </c>
      <c r="C243" s="25"/>
      <c r="D243" s="25">
        <f>PLANILHA_COLHEITA_DIÁRIA!$I$183</f>
        <v>0</v>
      </c>
      <c r="E243" s="17">
        <v>6</v>
      </c>
      <c r="F243" s="26">
        <f>CADASTROS!$E$112</f>
        <v>0</v>
      </c>
      <c r="G243" s="24">
        <f>CADASTROS!$F$112</f>
        <v>0</v>
      </c>
      <c r="H243" s="26">
        <f>CADASTROS!$G$112</f>
        <v>0</v>
      </c>
      <c r="I243" s="16">
        <f>CADASTROS!$H$112</f>
        <v>0</v>
      </c>
      <c r="J243" s="18">
        <f t="shared" si="10"/>
        <v>0</v>
      </c>
      <c r="L243" s="73"/>
      <c r="M243" s="74"/>
      <c r="N243" s="75"/>
      <c r="O243" s="98"/>
      <c r="P243" s="76"/>
      <c r="Q243" s="77"/>
      <c r="R243" s="73"/>
      <c r="S243" s="77"/>
      <c r="T243" s="78"/>
      <c r="U243" s="18">
        <f t="shared" si="9"/>
        <v>0</v>
      </c>
    </row>
    <row r="244" spans="1:21" ht="20.100000000000001" customHeight="1" x14ac:dyDescent="0.25">
      <c r="A244" s="24">
        <f>CADASTROS!$B$113</f>
        <v>111</v>
      </c>
      <c r="B244" s="15">
        <f>CADASTROS!$C$113</f>
        <v>0</v>
      </c>
      <c r="C244" s="25"/>
      <c r="D244" s="25">
        <f>PLANILHA_COLHEITA_DIÁRIA!$I$184</f>
        <v>0</v>
      </c>
      <c r="E244" s="17">
        <v>6</v>
      </c>
      <c r="F244" s="26">
        <f>CADASTROS!$E$113</f>
        <v>0</v>
      </c>
      <c r="G244" s="24">
        <f>CADASTROS!$F$113</f>
        <v>0</v>
      </c>
      <c r="H244" s="26">
        <f>CADASTROS!$G$113</f>
        <v>0</v>
      </c>
      <c r="I244" s="16">
        <f>CADASTROS!$H$113</f>
        <v>0</v>
      </c>
      <c r="J244" s="18">
        <f t="shared" si="10"/>
        <v>0</v>
      </c>
      <c r="L244" s="73"/>
      <c r="M244" s="74"/>
      <c r="N244" s="75"/>
      <c r="O244" s="98"/>
      <c r="P244" s="76"/>
      <c r="Q244" s="77"/>
      <c r="R244" s="73"/>
      <c r="S244" s="77"/>
      <c r="T244" s="78"/>
      <c r="U244" s="18">
        <f t="shared" si="9"/>
        <v>0</v>
      </c>
    </row>
    <row r="245" spans="1:21" ht="20.100000000000001" customHeight="1" x14ac:dyDescent="0.25">
      <c r="A245" s="24">
        <f>CADASTROS!$B$114</f>
        <v>112</v>
      </c>
      <c r="B245" s="15">
        <f>CADASTROS!$C$114</f>
        <v>0</v>
      </c>
      <c r="C245" s="25"/>
      <c r="D245" s="25">
        <f>PLANILHA_COLHEITA_DIÁRIA!$I$185</f>
        <v>18</v>
      </c>
      <c r="E245" s="17">
        <v>6</v>
      </c>
      <c r="F245" s="26">
        <f>CADASTROS!$E$114</f>
        <v>0</v>
      </c>
      <c r="G245" s="24">
        <f>CADASTROS!$F$114</f>
        <v>0</v>
      </c>
      <c r="H245" s="26">
        <f>CADASTROS!$G$114</f>
        <v>0</v>
      </c>
      <c r="I245" s="16">
        <f>CADASTROS!$H$114</f>
        <v>0</v>
      </c>
      <c r="J245" s="18">
        <f t="shared" si="10"/>
        <v>108</v>
      </c>
      <c r="L245" s="73"/>
      <c r="M245" s="74"/>
      <c r="N245" s="75"/>
      <c r="O245" s="97"/>
      <c r="P245" s="76"/>
      <c r="Q245" s="77"/>
      <c r="R245" s="73"/>
      <c r="S245" s="77"/>
      <c r="T245" s="78"/>
      <c r="U245" s="18">
        <f t="shared" si="9"/>
        <v>0</v>
      </c>
    </row>
    <row r="246" spans="1:21" ht="20.100000000000001" customHeight="1" x14ac:dyDescent="0.25">
      <c r="A246" s="24">
        <f>CADASTROS!$B$115</f>
        <v>113</v>
      </c>
      <c r="B246" s="15">
        <f>CADASTROS!$C$115</f>
        <v>0</v>
      </c>
      <c r="C246" s="25"/>
      <c r="D246" s="25">
        <f>PLANILHA_COLHEITA_DIÁRIA!$I$186</f>
        <v>0</v>
      </c>
      <c r="E246" s="17">
        <v>6</v>
      </c>
      <c r="F246" s="26">
        <f>CADASTROS!$E$115</f>
        <v>0</v>
      </c>
      <c r="G246" s="24">
        <f>CADASTROS!$F$115</f>
        <v>0</v>
      </c>
      <c r="H246" s="26">
        <f>CADASTROS!$G$115</f>
        <v>0</v>
      </c>
      <c r="I246" s="16">
        <f>CADASTROS!$H$115</f>
        <v>0</v>
      </c>
      <c r="J246" s="18">
        <f t="shared" si="10"/>
        <v>0</v>
      </c>
      <c r="L246" s="73"/>
      <c r="M246" s="74"/>
      <c r="N246" s="75"/>
      <c r="O246" s="97"/>
      <c r="P246" s="76"/>
      <c r="Q246" s="77"/>
      <c r="R246" s="73"/>
      <c r="S246" s="77"/>
      <c r="T246" s="78"/>
      <c r="U246" s="18">
        <f t="shared" si="9"/>
        <v>0</v>
      </c>
    </row>
    <row r="247" spans="1:21" ht="20.100000000000001" customHeight="1" x14ac:dyDescent="0.25">
      <c r="A247" s="24">
        <f>CADASTROS!$B$116</f>
        <v>114</v>
      </c>
      <c r="B247" s="15">
        <f>CADASTROS!$C$116</f>
        <v>0</v>
      </c>
      <c r="C247" s="25"/>
      <c r="D247" s="25">
        <f>PLANILHA_COLHEITA_DIÁRIA!$I$187</f>
        <v>0</v>
      </c>
      <c r="E247" s="17">
        <v>6</v>
      </c>
      <c r="F247" s="26">
        <f>CADASTROS!$E$116</f>
        <v>0</v>
      </c>
      <c r="G247" s="24">
        <f>CADASTROS!$F$116</f>
        <v>0</v>
      </c>
      <c r="H247" s="26">
        <f>CADASTROS!$G$116</f>
        <v>0</v>
      </c>
      <c r="I247" s="16">
        <f>CADASTROS!$H$116</f>
        <v>0</v>
      </c>
      <c r="J247" s="18">
        <f t="shared" si="10"/>
        <v>0</v>
      </c>
      <c r="L247" s="73"/>
      <c r="M247" s="74"/>
      <c r="N247" s="75"/>
      <c r="O247" s="98"/>
      <c r="P247" s="76"/>
      <c r="Q247" s="77"/>
      <c r="R247" s="73"/>
      <c r="S247" s="77"/>
      <c r="T247" s="78"/>
      <c r="U247" s="18">
        <f t="shared" si="9"/>
        <v>0</v>
      </c>
    </row>
    <row r="248" spans="1:21" ht="20.100000000000001" customHeight="1" x14ac:dyDescent="0.25">
      <c r="A248" s="24">
        <f>CADASTROS!$B$117</f>
        <v>115</v>
      </c>
      <c r="B248" s="15">
        <f>CADASTROS!$C$117</f>
        <v>0</v>
      </c>
      <c r="C248" s="25"/>
      <c r="D248" s="25">
        <f>PLANILHA_COLHEITA_DIÁRIA!$I$188</f>
        <v>0</v>
      </c>
      <c r="E248" s="17">
        <v>6</v>
      </c>
      <c r="F248" s="26">
        <f>CADASTROS!$E$117</f>
        <v>0</v>
      </c>
      <c r="G248" s="24">
        <f>CADASTROS!$F$117</f>
        <v>0</v>
      </c>
      <c r="H248" s="26">
        <f>CADASTROS!$G$117</f>
        <v>0</v>
      </c>
      <c r="I248" s="16">
        <f>CADASTROS!$H$117</f>
        <v>0</v>
      </c>
      <c r="J248" s="18">
        <f t="shared" si="10"/>
        <v>0</v>
      </c>
      <c r="L248" s="73"/>
      <c r="M248" s="74"/>
      <c r="N248" s="75"/>
      <c r="O248" s="98"/>
      <c r="P248" s="76"/>
      <c r="Q248" s="77"/>
      <c r="R248" s="73"/>
      <c r="S248" s="77"/>
      <c r="T248" s="78"/>
      <c r="U248" s="18">
        <f t="shared" si="9"/>
        <v>0</v>
      </c>
    </row>
    <row r="249" spans="1:21" ht="20.100000000000001" customHeight="1" x14ac:dyDescent="0.25">
      <c r="A249" s="24">
        <f>CADASTROS!$B$118</f>
        <v>116</v>
      </c>
      <c r="B249" s="15">
        <f>CADASTROS!$C$118</f>
        <v>0</v>
      </c>
      <c r="C249" s="25"/>
      <c r="D249" s="35">
        <f>PLANILHA_COLHEITA_DIÁRIA!$I$189</f>
        <v>0</v>
      </c>
      <c r="E249" s="17">
        <v>6</v>
      </c>
      <c r="F249" s="26">
        <f>CADASTROS!$E$118</f>
        <v>0</v>
      </c>
      <c r="G249" s="24">
        <f>CADASTROS!$F$118</f>
        <v>0</v>
      </c>
      <c r="H249" s="26">
        <f>CADASTROS!$G$118</f>
        <v>0</v>
      </c>
      <c r="I249" s="16">
        <f>CADASTROS!$H$118</f>
        <v>0</v>
      </c>
      <c r="J249" s="18">
        <f t="shared" si="10"/>
        <v>0</v>
      </c>
      <c r="L249" s="73"/>
      <c r="M249" s="74"/>
      <c r="N249" s="75"/>
      <c r="O249" s="98"/>
      <c r="P249" s="76"/>
      <c r="Q249" s="77"/>
      <c r="R249" s="73"/>
      <c r="S249" s="77"/>
      <c r="T249" s="78"/>
      <c r="U249" s="18">
        <f t="shared" si="9"/>
        <v>0</v>
      </c>
    </row>
    <row r="250" spans="1:21" ht="20.100000000000001" customHeight="1" x14ac:dyDescent="0.25">
      <c r="A250" s="24">
        <f>CADASTROS!$B$119</f>
        <v>117</v>
      </c>
      <c r="B250" s="15">
        <f>CADASTROS!$C$119</f>
        <v>0</v>
      </c>
      <c r="C250" s="25"/>
      <c r="D250" s="25">
        <f>PLANILHA_COLHEITA_DIÁRIA!$I$190</f>
        <v>0</v>
      </c>
      <c r="E250" s="17">
        <v>6</v>
      </c>
      <c r="F250" s="26">
        <f>CADASTROS!$E$119</f>
        <v>0</v>
      </c>
      <c r="G250" s="24">
        <f>CADASTROS!$F$119</f>
        <v>0</v>
      </c>
      <c r="H250" s="26">
        <f>CADASTROS!$G$119</f>
        <v>0</v>
      </c>
      <c r="I250" s="16">
        <f>CADASTROS!$H$119</f>
        <v>0</v>
      </c>
      <c r="J250" s="18">
        <f t="shared" si="10"/>
        <v>0</v>
      </c>
      <c r="L250" s="73"/>
      <c r="M250" s="74"/>
      <c r="N250" s="75"/>
      <c r="O250" s="98"/>
      <c r="P250" s="76"/>
      <c r="Q250" s="77"/>
      <c r="R250" s="73"/>
      <c r="S250" s="77"/>
      <c r="T250" s="78"/>
      <c r="U250" s="18">
        <f t="shared" si="9"/>
        <v>0</v>
      </c>
    </row>
    <row r="251" spans="1:21" ht="20.100000000000001" customHeight="1" x14ac:dyDescent="0.25">
      <c r="A251" s="24">
        <f>CADASTROS!$B$120</f>
        <v>118</v>
      </c>
      <c r="B251" s="15">
        <f>CADASTROS!$C$120</f>
        <v>0</v>
      </c>
      <c r="C251" s="25"/>
      <c r="D251" s="35">
        <f>PLANILHA_COLHEITA_DIÁRIA!$I$191</f>
        <v>54.5</v>
      </c>
      <c r="E251" s="17">
        <v>6</v>
      </c>
      <c r="F251" s="26">
        <f>CADASTROS!$E$120</f>
        <v>0</v>
      </c>
      <c r="G251" s="24">
        <f>CADASTROS!$F$120</f>
        <v>0</v>
      </c>
      <c r="H251" s="26">
        <f>CADASTROS!$G$120</f>
        <v>0</v>
      </c>
      <c r="I251" s="16">
        <f>CADASTROS!$H$120</f>
        <v>0</v>
      </c>
      <c r="J251" s="18">
        <f t="shared" si="10"/>
        <v>327</v>
      </c>
      <c r="L251" s="73"/>
      <c r="M251" s="74"/>
      <c r="N251" s="75"/>
      <c r="O251" s="98"/>
      <c r="P251" s="76"/>
      <c r="Q251" s="77"/>
      <c r="R251" s="73"/>
      <c r="S251" s="77"/>
      <c r="T251" s="78"/>
      <c r="U251" s="18">
        <f t="shared" si="9"/>
        <v>0</v>
      </c>
    </row>
    <row r="252" spans="1:21" ht="20.100000000000001" customHeight="1" x14ac:dyDescent="0.25">
      <c r="A252" s="24">
        <f>CADASTROS!$B$121</f>
        <v>119</v>
      </c>
      <c r="B252" s="15">
        <f>CADASTROS!$C$121</f>
        <v>0</v>
      </c>
      <c r="C252" s="25"/>
      <c r="D252" s="25">
        <f>PLANILHA_COLHEITA_DIÁRIA!$I$192</f>
        <v>0</v>
      </c>
      <c r="E252" s="17">
        <v>6</v>
      </c>
      <c r="F252" s="26">
        <f>CADASTROS!$E$121</f>
        <v>0</v>
      </c>
      <c r="G252" s="24">
        <f>CADASTROS!$F$121</f>
        <v>0</v>
      </c>
      <c r="H252" s="26">
        <f>CADASTROS!$G$121</f>
        <v>0</v>
      </c>
      <c r="I252" s="16">
        <f>CADASTROS!$H$121</f>
        <v>0</v>
      </c>
      <c r="J252" s="18">
        <f t="shared" si="10"/>
        <v>0</v>
      </c>
      <c r="L252" s="73"/>
      <c r="M252" s="74"/>
      <c r="N252" s="75"/>
      <c r="O252" s="98"/>
      <c r="P252" s="76"/>
      <c r="Q252" s="77"/>
      <c r="R252" s="73"/>
      <c r="S252" s="77"/>
      <c r="T252" s="78"/>
      <c r="U252" s="18">
        <f t="shared" si="9"/>
        <v>0</v>
      </c>
    </row>
    <row r="253" spans="1:21" ht="20.100000000000001" customHeight="1" x14ac:dyDescent="0.25">
      <c r="A253" s="24">
        <f>CADASTROS!$B$122</f>
        <v>120</v>
      </c>
      <c r="B253" s="15">
        <f>CADASTROS!$C$122</f>
        <v>0</v>
      </c>
      <c r="C253" s="25"/>
      <c r="D253" s="25">
        <f>PLANILHA_COLHEITA_DIÁRIA!$I$193</f>
        <v>0</v>
      </c>
      <c r="E253" s="17">
        <v>6</v>
      </c>
      <c r="F253" s="26">
        <f>CADASTROS!$E$122</f>
        <v>0</v>
      </c>
      <c r="G253" s="24">
        <f>CADASTROS!$F$122</f>
        <v>0</v>
      </c>
      <c r="H253" s="26">
        <f>CADASTROS!$G$122</f>
        <v>0</v>
      </c>
      <c r="I253" s="16">
        <f>CADASTROS!$H$122</f>
        <v>0</v>
      </c>
      <c r="J253" s="18">
        <f t="shared" si="10"/>
        <v>0</v>
      </c>
      <c r="L253" s="73"/>
      <c r="M253" s="74"/>
      <c r="N253" s="75"/>
      <c r="O253" s="98"/>
      <c r="P253" s="76"/>
      <c r="Q253" s="77"/>
      <c r="R253" s="73"/>
      <c r="S253" s="77"/>
      <c r="T253" s="78"/>
      <c r="U253" s="18">
        <f t="shared" si="9"/>
        <v>0</v>
      </c>
    </row>
    <row r="254" spans="1:21" ht="20.100000000000001" customHeight="1" x14ac:dyDescent="0.35">
      <c r="A254" s="24">
        <f>CADASTROS!$B$123</f>
        <v>121</v>
      </c>
      <c r="B254" s="15">
        <f>CADASTROS!$C$123</f>
        <v>0</v>
      </c>
      <c r="C254" s="25"/>
      <c r="D254" s="41">
        <f>PLANILHA_COLHEITA_DIÁRIA!$I$194</f>
        <v>0</v>
      </c>
      <c r="E254" s="17">
        <v>6</v>
      </c>
      <c r="F254" s="26">
        <f>CADASTROS!$E$123</f>
        <v>0</v>
      </c>
      <c r="G254" s="24">
        <f>CADASTROS!$F$123</f>
        <v>0</v>
      </c>
      <c r="H254" s="26">
        <f>CADASTROS!$G$123</f>
        <v>0</v>
      </c>
      <c r="I254" s="16">
        <f>CADASTROS!$H$123</f>
        <v>0</v>
      </c>
      <c r="J254" s="18">
        <f t="shared" si="10"/>
        <v>0</v>
      </c>
      <c r="L254" s="81"/>
      <c r="M254" s="82"/>
      <c r="N254" s="83"/>
      <c r="O254" s="83"/>
      <c r="P254" s="17"/>
      <c r="Q254" s="84"/>
      <c r="R254" s="81"/>
      <c r="S254" s="84"/>
      <c r="T254" s="85"/>
      <c r="U254" s="18">
        <f t="shared" si="9"/>
        <v>0</v>
      </c>
    </row>
    <row r="255" spans="1:21" ht="20.100000000000001" customHeight="1" x14ac:dyDescent="0.35">
      <c r="A255" s="24">
        <f>CADASTROS!$B$124</f>
        <v>122</v>
      </c>
      <c r="B255" s="15">
        <f>CADASTROS!$C$124</f>
        <v>0</v>
      </c>
      <c r="C255" s="25"/>
      <c r="D255" s="25">
        <f>PLANILHA_COLHEITA_DIÁRIA!$I$195</f>
        <v>0</v>
      </c>
      <c r="E255" s="17">
        <v>6</v>
      </c>
      <c r="F255" s="26">
        <f>CADASTROS!$E$124</f>
        <v>0</v>
      </c>
      <c r="G255" s="24">
        <f>CADASTROS!$F$124</f>
        <v>0</v>
      </c>
      <c r="H255" s="26">
        <f>CADASTROS!$G$124</f>
        <v>0</v>
      </c>
      <c r="I255" s="16">
        <f>CADASTROS!$H$124</f>
        <v>0</v>
      </c>
      <c r="J255" s="18">
        <f t="shared" si="10"/>
        <v>0</v>
      </c>
      <c r="L255" s="81"/>
      <c r="M255" s="82"/>
      <c r="N255" s="83"/>
      <c r="O255" s="83"/>
      <c r="P255" s="17"/>
      <c r="Q255" s="84"/>
      <c r="R255" s="81"/>
      <c r="S255" s="84"/>
      <c r="T255" s="85"/>
      <c r="U255" s="18">
        <f t="shared" si="9"/>
        <v>0</v>
      </c>
    </row>
    <row r="256" spans="1:21" ht="20.100000000000001" customHeight="1" x14ac:dyDescent="0.35">
      <c r="A256" s="24">
        <f>CADASTROS!$B$125</f>
        <v>123</v>
      </c>
      <c r="B256" s="15">
        <f>CADASTROS!$C$125</f>
        <v>0</v>
      </c>
      <c r="C256" s="25"/>
      <c r="D256" s="41">
        <f>PLANILHA_COLHEITA_DIÁRIA!$I$196</f>
        <v>0</v>
      </c>
      <c r="E256" s="17">
        <v>6</v>
      </c>
      <c r="F256" s="26">
        <f>CADASTROS!$E$125</f>
        <v>0</v>
      </c>
      <c r="G256" s="24">
        <f>CADASTROS!$F$125</f>
        <v>0</v>
      </c>
      <c r="H256" s="26">
        <f>CADASTROS!$G$125</f>
        <v>0</v>
      </c>
      <c r="I256" s="16">
        <f>CADASTROS!$H$125</f>
        <v>0</v>
      </c>
      <c r="J256" s="18">
        <f t="shared" si="10"/>
        <v>0</v>
      </c>
      <c r="L256" s="81"/>
      <c r="M256" s="82"/>
      <c r="N256" s="83"/>
      <c r="O256" s="83"/>
      <c r="P256" s="17"/>
      <c r="Q256" s="84"/>
      <c r="R256" s="81"/>
      <c r="S256" s="84"/>
      <c r="T256" s="85"/>
      <c r="U256" s="18">
        <f t="shared" si="9"/>
        <v>0</v>
      </c>
    </row>
    <row r="257" spans="1:21" ht="20.100000000000001" customHeight="1" x14ac:dyDescent="0.35">
      <c r="A257" s="24">
        <f>CADASTROS!$B$126</f>
        <v>124</v>
      </c>
      <c r="B257" s="15" t="str">
        <f>CADASTROS!$C$126</f>
        <v>Eliene Nunes da Cruz</v>
      </c>
      <c r="C257" s="25"/>
      <c r="D257" s="25">
        <f>PLANILHA_COLHEITA_DIÁRIA!$I$197</f>
        <v>0</v>
      </c>
      <c r="E257" s="17">
        <v>6</v>
      </c>
      <c r="F257" s="26" t="str">
        <f>CADASTROS!$E$126</f>
        <v>Cx. Econômica</v>
      </c>
      <c r="G257" s="24">
        <f>CADASTROS!$F$126</f>
        <v>2281</v>
      </c>
      <c r="H257" s="26">
        <f>CADASTROS!$G$126</f>
        <v>0</v>
      </c>
      <c r="I257" s="16" t="str">
        <f>CADASTROS!$H$126</f>
        <v>000793774064-8</v>
      </c>
      <c r="J257" s="18">
        <f t="shared" si="10"/>
        <v>0</v>
      </c>
      <c r="L257" s="81"/>
      <c r="M257" s="82"/>
      <c r="N257" s="83"/>
      <c r="O257" s="83"/>
      <c r="P257" s="17"/>
      <c r="Q257" s="84"/>
      <c r="R257" s="81"/>
      <c r="S257" s="84"/>
      <c r="T257" s="85"/>
      <c r="U257" s="18">
        <f t="shared" si="9"/>
        <v>0</v>
      </c>
    </row>
    <row r="258" spans="1:21" ht="20.100000000000001" customHeight="1" x14ac:dyDescent="0.35">
      <c r="A258" s="24">
        <f>CADASTROS!$B$127</f>
        <v>125</v>
      </c>
      <c r="B258" s="15" t="str">
        <f>CADASTROS!$C$127</f>
        <v>Wanderson Santos Santana</v>
      </c>
      <c r="C258" s="25"/>
      <c r="D258" s="41">
        <f>PLANILHA_COLHEITA_DIÁRIA!$I$198</f>
        <v>0</v>
      </c>
      <c r="E258" s="17">
        <v>6</v>
      </c>
      <c r="F258" s="26" t="str">
        <f>CADASTROS!$E$127</f>
        <v>Cx. Econômica</v>
      </c>
      <c r="G258" s="24">
        <f>CADASTROS!$F$127</f>
        <v>4818</v>
      </c>
      <c r="H258" s="26">
        <f>CADASTROS!$G$127</f>
        <v>0</v>
      </c>
      <c r="I258" s="16" t="str">
        <f>CADASTROS!$H$127</f>
        <v>000796061637-0</v>
      </c>
      <c r="J258" s="18">
        <f t="shared" si="10"/>
        <v>0</v>
      </c>
      <c r="L258" s="81"/>
      <c r="M258" s="82"/>
      <c r="N258" s="83"/>
      <c r="O258" s="83"/>
      <c r="P258" s="17"/>
      <c r="Q258" s="84"/>
      <c r="R258" s="81"/>
      <c r="S258" s="84"/>
      <c r="T258" s="85"/>
      <c r="U258" s="18">
        <f t="shared" si="9"/>
        <v>0</v>
      </c>
    </row>
    <row r="259" spans="1:21" ht="20.100000000000001" customHeight="1" x14ac:dyDescent="0.35">
      <c r="A259" s="24">
        <f>CADASTROS!$B$128</f>
        <v>126</v>
      </c>
      <c r="B259" s="15" t="str">
        <f>CADASTROS!$C$128</f>
        <v>Janailson Sousa Santana</v>
      </c>
      <c r="C259" s="25"/>
      <c r="D259" s="25">
        <f>PLANILHA_COLHEITA_DIÁRIA!$I$199</f>
        <v>0</v>
      </c>
      <c r="E259" s="17">
        <v>6</v>
      </c>
      <c r="F259" s="26" t="str">
        <f>CADASTROS!$E$128</f>
        <v>Cx. Econômica</v>
      </c>
      <c r="G259" s="24">
        <f>CADASTROS!$F$128</f>
        <v>4818</v>
      </c>
      <c r="H259" s="26">
        <f>CADASTROS!$G$128</f>
        <v>13</v>
      </c>
      <c r="I259" s="16" t="str">
        <f>CADASTROS!$H$128</f>
        <v>00015193-9</v>
      </c>
      <c r="J259" s="18">
        <f t="shared" si="10"/>
        <v>0</v>
      </c>
      <c r="L259" s="81"/>
      <c r="M259" s="82"/>
      <c r="N259" s="83"/>
      <c r="O259" s="83"/>
      <c r="P259" s="17"/>
      <c r="Q259" s="84"/>
      <c r="R259" s="81"/>
      <c r="S259" s="84"/>
      <c r="T259" s="85"/>
      <c r="U259" s="18">
        <f t="shared" si="9"/>
        <v>0</v>
      </c>
    </row>
    <row r="260" spans="1:21" ht="20.100000000000001" customHeight="1" x14ac:dyDescent="0.25">
      <c r="A260" s="24">
        <f>CADASTROS!$B$129</f>
        <v>127</v>
      </c>
      <c r="B260" s="15" t="str">
        <f>CADASTROS!$C$129</f>
        <v>Izoraide Souza Santos Fernandes</v>
      </c>
      <c r="C260" s="25"/>
      <c r="D260" s="25">
        <f>PLANILHA_COLHEITA_DIÁRIA!$I$200</f>
        <v>0</v>
      </c>
      <c r="E260" s="17">
        <v>6</v>
      </c>
      <c r="F260" s="26" t="str">
        <f>CADASTROS!$E$129</f>
        <v>Cx. Econômica</v>
      </c>
      <c r="G260" s="24">
        <f>CADASTROS!$F$129</f>
        <v>949</v>
      </c>
      <c r="H260" s="26">
        <f>CADASTROS!$G$129</f>
        <v>23</v>
      </c>
      <c r="I260" s="16" t="str">
        <f>CADASTROS!$H$129</f>
        <v>00023101-0</v>
      </c>
      <c r="J260" s="18">
        <f t="shared" si="10"/>
        <v>0</v>
      </c>
      <c r="L260" s="73"/>
      <c r="M260" s="74"/>
      <c r="N260" s="75"/>
      <c r="O260" s="97"/>
      <c r="P260" s="76"/>
      <c r="Q260" s="77"/>
      <c r="R260" s="73"/>
      <c r="S260" s="77"/>
      <c r="T260" s="78"/>
      <c r="U260" s="18">
        <f t="shared" si="9"/>
        <v>0</v>
      </c>
    </row>
    <row r="261" spans="1:21" ht="20.100000000000001" customHeight="1" x14ac:dyDescent="0.35">
      <c r="A261" s="24">
        <f>CADASTROS!$B$130</f>
        <v>128</v>
      </c>
      <c r="B261" s="15" t="str">
        <f>CADASTROS!$C$130</f>
        <v>Anderson de Jesus Santos</v>
      </c>
      <c r="C261" s="25"/>
      <c r="D261" s="25">
        <f>PLANILHA_COLHEITA_DIÁRIA!$I$201</f>
        <v>0</v>
      </c>
      <c r="E261" s="17">
        <v>6</v>
      </c>
      <c r="F261" s="26" t="str">
        <f>CADASTROS!$E$130</f>
        <v>Cx. Econômica</v>
      </c>
      <c r="G261" s="24">
        <f>CADASTROS!$F$130</f>
        <v>1053</v>
      </c>
      <c r="H261" s="26">
        <f>CADASTROS!$G$130</f>
        <v>13</v>
      </c>
      <c r="I261" s="16" t="str">
        <f>CADASTROS!$H$130</f>
        <v>00157216-8</v>
      </c>
      <c r="J261" s="18">
        <f t="shared" si="10"/>
        <v>0</v>
      </c>
      <c r="L261" s="81"/>
      <c r="M261" s="82"/>
      <c r="N261" s="83"/>
      <c r="O261" s="83"/>
      <c r="P261" s="17"/>
      <c r="Q261" s="84"/>
      <c r="R261" s="81"/>
      <c r="S261" s="84"/>
      <c r="T261" s="85"/>
      <c r="U261" s="18">
        <f t="shared" si="9"/>
        <v>0</v>
      </c>
    </row>
    <row r="262" spans="1:21" ht="20.100000000000001" customHeight="1" x14ac:dyDescent="0.35">
      <c r="A262" s="24">
        <f>CADASTROS!$B$131</f>
        <v>129</v>
      </c>
      <c r="B262" s="15" t="str">
        <f>CADASTROS!$C$131</f>
        <v>Evani de Lima</v>
      </c>
      <c r="C262" s="25"/>
      <c r="D262" s="35">
        <f>PLANILHA_COLHEITA_DIÁRIA!$I$202</f>
        <v>0</v>
      </c>
      <c r="E262" s="17">
        <v>6</v>
      </c>
      <c r="F262" s="26" t="str">
        <f>CADASTROS!$E$131</f>
        <v>Cx. Econômica</v>
      </c>
      <c r="G262" s="24">
        <f>CADASTROS!$F$131</f>
        <v>4825</v>
      </c>
      <c r="H262" s="26">
        <f>CADASTROS!$G$131</f>
        <v>0</v>
      </c>
      <c r="I262" s="16" t="str">
        <f>CADASTROS!$H$131</f>
        <v>000793134375-2</v>
      </c>
      <c r="J262" s="18">
        <f t="shared" si="10"/>
        <v>0</v>
      </c>
      <c r="L262" s="81"/>
      <c r="M262" s="82"/>
      <c r="N262" s="83"/>
      <c r="O262" s="83"/>
      <c r="P262" s="17"/>
      <c r="Q262" s="84"/>
      <c r="R262" s="81"/>
      <c r="S262" s="84"/>
      <c r="T262" s="85"/>
      <c r="U262" s="18">
        <f t="shared" si="9"/>
        <v>0</v>
      </c>
    </row>
    <row r="263" spans="1:21" ht="20.100000000000001" customHeight="1" x14ac:dyDescent="0.35">
      <c r="A263" s="24">
        <f>CADASTROS!$B$132</f>
        <v>130</v>
      </c>
      <c r="B263" s="15" t="str">
        <f>CADASTROS!$C$132</f>
        <v>Miralva de Jesus Batista</v>
      </c>
      <c r="C263" s="25"/>
      <c r="D263" s="35">
        <f>PLANILHA_COLHEITA_DIÁRIA!$I$203</f>
        <v>0</v>
      </c>
      <c r="E263" s="17">
        <v>6</v>
      </c>
      <c r="F263" s="26" t="str">
        <f>CADASTROS!$E$132</f>
        <v>Bradesco</v>
      </c>
      <c r="G263" s="24" t="str">
        <f>CADASTROS!$F$132</f>
        <v>3616-1</v>
      </c>
      <c r="H263" s="26" t="str">
        <f>CADASTROS!$G$132</f>
        <v>poup</v>
      </c>
      <c r="I263" s="16" t="str">
        <f>CADASTROS!$H$132</f>
        <v>1001294-5</v>
      </c>
      <c r="J263" s="18">
        <f t="shared" si="10"/>
        <v>0</v>
      </c>
      <c r="L263" s="81"/>
      <c r="M263" s="82"/>
      <c r="N263" s="83"/>
      <c r="O263" s="83"/>
      <c r="P263" s="17"/>
      <c r="Q263" s="84"/>
      <c r="R263" s="81"/>
      <c r="S263" s="84"/>
      <c r="T263" s="85"/>
      <c r="U263" s="18">
        <f t="shared" si="9"/>
        <v>0</v>
      </c>
    </row>
    <row r="264" spans="1:21" ht="20.100000000000001" customHeight="1" x14ac:dyDescent="0.35">
      <c r="A264" s="24">
        <f>CADASTROS!$B$133</f>
        <v>131</v>
      </c>
      <c r="B264" s="15" t="str">
        <f>CADASTROS!$C$133</f>
        <v>José Silva Bispo</v>
      </c>
      <c r="C264" s="25"/>
      <c r="D264" s="35">
        <f>PLANILHA_COLHEITA_DIÁRIA!$I$220</f>
        <v>0</v>
      </c>
      <c r="E264" s="17">
        <v>6</v>
      </c>
      <c r="F264" s="26" t="str">
        <f>CADASTROS!$E$133</f>
        <v>Cx. Econômica</v>
      </c>
      <c r="G264" s="24">
        <f>CADASTROS!$F$133</f>
        <v>4825</v>
      </c>
      <c r="H264" s="26">
        <f>CADASTROS!$G$133</f>
        <v>0</v>
      </c>
      <c r="I264" s="16" t="str">
        <f>CADASTROS!$H$133</f>
        <v>000798925343-8</v>
      </c>
      <c r="J264" s="18">
        <f t="shared" si="10"/>
        <v>0</v>
      </c>
      <c r="L264" s="81"/>
      <c r="M264" s="82"/>
      <c r="N264" s="83"/>
      <c r="O264" s="83"/>
      <c r="P264" s="17"/>
      <c r="Q264" s="84"/>
      <c r="R264" s="81"/>
      <c r="S264" s="84"/>
      <c r="T264" s="85"/>
      <c r="U264" s="18">
        <f t="shared" si="9"/>
        <v>0</v>
      </c>
    </row>
    <row r="265" spans="1:21" ht="20.100000000000001" customHeight="1" x14ac:dyDescent="0.35">
      <c r="A265" s="24">
        <f>CADASTROS!$B$134</f>
        <v>132</v>
      </c>
      <c r="B265" s="15" t="str">
        <f>CADASTROS!$C$134</f>
        <v>Leandro de Jesus Cruz</v>
      </c>
      <c r="C265" s="25"/>
      <c r="D265" s="35">
        <f>PLANILHA_COLHEITA_DIÁRIA!$I$221</f>
        <v>77.5</v>
      </c>
      <c r="E265" s="17">
        <v>6</v>
      </c>
      <c r="F265" s="26" t="str">
        <f>CADASTROS!$E$134</f>
        <v>Banco do Brasil</v>
      </c>
      <c r="G265" s="24" t="str">
        <f>CADASTROS!$F$134</f>
        <v>2760-X</v>
      </c>
      <c r="H265" s="26" t="str">
        <f>CADASTROS!$G$134</f>
        <v>c/corr</v>
      </c>
      <c r="I265" s="16" t="str">
        <f>CADASTROS!$H$134</f>
        <v>11.457-X</v>
      </c>
      <c r="J265" s="18">
        <f t="shared" si="10"/>
        <v>465</v>
      </c>
      <c r="L265" s="81"/>
      <c r="M265" s="82"/>
      <c r="N265" s="83"/>
      <c r="O265" s="83"/>
      <c r="P265" s="17"/>
      <c r="Q265" s="84"/>
      <c r="R265" s="81"/>
      <c r="S265" s="84"/>
      <c r="T265" s="85"/>
      <c r="U265" s="18">
        <f t="shared" si="9"/>
        <v>0</v>
      </c>
    </row>
    <row r="266" spans="1:21" ht="20.100000000000001" customHeight="1" x14ac:dyDescent="0.35">
      <c r="A266" s="24">
        <f>CADASTROS!$B$135</f>
        <v>133</v>
      </c>
      <c r="B266" s="15" t="str">
        <f>CADASTROS!$C$135</f>
        <v>Alailson Almeida de Souza</v>
      </c>
      <c r="C266" s="25"/>
      <c r="D266" s="35">
        <f>PLANILHA_COLHEITA_DIÁRIA!$I$222</f>
        <v>0</v>
      </c>
      <c r="E266" s="17">
        <v>6</v>
      </c>
      <c r="F266" s="26" t="str">
        <f>CADASTROS!$E$135</f>
        <v>Cx. Econômica</v>
      </c>
      <c r="G266" s="24">
        <f>CADASTROS!$F$135</f>
        <v>4825</v>
      </c>
      <c r="H266" s="26">
        <f>CADASTROS!$G$135</f>
        <v>13</v>
      </c>
      <c r="I266" s="16" t="str">
        <f>CADASTROS!$H$135</f>
        <v>00007988-8</v>
      </c>
      <c r="J266" s="18">
        <f t="shared" si="10"/>
        <v>0</v>
      </c>
      <c r="L266" s="81"/>
      <c r="M266" s="82"/>
      <c r="N266" s="83"/>
      <c r="O266" s="83"/>
      <c r="P266" s="17"/>
      <c r="Q266" s="84"/>
      <c r="R266" s="81"/>
      <c r="S266" s="84"/>
      <c r="T266" s="85"/>
      <c r="U266" s="18">
        <f t="shared" si="9"/>
        <v>0</v>
      </c>
    </row>
    <row r="267" spans="1:21" ht="20.100000000000001" customHeight="1" x14ac:dyDescent="0.35">
      <c r="A267" s="24">
        <f>CADASTROS!$B$136</f>
        <v>134</v>
      </c>
      <c r="B267" s="15" t="str">
        <f>CADASTROS!$C$136</f>
        <v>Emanuel Salomão de Jesus</v>
      </c>
      <c r="C267" s="25"/>
      <c r="D267" s="35">
        <f>PLANILHA_COLHEITA_DIÁRIA!$I$223</f>
        <v>0</v>
      </c>
      <c r="E267" s="17">
        <v>6</v>
      </c>
      <c r="F267" s="26" t="str">
        <f>CADASTROS!$E$136</f>
        <v>Cx. Econômica</v>
      </c>
      <c r="G267" s="24">
        <f>CADASTROS!$F$136</f>
        <v>4825</v>
      </c>
      <c r="H267" s="26">
        <f>CADASTROS!$G$136</f>
        <v>0</v>
      </c>
      <c r="I267" s="16" t="str">
        <f>CADASTROS!$H$136</f>
        <v>000870343625-8</v>
      </c>
      <c r="J267" s="18">
        <f t="shared" si="10"/>
        <v>0</v>
      </c>
      <c r="L267" s="44"/>
      <c r="M267" s="199"/>
      <c r="N267" s="199"/>
      <c r="O267" s="45">
        <f>SUM(O222:O266)</f>
        <v>347</v>
      </c>
      <c r="P267" s="45"/>
      <c r="Q267" s="200" t="s">
        <v>4869</v>
      </c>
      <c r="R267" s="201"/>
      <c r="S267" s="201"/>
      <c r="T267" s="202"/>
      <c r="U267" s="46">
        <f>SUM(U222:U266)</f>
        <v>2082</v>
      </c>
    </row>
    <row r="268" spans="1:21" ht="15.75" x14ac:dyDescent="0.25">
      <c r="B268" s="220"/>
      <c r="C268" s="220"/>
      <c r="D268" s="12">
        <f>SUM(D223:D267)</f>
        <v>150</v>
      </c>
      <c r="E268" s="12"/>
      <c r="F268" s="225"/>
      <c r="G268" s="226"/>
      <c r="H268" s="226"/>
      <c r="I268" s="227"/>
      <c r="J268" s="14">
        <f>SUM(J223:J267)</f>
        <v>900</v>
      </c>
    </row>
    <row r="270" spans="1:21" ht="15.75" x14ac:dyDescent="0.25">
      <c r="R270" s="40"/>
    </row>
    <row r="271" spans="1:21" ht="15.75" x14ac:dyDescent="0.25">
      <c r="A271" s="213" t="s">
        <v>4816</v>
      </c>
      <c r="B271" s="213"/>
      <c r="C271" s="213"/>
      <c r="D271" s="213"/>
      <c r="E271" s="213"/>
      <c r="F271" s="213"/>
      <c r="G271" s="213"/>
      <c r="H271" s="213"/>
      <c r="I271" s="213"/>
      <c r="J271" s="213"/>
    </row>
    <row r="272" spans="1:21" ht="16.5" thickBot="1" x14ac:dyDescent="0.3">
      <c r="A272" s="214" t="s">
        <v>4843</v>
      </c>
      <c r="B272" s="214"/>
      <c r="C272" s="214"/>
      <c r="D272" s="214"/>
      <c r="E272" s="214"/>
      <c r="F272" s="214"/>
      <c r="G272" s="214"/>
      <c r="H272" s="214"/>
      <c r="I272" s="214"/>
      <c r="J272" s="214"/>
      <c r="L272" s="203" t="s">
        <v>4843</v>
      </c>
      <c r="M272" s="203"/>
      <c r="N272" s="203"/>
      <c r="O272" s="203"/>
      <c r="P272" s="203"/>
      <c r="Q272" s="203"/>
      <c r="R272" s="203"/>
      <c r="S272" s="203"/>
      <c r="T272" s="203"/>
      <c r="U272" s="203"/>
    </row>
    <row r="273" spans="1:21" ht="17.25" thickTop="1" thickBot="1" x14ac:dyDescent="0.3">
      <c r="A273" s="215" t="s">
        <v>4844</v>
      </c>
      <c r="B273" s="215"/>
      <c r="C273" s="215"/>
      <c r="D273" s="215"/>
      <c r="E273" s="215"/>
      <c r="F273" s="215"/>
      <c r="G273" s="215"/>
      <c r="H273" s="215"/>
      <c r="I273" s="215"/>
      <c r="J273" s="215"/>
      <c r="L273" s="204" t="s">
        <v>4902</v>
      </c>
      <c r="M273" s="204"/>
      <c r="N273" s="204"/>
      <c r="O273" s="204"/>
      <c r="P273" s="204"/>
      <c r="Q273" s="204"/>
      <c r="R273" s="204"/>
      <c r="S273" s="204"/>
      <c r="T273" s="204"/>
      <c r="U273" s="204"/>
    </row>
    <row r="274" spans="1:21" ht="20.100000000000001" customHeight="1" x14ac:dyDescent="0.25">
      <c r="A274" s="19" t="s">
        <v>4846</v>
      </c>
      <c r="B274" s="216" t="s">
        <v>1</v>
      </c>
      <c r="C274" s="221" t="s">
        <v>2</v>
      </c>
      <c r="D274" s="223" t="s">
        <v>4847</v>
      </c>
      <c r="E274" s="20" t="s">
        <v>4848</v>
      </c>
      <c r="F274" s="216" t="s">
        <v>3</v>
      </c>
      <c r="G274" s="216" t="s">
        <v>4</v>
      </c>
      <c r="H274" s="216" t="s">
        <v>5</v>
      </c>
      <c r="I274" s="216" t="s">
        <v>6</v>
      </c>
      <c r="J274" s="218" t="s">
        <v>4849</v>
      </c>
      <c r="L274" s="49" t="s">
        <v>4846</v>
      </c>
      <c r="M274" s="205" t="s">
        <v>1</v>
      </c>
      <c r="N274" s="205" t="s">
        <v>2</v>
      </c>
      <c r="O274" s="209" t="s">
        <v>4847</v>
      </c>
      <c r="P274" s="50" t="s">
        <v>4848</v>
      </c>
      <c r="Q274" s="205" t="s">
        <v>3</v>
      </c>
      <c r="R274" s="205" t="s">
        <v>4</v>
      </c>
      <c r="S274" s="205" t="s">
        <v>5</v>
      </c>
      <c r="T274" s="205" t="s">
        <v>6</v>
      </c>
      <c r="U274" s="230" t="s">
        <v>4849</v>
      </c>
    </row>
    <row r="275" spans="1:21" ht="20.100000000000001" customHeight="1" thickBot="1" x14ac:dyDescent="0.3">
      <c r="A275" s="21" t="s">
        <v>4850</v>
      </c>
      <c r="B275" s="217"/>
      <c r="C275" s="222"/>
      <c r="D275" s="224"/>
      <c r="E275" s="161" t="s">
        <v>4851</v>
      </c>
      <c r="F275" s="217"/>
      <c r="G275" s="217"/>
      <c r="H275" s="217"/>
      <c r="I275" s="217"/>
      <c r="J275" s="219"/>
      <c r="L275" s="51" t="s">
        <v>4850</v>
      </c>
      <c r="M275" s="206"/>
      <c r="N275" s="206"/>
      <c r="O275" s="210"/>
      <c r="P275" s="166" t="s">
        <v>4851</v>
      </c>
      <c r="Q275" s="206"/>
      <c r="R275" s="206"/>
      <c r="S275" s="206"/>
      <c r="T275" s="206"/>
      <c r="U275" s="231"/>
    </row>
    <row r="276" spans="1:21" ht="20.100000000000001" customHeight="1" x14ac:dyDescent="0.25">
      <c r="A276" s="24">
        <f>CADASTROS!$B$272</f>
        <v>270</v>
      </c>
      <c r="B276" s="15" t="str">
        <f>CADASTROS!$C$272</f>
        <v>Mª Aparecida F. dos Santos</v>
      </c>
      <c r="C276" s="25"/>
      <c r="D276" s="25">
        <f>PLANILHA_COLHEITA_DIÁRIA!$I$446</f>
        <v>0</v>
      </c>
      <c r="E276" s="17">
        <v>6</v>
      </c>
      <c r="F276" s="26" t="str">
        <f>CADASTROS!$E$272</f>
        <v>Cx. Econômica</v>
      </c>
      <c r="G276" s="24">
        <v>4825</v>
      </c>
      <c r="H276" s="26">
        <f>CADASTROS!$G$272</f>
        <v>1288</v>
      </c>
      <c r="I276" s="16" t="s">
        <v>4903</v>
      </c>
      <c r="J276" s="18">
        <f t="shared" ref="J276:J320" si="11">D276*E276</f>
        <v>0</v>
      </c>
      <c r="L276" s="24">
        <f>CADASTROS!$B$216</f>
        <v>214</v>
      </c>
      <c r="M276" s="15" t="str">
        <f>CADASTROS!$C$216</f>
        <v>Jocelma Costa dos Santos</v>
      </c>
      <c r="N276" s="25"/>
      <c r="O276" s="52">
        <f>PLANILHA_COLHEITA_DIÁRIA!$I$359</f>
        <v>38</v>
      </c>
      <c r="P276" s="17">
        <v>6</v>
      </c>
      <c r="Q276" s="26" t="str">
        <f>CADASTROS!$E$216</f>
        <v>Cx. Econômica</v>
      </c>
      <c r="R276" s="24">
        <f>CADASTROS!$F$216</f>
        <v>949</v>
      </c>
      <c r="S276" s="26">
        <f>CADASTROS!$G$216</f>
        <v>13</v>
      </c>
      <c r="T276" s="16" t="str">
        <f>CADASTROS!$H$216</f>
        <v>000836229187-5</v>
      </c>
      <c r="U276" s="18">
        <f t="shared" ref="U276:U277" si="12">O276*P276</f>
        <v>228</v>
      </c>
    </row>
    <row r="277" spans="1:21" ht="20.100000000000001" customHeight="1" x14ac:dyDescent="0.25">
      <c r="A277" s="24">
        <f>CADASTROS!$B$273</f>
        <v>271</v>
      </c>
      <c r="B277" s="15" t="str">
        <f>CADASTROS!$C$273</f>
        <v>José Morais de Oliveira</v>
      </c>
      <c r="C277" s="25"/>
      <c r="D277" s="25">
        <f>PLANILHA_COLHEITA_DIÁRIA!$I$447</f>
        <v>0</v>
      </c>
      <c r="E277" s="17">
        <v>6</v>
      </c>
      <c r="F277" s="26" t="str">
        <f>CADASTROS!$E$273</f>
        <v>Bradesco</v>
      </c>
      <c r="G277" s="24" t="str">
        <f>CADASTROS!$F$273</f>
        <v>3801-6</v>
      </c>
      <c r="H277" s="26" t="str">
        <f>CADASTROS!$G$273</f>
        <v>poup</v>
      </c>
      <c r="I277" s="16" t="str">
        <f>CADASTROS!$H$273</f>
        <v>0000098-1</v>
      </c>
      <c r="J277" s="18">
        <f t="shared" si="11"/>
        <v>0</v>
      </c>
      <c r="L277" s="24">
        <f>CADASTROS!$B$470</f>
        <v>468</v>
      </c>
      <c r="M277" s="15" t="str">
        <f>CADASTROS!$C$470</f>
        <v>Marleide de Jesus Carvalho</v>
      </c>
      <c r="N277" s="25"/>
      <c r="O277" s="52">
        <f>PLANILHA_COLHEITA_DIÁRIA!$I$757</f>
        <v>52.5</v>
      </c>
      <c r="P277" s="17">
        <v>6</v>
      </c>
      <c r="Q277" s="26" t="str">
        <f>CADASTROS!$E$470</f>
        <v>Cx. Econômica</v>
      </c>
      <c r="R277" s="24">
        <f>CADASTROS!$F$470</f>
        <v>4825</v>
      </c>
      <c r="S277" s="26" t="str">
        <f>CADASTROS!$G$470</f>
        <v>013</v>
      </c>
      <c r="T277" s="16" t="str">
        <f>CADASTROS!$H$470</f>
        <v>796526228-3</v>
      </c>
      <c r="U277" s="18">
        <f t="shared" si="12"/>
        <v>315</v>
      </c>
    </row>
    <row r="278" spans="1:21" ht="20.100000000000001" customHeight="1" x14ac:dyDescent="0.25">
      <c r="A278" s="24">
        <f>CADASTROS!$B$274</f>
        <v>272</v>
      </c>
      <c r="B278" s="15" t="str">
        <f>CADASTROS!$C$274</f>
        <v>Marcílio Ramos de Souza</v>
      </c>
      <c r="C278" s="25"/>
      <c r="D278" s="25">
        <f>PLANILHA_COLHEITA_DIÁRIA!$I$448</f>
        <v>0</v>
      </c>
      <c r="E278" s="17">
        <v>6</v>
      </c>
      <c r="F278" s="26" t="str">
        <f>CADASTROS!$E$274</f>
        <v>Cx. Econômica</v>
      </c>
      <c r="G278" s="24">
        <f>CADASTROS!$F$274</f>
        <v>4825</v>
      </c>
      <c r="H278" s="26">
        <f>CADASTROS!$G$274</f>
        <v>13</v>
      </c>
      <c r="I278" s="16" t="str">
        <f>CADASTROS!$H$274</f>
        <v>00007902-0</v>
      </c>
      <c r="J278" s="18">
        <f t="shared" si="11"/>
        <v>0</v>
      </c>
      <c r="L278" s="24">
        <v>849</v>
      </c>
      <c r="M278" s="15" t="s">
        <v>1786</v>
      </c>
      <c r="N278" s="25"/>
      <c r="O278" s="42">
        <v>25</v>
      </c>
      <c r="P278" s="17">
        <v>6</v>
      </c>
      <c r="Q278" s="26" t="s">
        <v>4904</v>
      </c>
      <c r="R278" s="24" t="s">
        <v>293</v>
      </c>
      <c r="S278" s="26">
        <v>0</v>
      </c>
      <c r="T278" s="16" t="s">
        <v>1787</v>
      </c>
      <c r="U278" s="18">
        <v>150</v>
      </c>
    </row>
    <row r="279" spans="1:21" ht="20.100000000000001" customHeight="1" x14ac:dyDescent="0.25">
      <c r="A279" s="95">
        <f>CADASTROS!$B$275</f>
        <v>273</v>
      </c>
      <c r="B279" s="96" t="str">
        <f>CADASTROS!$C$275</f>
        <v>Elton Conceição dos Santos</v>
      </c>
      <c r="C279" s="41"/>
      <c r="D279" s="41">
        <f>PLANILHA_COLHEITA_DIÁRIA!$I$449</f>
        <v>39</v>
      </c>
      <c r="E279" s="17">
        <v>6</v>
      </c>
      <c r="F279" s="26" t="str">
        <f>CADASTROS!$E$275</f>
        <v>Bradesco</v>
      </c>
      <c r="G279" s="24">
        <f>CADASTROS!$F$275</f>
        <v>3899</v>
      </c>
      <c r="H279" s="26" t="str">
        <f>CADASTROS!$G$275</f>
        <v>poup</v>
      </c>
      <c r="I279" s="16" t="str">
        <f>CADASTROS!$H$275</f>
        <v>0395914-7</v>
      </c>
      <c r="J279" s="18">
        <f t="shared" si="11"/>
        <v>234</v>
      </c>
      <c r="L279" s="24">
        <v>851</v>
      </c>
      <c r="M279" s="15" t="s">
        <v>1790</v>
      </c>
      <c r="N279" s="25"/>
      <c r="O279" s="42">
        <v>53.5</v>
      </c>
      <c r="P279" s="17">
        <v>6</v>
      </c>
      <c r="Q279" s="26" t="s">
        <v>4904</v>
      </c>
      <c r="R279" s="24" t="s">
        <v>44</v>
      </c>
      <c r="S279" s="26" t="s">
        <v>22</v>
      </c>
      <c r="T279" s="16" t="s">
        <v>1792</v>
      </c>
      <c r="U279" s="18">
        <v>321</v>
      </c>
    </row>
    <row r="280" spans="1:21" ht="20.100000000000001" customHeight="1" x14ac:dyDescent="0.25">
      <c r="A280" s="24">
        <f>CADASTROS!$B$276</f>
        <v>274</v>
      </c>
      <c r="B280" s="15" t="str">
        <f>CADASTROS!$C$276</f>
        <v>Paula Renata Ferreira Silva</v>
      </c>
      <c r="C280" s="25"/>
      <c r="D280" s="25">
        <f>PLANILHA_COLHEITA_DIÁRIA!$I$450</f>
        <v>0</v>
      </c>
      <c r="E280" s="17">
        <v>6</v>
      </c>
      <c r="F280" s="26" t="str">
        <f>CADASTROS!$E$276</f>
        <v>Bradesco</v>
      </c>
      <c r="G280" s="24" t="str">
        <f>CADASTROS!$F$276</f>
        <v>3801-6</v>
      </c>
      <c r="H280" s="26" t="str">
        <f>CADASTROS!$G$276</f>
        <v>poup</v>
      </c>
      <c r="I280" s="16" t="str">
        <f>CADASTROS!$H$276</f>
        <v>0002405-8</v>
      </c>
      <c r="J280" s="18">
        <f t="shared" si="11"/>
        <v>0</v>
      </c>
      <c r="L280" s="24">
        <f>CADASTROS!$B$812</f>
        <v>810</v>
      </c>
      <c r="M280" s="15" t="str">
        <f>CADASTROS!$C$812</f>
        <v>Carlion de Jesus Santos</v>
      </c>
      <c r="N280" s="25"/>
      <c r="O280" s="52">
        <f>PLANILHA_COLHEITA_DIÁRIA!$I$1262</f>
        <v>24</v>
      </c>
      <c r="P280" s="17">
        <v>6</v>
      </c>
      <c r="Q280" s="26" t="str">
        <f>CADASTROS!$E$812</f>
        <v>Cx. Econômica</v>
      </c>
      <c r="R280" s="24">
        <f>CADASTROS!$F$812</f>
        <v>359</v>
      </c>
      <c r="S280" s="26">
        <f>CADASTROS!$G$812</f>
        <v>13</v>
      </c>
      <c r="T280" s="16" t="str">
        <f>CADASTROS!$H$812</f>
        <v>00018763-6</v>
      </c>
      <c r="U280" s="18">
        <f t="shared" ref="U280" si="13">O280*P280</f>
        <v>144</v>
      </c>
    </row>
    <row r="281" spans="1:21" ht="20.100000000000001" customHeight="1" x14ac:dyDescent="0.25">
      <c r="A281" s="24">
        <f>CADASTROS!$B$277</f>
        <v>275</v>
      </c>
      <c r="B281" s="15" t="str">
        <f>CADASTROS!$C$277</f>
        <v>Vanderlei dos Santos</v>
      </c>
      <c r="C281" s="25"/>
      <c r="D281" s="35">
        <f>PLANILHA_COLHEITA_DIÁRIA!$I$451</f>
        <v>0</v>
      </c>
      <c r="E281" s="17">
        <v>6</v>
      </c>
      <c r="F281" s="26" t="str">
        <f>CADASTROS!$E$277</f>
        <v>Cx. Econômica</v>
      </c>
      <c r="G281" s="24">
        <f>CADASTROS!$F$277</f>
        <v>3419</v>
      </c>
      <c r="H281" s="26">
        <f>CADASTROS!$G$277</f>
        <v>1288</v>
      </c>
      <c r="I281" s="16" t="str">
        <f>CADASTROS!$H$277</f>
        <v>782592305-8</v>
      </c>
      <c r="J281" s="18">
        <f t="shared" si="11"/>
        <v>0</v>
      </c>
      <c r="L281" s="24">
        <v>1198</v>
      </c>
      <c r="M281" s="15" t="s">
        <v>2486</v>
      </c>
      <c r="N281" s="25"/>
      <c r="O281" s="52">
        <v>90.5</v>
      </c>
      <c r="P281" s="17">
        <v>6</v>
      </c>
      <c r="Q281" s="26" t="s">
        <v>4904</v>
      </c>
      <c r="R281" s="24" t="s">
        <v>72</v>
      </c>
      <c r="S281" s="26" t="s">
        <v>37</v>
      </c>
      <c r="T281" s="16" t="s">
        <v>2487</v>
      </c>
      <c r="U281" s="18">
        <v>543</v>
      </c>
    </row>
    <row r="282" spans="1:21" ht="20.100000000000001" customHeight="1" x14ac:dyDescent="0.25">
      <c r="A282" s="24">
        <f>CADASTROS!$B$278</f>
        <v>276</v>
      </c>
      <c r="B282" s="15" t="str">
        <f>CADASTROS!$C$278</f>
        <v>Odivanio de Barros Cruz</v>
      </c>
      <c r="C282" s="25"/>
      <c r="D282" s="25">
        <f>PLANILHA_COLHEITA_DIÁRIA!$I$452</f>
        <v>0</v>
      </c>
      <c r="E282" s="17">
        <v>6</v>
      </c>
      <c r="F282" s="26" t="str">
        <f>CADASTROS!$E$278</f>
        <v>Cx. Econômica</v>
      </c>
      <c r="G282" s="24">
        <f>CADASTROS!$F$278</f>
        <v>4825</v>
      </c>
      <c r="H282" s="26">
        <f>CADASTROS!$G$278</f>
        <v>13</v>
      </c>
      <c r="I282" s="16" t="str">
        <f>CADASTROS!$H$278</f>
        <v>00014146-0</v>
      </c>
      <c r="J282" s="18">
        <f t="shared" si="11"/>
        <v>0</v>
      </c>
      <c r="L282" s="24">
        <v>1203</v>
      </c>
      <c r="M282" s="15" t="s">
        <v>2495</v>
      </c>
      <c r="N282" s="25"/>
      <c r="O282" s="52">
        <v>50.5</v>
      </c>
      <c r="P282" s="17">
        <v>6</v>
      </c>
      <c r="Q282" s="26" t="s">
        <v>4904</v>
      </c>
      <c r="R282" s="24">
        <v>3738</v>
      </c>
      <c r="S282" s="26" t="s">
        <v>1944</v>
      </c>
      <c r="T282" s="16" t="s">
        <v>2496</v>
      </c>
      <c r="U282" s="18">
        <v>303</v>
      </c>
    </row>
    <row r="283" spans="1:21" ht="20.100000000000001" customHeight="1" x14ac:dyDescent="0.25">
      <c r="A283" s="24">
        <f>CADASTROS!$B$279</f>
        <v>277</v>
      </c>
      <c r="B283" s="15" t="str">
        <f>CADASTROS!$C$279</f>
        <v>Mª Bastos da Silva</v>
      </c>
      <c r="C283" s="25"/>
      <c r="D283" s="25">
        <f>PLANILHA_COLHEITA_DIÁRIA!$I$453</f>
        <v>0</v>
      </c>
      <c r="E283" s="17">
        <v>6</v>
      </c>
      <c r="F283" s="26" t="str">
        <f>CADASTROS!$E$279</f>
        <v>Bradesco</v>
      </c>
      <c r="G283" s="24" t="str">
        <f>CADASTROS!$F$279</f>
        <v>3616-1</v>
      </c>
      <c r="H283" s="26" t="str">
        <f>CADASTROS!$G$279</f>
        <v>poup</v>
      </c>
      <c r="I283" s="16" t="str">
        <f>CADASTROS!$H$279</f>
        <v>0010126-5</v>
      </c>
      <c r="J283" s="18">
        <f t="shared" si="11"/>
        <v>0</v>
      </c>
      <c r="L283" s="24">
        <v>1224</v>
      </c>
      <c r="M283" s="15" t="s">
        <v>2535</v>
      </c>
      <c r="N283" s="25"/>
      <c r="O283" s="52">
        <v>42.5</v>
      </c>
      <c r="P283" s="17">
        <v>6</v>
      </c>
      <c r="Q283" s="26" t="s">
        <v>4904</v>
      </c>
      <c r="R283" s="24" t="s">
        <v>264</v>
      </c>
      <c r="S283" s="26" t="s">
        <v>22</v>
      </c>
      <c r="T283" s="16" t="s">
        <v>2536</v>
      </c>
      <c r="U283" s="18">
        <v>255</v>
      </c>
    </row>
    <row r="284" spans="1:21" ht="20.100000000000001" customHeight="1" x14ac:dyDescent="0.25">
      <c r="A284" s="24">
        <f>CADASTROS!$B$280</f>
        <v>278</v>
      </c>
      <c r="B284" s="15" t="str">
        <f>CADASTROS!$C$280</f>
        <v>Clécio C. Santos</v>
      </c>
      <c r="C284" s="25"/>
      <c r="D284" s="52">
        <f>PLANILHA_COLHEITA_DIÁRIA!$I$454</f>
        <v>0</v>
      </c>
      <c r="E284" s="17">
        <v>6</v>
      </c>
      <c r="F284" s="26" t="str">
        <f>CADASTROS!$E$280</f>
        <v>Banco do Brasil</v>
      </c>
      <c r="G284" s="24" t="str">
        <f>CADASTROS!$F$280</f>
        <v>1099-5</v>
      </c>
      <c r="H284" s="26" t="str">
        <f>CADASTROS!$G$280</f>
        <v>c/poup</v>
      </c>
      <c r="I284" s="16" t="str">
        <f>CADASTROS!$H$280</f>
        <v>27.348-1</v>
      </c>
      <c r="J284" s="18">
        <f t="shared" si="11"/>
        <v>0</v>
      </c>
      <c r="L284" s="24">
        <v>1230</v>
      </c>
      <c r="M284" s="15" t="s">
        <v>2545</v>
      </c>
      <c r="N284" s="25"/>
      <c r="O284" s="52">
        <v>43.5</v>
      </c>
      <c r="P284" s="17">
        <v>6</v>
      </c>
      <c r="Q284" s="26" t="s">
        <v>4904</v>
      </c>
      <c r="R284" s="24" t="s">
        <v>44</v>
      </c>
      <c r="S284" s="26" t="s">
        <v>22</v>
      </c>
      <c r="T284" s="16" t="s">
        <v>2547</v>
      </c>
      <c r="U284" s="18">
        <v>261</v>
      </c>
    </row>
    <row r="285" spans="1:21" ht="20.100000000000001" customHeight="1" x14ac:dyDescent="0.25">
      <c r="A285" s="24">
        <f>CADASTROS!$B$281</f>
        <v>279</v>
      </c>
      <c r="B285" s="15" t="str">
        <f>CADASTROS!$C$281</f>
        <v>Patrícia A. Souza</v>
      </c>
      <c r="C285" s="25"/>
      <c r="D285" s="25">
        <f>PLANILHA_COLHEITA_DIÁRIA!$I$455</f>
        <v>0</v>
      </c>
      <c r="E285" s="17">
        <v>6</v>
      </c>
      <c r="F285" s="26" t="str">
        <f>CADASTROS!$E$281</f>
        <v>Banco do Brasil</v>
      </c>
      <c r="G285" s="24" t="str">
        <f>CADASTROS!$F$281</f>
        <v>2760-X</v>
      </c>
      <c r="H285" s="26" t="str">
        <f>CADASTROS!$G$281</f>
        <v>c/poup</v>
      </c>
      <c r="I285" s="16" t="str">
        <f>CADASTROS!$H$281</f>
        <v>17.529-3</v>
      </c>
      <c r="J285" s="18">
        <f t="shared" si="11"/>
        <v>0</v>
      </c>
      <c r="L285" s="24">
        <v>1241</v>
      </c>
      <c r="M285" s="15" t="s">
        <v>2570</v>
      </c>
      <c r="N285" s="25"/>
      <c r="O285" s="52">
        <v>64.5</v>
      </c>
      <c r="P285" s="17">
        <v>6</v>
      </c>
      <c r="Q285" s="26" t="s">
        <v>4904</v>
      </c>
      <c r="R285" s="24" t="s">
        <v>44</v>
      </c>
      <c r="S285" s="26" t="s">
        <v>87</v>
      </c>
      <c r="T285" s="16" t="s">
        <v>2572</v>
      </c>
      <c r="U285" s="18">
        <v>387</v>
      </c>
    </row>
    <row r="286" spans="1:21" ht="20.100000000000001" customHeight="1" x14ac:dyDescent="0.25">
      <c r="A286" s="24">
        <f>CADASTROS!$B$282</f>
        <v>280</v>
      </c>
      <c r="B286" s="15" t="str">
        <f>CADASTROS!$C$282</f>
        <v>Alexsandro Alves Gaspar</v>
      </c>
      <c r="C286" s="25"/>
      <c r="D286" s="25">
        <f>PLANILHA_COLHEITA_DIÁRIA!$I$456</f>
        <v>0</v>
      </c>
      <c r="E286" s="17">
        <v>6</v>
      </c>
      <c r="F286" s="26" t="str">
        <f>CADASTROS!$E$282</f>
        <v>Cx. Econômica</v>
      </c>
      <c r="G286" s="24">
        <f>CADASTROS!$F$282</f>
        <v>4825</v>
      </c>
      <c r="H286" s="26">
        <f>CADASTROS!$G$282</f>
        <v>1288</v>
      </c>
      <c r="I286" s="16" t="str">
        <f>CADASTROS!$H$282</f>
        <v>800126037-0</v>
      </c>
      <c r="J286" s="18">
        <f t="shared" si="11"/>
        <v>0</v>
      </c>
      <c r="L286" s="24">
        <f>CADASTROS!$B$948</f>
        <v>946</v>
      </c>
      <c r="M286" s="15" t="str">
        <f>CADASTROS!$C$948</f>
        <v xml:space="preserve">Nobertino Mauricio da Conceição </v>
      </c>
      <c r="N286" s="25"/>
      <c r="O286" s="52">
        <f>PLANILHA_COLHEITA_DIÁRIA!$I$1497</f>
        <v>50.5</v>
      </c>
      <c r="P286" s="17">
        <v>6</v>
      </c>
      <c r="Q286" s="26" t="str">
        <f>CADASTROS!$E$948</f>
        <v>Bradesco</v>
      </c>
      <c r="R286" s="24" t="str">
        <f>CADASTROS!$F$948</f>
        <v>3532-7</v>
      </c>
      <c r="S286" s="26" t="str">
        <f>CADASTROS!$G$948</f>
        <v>c/corr</v>
      </c>
      <c r="T286" s="16" t="str">
        <f>CADASTROS!$H$948</f>
        <v>0517291-8</v>
      </c>
      <c r="U286" s="18">
        <f t="shared" ref="U286:U288" si="14">O286*P286</f>
        <v>303</v>
      </c>
    </row>
    <row r="287" spans="1:21" ht="20.100000000000001" customHeight="1" x14ac:dyDescent="0.25">
      <c r="A287" s="24">
        <f>CADASTROS!$B$283</f>
        <v>281</v>
      </c>
      <c r="B287" s="15" t="str">
        <f>CADASTROS!$C$283</f>
        <v>Edvania de Souza Silva</v>
      </c>
      <c r="C287" s="25"/>
      <c r="D287" s="25">
        <f>PLANILHA_COLHEITA_DIÁRIA!$I$457</f>
        <v>0</v>
      </c>
      <c r="E287" s="17">
        <v>6</v>
      </c>
      <c r="F287" s="26" t="str">
        <f>CADASTROS!$E$283</f>
        <v>Bradesco</v>
      </c>
      <c r="G287" s="24" t="str">
        <f>CADASTROS!$F$283</f>
        <v>3801-6</v>
      </c>
      <c r="H287" s="26" t="str">
        <f>CADASTROS!$G$283</f>
        <v>poup</v>
      </c>
      <c r="I287" s="16" t="str">
        <f>CADASTROS!$H$283</f>
        <v>0003619-6</v>
      </c>
      <c r="J287" s="18">
        <f t="shared" si="11"/>
        <v>0</v>
      </c>
      <c r="L287" s="24">
        <f>CADASTROS!$B$1015</f>
        <v>1013</v>
      </c>
      <c r="M287" s="15" t="str">
        <f>CADASTROS!$C$1015</f>
        <v>Rosileide Brito Cerqueira</v>
      </c>
      <c r="N287" s="25"/>
      <c r="O287" s="52">
        <f>PLANILHA_COLHEITA_DIÁRIA!$I$1586</f>
        <v>124</v>
      </c>
      <c r="P287" s="17">
        <v>6</v>
      </c>
      <c r="Q287" s="26" t="str">
        <f>CADASTROS!$E$1015</f>
        <v>Cx. Econômica</v>
      </c>
      <c r="R287" s="24">
        <f>CADASTROS!$F$1015</f>
        <v>949</v>
      </c>
      <c r="S287" s="26">
        <f>CADASTROS!$G$1015</f>
        <v>1288</v>
      </c>
      <c r="T287" s="16" t="str">
        <f>CADASTROS!$H$1015</f>
        <v>798432683-6</v>
      </c>
      <c r="U287" s="18">
        <f t="shared" si="14"/>
        <v>744</v>
      </c>
    </row>
    <row r="288" spans="1:21" ht="20.100000000000001" customHeight="1" x14ac:dyDescent="0.25">
      <c r="A288" s="24">
        <f>CADASTROS!$B$284</f>
        <v>282</v>
      </c>
      <c r="B288" s="15" t="str">
        <f>CADASTROS!$C$284</f>
        <v>Dionei Ferreira Calado</v>
      </c>
      <c r="C288" s="25"/>
      <c r="D288" s="25">
        <f>PLANILHA_COLHEITA_DIÁRIA!$I$458</f>
        <v>0</v>
      </c>
      <c r="E288" s="17">
        <v>6</v>
      </c>
      <c r="F288" s="26" t="str">
        <f>CADASTROS!$E$284</f>
        <v>Bradesco</v>
      </c>
      <c r="G288" s="24">
        <f>CADASTROS!$F$284</f>
        <v>3925</v>
      </c>
      <c r="H288" s="26" t="str">
        <f>CADASTROS!$G$284</f>
        <v>poup</v>
      </c>
      <c r="I288" s="16" t="str">
        <f>CADASTROS!$H$284</f>
        <v>0316996-0</v>
      </c>
      <c r="J288" s="18">
        <f t="shared" si="11"/>
        <v>0</v>
      </c>
      <c r="L288" s="24">
        <f>CADASTROS!$B$1074</f>
        <v>1072</v>
      </c>
      <c r="M288" s="15" t="str">
        <f>CADASTROS!$C$1074</f>
        <v>Robevaldo Claudio dos Anjos</v>
      </c>
      <c r="N288" s="25"/>
      <c r="O288" s="42">
        <f>PLANILHA_COLHEITA_DIÁRIA!$I$1667</f>
        <v>30</v>
      </c>
      <c r="P288" s="17">
        <v>6</v>
      </c>
      <c r="Q288" s="26" t="str">
        <f>CADASTROS!$E$1074</f>
        <v>Cx. Econômica</v>
      </c>
      <c r="R288" s="24">
        <f>CADASTROS!$F$1074</f>
        <v>13</v>
      </c>
      <c r="S288" s="26">
        <f>CADASTROS!$G$1074</f>
        <v>23</v>
      </c>
      <c r="T288" s="16" t="str">
        <f>CADASTROS!$H$1074</f>
        <v>00008365-8</v>
      </c>
      <c r="U288" s="18">
        <f t="shared" si="14"/>
        <v>180</v>
      </c>
    </row>
    <row r="289" spans="1:21" ht="20.100000000000001" customHeight="1" x14ac:dyDescent="0.25">
      <c r="A289" s="24">
        <f>CADASTROS!$B$285</f>
        <v>283</v>
      </c>
      <c r="B289" s="15" t="str">
        <f>CADASTROS!$C$285</f>
        <v>Benedito José Miranda</v>
      </c>
      <c r="C289" s="25"/>
      <c r="D289" s="25">
        <f>PLANILHA_COLHEITA_DIÁRIA!$I$459</f>
        <v>0</v>
      </c>
      <c r="E289" s="17">
        <v>6</v>
      </c>
      <c r="F289" s="26" t="str">
        <f>CADASTROS!$E$285</f>
        <v>Cx. Econômica</v>
      </c>
      <c r="G289" s="24">
        <f>CADASTROS!$F$285</f>
        <v>4825</v>
      </c>
      <c r="H289" s="26">
        <f>CADASTROS!$G$285</f>
        <v>13</v>
      </c>
      <c r="I289" s="16" t="str">
        <f>CADASTROS!$H$285</f>
        <v>00022586-8</v>
      </c>
      <c r="J289" s="18">
        <f t="shared" si="11"/>
        <v>0</v>
      </c>
      <c r="L289" s="24">
        <v>1407</v>
      </c>
      <c r="M289" s="15" t="s">
        <v>1183</v>
      </c>
      <c r="N289" s="25"/>
      <c r="O289" s="42">
        <v>39</v>
      </c>
      <c r="P289" s="17">
        <v>6</v>
      </c>
      <c r="Q289" s="26" t="s">
        <v>4904</v>
      </c>
      <c r="R289" s="24" t="s">
        <v>2905</v>
      </c>
      <c r="S289" s="26" t="s">
        <v>4905</v>
      </c>
      <c r="T289" s="16" t="s">
        <v>2906</v>
      </c>
      <c r="U289" s="18">
        <v>234</v>
      </c>
    </row>
    <row r="290" spans="1:21" ht="20.100000000000001" customHeight="1" x14ac:dyDescent="0.25">
      <c r="A290" s="24">
        <f>CADASTROS!$B$286</f>
        <v>284</v>
      </c>
      <c r="B290" s="15" t="str">
        <f>CADASTROS!$C$286</f>
        <v>Noemia Conceição Araújo</v>
      </c>
      <c r="C290" s="25"/>
      <c r="D290" s="25">
        <f>PLANILHA_COLHEITA_DIÁRIA!$I$460</f>
        <v>0</v>
      </c>
      <c r="E290" s="17">
        <v>6</v>
      </c>
      <c r="F290" s="26" t="str">
        <f>CADASTROS!$E$286</f>
        <v>Cx. Econômica</v>
      </c>
      <c r="G290" s="24">
        <f>CADASTROS!$F$286</f>
        <v>4825</v>
      </c>
      <c r="H290" s="26">
        <f>CADASTROS!$G$286</f>
        <v>13</v>
      </c>
      <c r="I290" s="16" t="str">
        <f>CADASTROS!$H$286</f>
        <v>00011563-9</v>
      </c>
      <c r="J290" s="18">
        <f t="shared" si="11"/>
        <v>0</v>
      </c>
      <c r="L290" s="24">
        <v>1424</v>
      </c>
      <c r="M290" s="15" t="s">
        <v>2376</v>
      </c>
      <c r="N290" s="25"/>
      <c r="O290" s="42">
        <v>87</v>
      </c>
      <c r="P290" s="17">
        <v>6</v>
      </c>
      <c r="Q290" s="26" t="s">
        <v>4904</v>
      </c>
      <c r="R290" s="24">
        <v>7802</v>
      </c>
      <c r="S290" s="26" t="s">
        <v>22</v>
      </c>
      <c r="T290" s="16" t="s">
        <v>2938</v>
      </c>
      <c r="U290" s="18">
        <v>522</v>
      </c>
    </row>
    <row r="291" spans="1:21" ht="20.100000000000001" customHeight="1" x14ac:dyDescent="0.25">
      <c r="A291" s="24">
        <f>CADASTROS!$B$287</f>
        <v>285</v>
      </c>
      <c r="B291" s="15" t="str">
        <f>CADASTROS!$C$287</f>
        <v>André Costa Pires</v>
      </c>
      <c r="C291" s="25"/>
      <c r="D291" s="25">
        <f>PLANILHA_COLHEITA_DIÁRIA!$I$461</f>
        <v>0</v>
      </c>
      <c r="E291" s="17">
        <v>6</v>
      </c>
      <c r="F291" s="26" t="str">
        <f>CADASTROS!$E$287</f>
        <v>Cx. Econômica</v>
      </c>
      <c r="G291" s="24">
        <f>CADASTROS!$F$287</f>
        <v>3880</v>
      </c>
      <c r="H291" s="26">
        <f>CADASTROS!$G$287</f>
        <v>1288</v>
      </c>
      <c r="I291" s="16" t="str">
        <f>CADASTROS!$H$287</f>
        <v>979011661-1</v>
      </c>
      <c r="J291" s="18">
        <f t="shared" si="11"/>
        <v>0</v>
      </c>
      <c r="L291" s="24">
        <f>CADASTROS!$B$1184</f>
        <v>1182</v>
      </c>
      <c r="M291" s="15" t="str">
        <f>CADASTROS!$C$1184</f>
        <v>Lucivania da Silva Moura</v>
      </c>
      <c r="N291" s="25"/>
      <c r="O291" s="42">
        <f>PLANILHA_COLHEITA_DIÁRIA!$I$1821</f>
        <v>60</v>
      </c>
      <c r="P291" s="17">
        <v>6</v>
      </c>
      <c r="Q291" s="26" t="str">
        <f>CADASTROS!$E$1184</f>
        <v>Cx. Econômica</v>
      </c>
      <c r="R291" s="24">
        <f>CADASTROS!$F$1184</f>
        <v>4818</v>
      </c>
      <c r="S291" s="26">
        <f>CADASTROS!$G$1184</f>
        <v>0</v>
      </c>
      <c r="T291" s="16" t="str">
        <f>CADASTROS!$H$1184</f>
        <v>000854054369-7</v>
      </c>
      <c r="U291" s="18">
        <f>O291*P291</f>
        <v>360</v>
      </c>
    </row>
    <row r="292" spans="1:21" ht="20.100000000000001" customHeight="1" x14ac:dyDescent="0.25">
      <c r="A292" s="24">
        <f>CADASTROS!$B$288</f>
        <v>286</v>
      </c>
      <c r="B292" s="15" t="str">
        <f>CADASTROS!$C$288</f>
        <v>Elias dos Santos Ferreira</v>
      </c>
      <c r="C292" s="25"/>
      <c r="D292" s="25">
        <f>PLANILHA_COLHEITA_DIÁRIA!$I$462</f>
        <v>0</v>
      </c>
      <c r="E292" s="17">
        <v>6</v>
      </c>
      <c r="F292" s="26" t="str">
        <f>CADASTROS!$E$288</f>
        <v>Cx. Econômica</v>
      </c>
      <c r="G292" s="24">
        <f>CADASTROS!$F$288</f>
        <v>4825</v>
      </c>
      <c r="H292" s="26">
        <f>CADASTROS!$G$288</f>
        <v>1288</v>
      </c>
      <c r="I292" s="16" t="str">
        <f>CADASTROS!$H$288</f>
        <v>868729809-7</v>
      </c>
      <c r="J292" s="18">
        <f t="shared" si="11"/>
        <v>0</v>
      </c>
      <c r="L292" s="24">
        <f>CADASTROS!$B$1248</f>
        <v>1246</v>
      </c>
      <c r="M292" s="15" t="str">
        <f>CADASTROS!$C$1248</f>
        <v>Eliana Rosa de Souza</v>
      </c>
      <c r="N292" s="25"/>
      <c r="O292" s="42">
        <f>PLANILHA_COLHEITA_DIÁRIA!$I$1919</f>
        <v>28.5</v>
      </c>
      <c r="P292" s="17">
        <v>6</v>
      </c>
      <c r="Q292" s="26" t="str">
        <f>CADASTROS!$E$1248</f>
        <v>Cx. Econômica</v>
      </c>
      <c r="R292" s="24">
        <f>CADASTROS!$F$1248</f>
        <v>4825</v>
      </c>
      <c r="S292" s="26">
        <f>CADASTROS!$G$1248</f>
        <v>13</v>
      </c>
      <c r="T292" s="16" t="str">
        <f>CADASTROS!$H$1248</f>
        <v>00011941-3</v>
      </c>
      <c r="U292" s="18">
        <f t="shared" ref="U292:U293" si="15">O292*P292</f>
        <v>171</v>
      </c>
    </row>
    <row r="293" spans="1:21" ht="20.100000000000001" customHeight="1" x14ac:dyDescent="0.25">
      <c r="A293" s="24">
        <f>CADASTROS!$B$289</f>
        <v>287</v>
      </c>
      <c r="B293" s="15" t="str">
        <f>CADASTROS!$C$289</f>
        <v>Reizania Rosa de Souza</v>
      </c>
      <c r="C293" s="25"/>
      <c r="D293" s="35">
        <f>PLANILHA_COLHEITA_DIÁRIA!$I$463</f>
        <v>0</v>
      </c>
      <c r="E293" s="17">
        <v>6</v>
      </c>
      <c r="F293" s="26" t="str">
        <f>CADASTROS!$E$289</f>
        <v>Bradesco</v>
      </c>
      <c r="G293" s="24" t="str">
        <f>CADASTROS!$F$289</f>
        <v>3801-6</v>
      </c>
      <c r="H293" s="26" t="str">
        <f>CADASTROS!$G$289</f>
        <v>poup</v>
      </c>
      <c r="I293" s="16" t="str">
        <f>CADASTROS!$H$289</f>
        <v>1000045-9</v>
      </c>
      <c r="J293" s="18">
        <f t="shared" si="11"/>
        <v>0</v>
      </c>
      <c r="L293" s="24">
        <f>CADASTROS!$B$1249</f>
        <v>1247</v>
      </c>
      <c r="M293" s="15" t="str">
        <f>CADASTROS!$C$1249</f>
        <v>Elenir M. dos Anjos</v>
      </c>
      <c r="N293" s="25"/>
      <c r="O293" s="42">
        <f>PLANILHA_COLHEITA_DIÁRIA!$I$1920</f>
        <v>64</v>
      </c>
      <c r="P293" s="17">
        <v>6</v>
      </c>
      <c r="Q293" s="26" t="str">
        <f>CADASTROS!$E$1249</f>
        <v>Cx. Econômica</v>
      </c>
      <c r="R293" s="24">
        <f>CADASTROS!$F$1249</f>
        <v>949</v>
      </c>
      <c r="S293" s="26">
        <f>CADASTROS!$G$1249</f>
        <v>13</v>
      </c>
      <c r="T293" s="16" t="str">
        <f>CADASTROS!$H$1249</f>
        <v>00074265-3</v>
      </c>
      <c r="U293" s="18">
        <f t="shared" si="15"/>
        <v>384</v>
      </c>
    </row>
    <row r="294" spans="1:21" ht="20.100000000000001" customHeight="1" x14ac:dyDescent="0.25">
      <c r="A294" s="24">
        <f>CADASTROS!$B$290</f>
        <v>288</v>
      </c>
      <c r="B294" s="15" t="str">
        <f>CADASTROS!$C$290</f>
        <v>Terezinha Jesus de Souza</v>
      </c>
      <c r="C294" s="25"/>
      <c r="D294" s="25">
        <f>PLANILHA_COLHEITA_DIÁRIA!$I$480</f>
        <v>0</v>
      </c>
      <c r="E294" s="17">
        <v>6</v>
      </c>
      <c r="F294" s="26" t="str">
        <f>CADASTROS!$E$290</f>
        <v>Bradesco</v>
      </c>
      <c r="G294" s="24" t="str">
        <f>CADASTROS!$F$290</f>
        <v>3801-6</v>
      </c>
      <c r="H294" s="26" t="str">
        <f>CADASTROS!$G$290</f>
        <v>poup</v>
      </c>
      <c r="I294" s="16" t="str">
        <f>CADASTROS!$H$290</f>
        <v>0006056-9</v>
      </c>
      <c r="J294" s="18">
        <f t="shared" si="11"/>
        <v>0</v>
      </c>
      <c r="L294" s="24">
        <v>1578</v>
      </c>
      <c r="M294" s="15" t="s">
        <v>3220</v>
      </c>
      <c r="N294" s="25"/>
      <c r="O294" s="42">
        <v>57</v>
      </c>
      <c r="P294" s="17">
        <v>6</v>
      </c>
      <c r="Q294" s="26" t="s">
        <v>4904</v>
      </c>
      <c r="R294" s="24" t="s">
        <v>3221</v>
      </c>
      <c r="S294" s="26" t="s">
        <v>87</v>
      </c>
      <c r="T294" s="16" t="s">
        <v>3222</v>
      </c>
      <c r="U294" s="18">
        <v>342</v>
      </c>
    </row>
    <row r="295" spans="1:21" ht="20.100000000000001" customHeight="1" x14ac:dyDescent="0.25">
      <c r="A295" s="24">
        <f>CADASTROS!$B$291</f>
        <v>289</v>
      </c>
      <c r="B295" s="15" t="str">
        <f>CADASTROS!$C$291</f>
        <v>Edileusa Souza Costa</v>
      </c>
      <c r="C295" s="25"/>
      <c r="D295" s="52">
        <f>PLANILHA_COLHEITA_DIÁRIA!$I$481</f>
        <v>0</v>
      </c>
      <c r="E295" s="17">
        <v>6</v>
      </c>
      <c r="F295" s="26" t="str">
        <f>CADASTROS!$E$291</f>
        <v>Cx. Econômica</v>
      </c>
      <c r="G295" s="24">
        <f>CADASTROS!$F$291</f>
        <v>2281</v>
      </c>
      <c r="H295" s="26">
        <f>CADASTROS!$G$291</f>
        <v>1288</v>
      </c>
      <c r="I295" s="16" t="str">
        <f>CADASTROS!$H$291</f>
        <v>832289131-6</v>
      </c>
      <c r="J295" s="18">
        <f t="shared" si="11"/>
        <v>0</v>
      </c>
      <c r="L295" s="24">
        <v>1581</v>
      </c>
      <c r="M295" s="15" t="s">
        <v>3226</v>
      </c>
      <c r="N295" s="25"/>
      <c r="O295" s="42">
        <v>45.5</v>
      </c>
      <c r="P295" s="17">
        <v>6</v>
      </c>
      <c r="Q295" s="26" t="s">
        <v>4904</v>
      </c>
      <c r="R295" s="24" t="s">
        <v>3227</v>
      </c>
      <c r="S295" s="26" t="s">
        <v>22</v>
      </c>
      <c r="T295" s="16" t="s">
        <v>3228</v>
      </c>
      <c r="U295" s="18">
        <v>273</v>
      </c>
    </row>
    <row r="296" spans="1:21" ht="20.100000000000001" customHeight="1" x14ac:dyDescent="0.25">
      <c r="A296" s="24">
        <f>CADASTROS!$B$292</f>
        <v>290</v>
      </c>
      <c r="B296" s="15" t="str">
        <f>CADASTROS!$C$292</f>
        <v>Jaiara Moreira da Silva</v>
      </c>
      <c r="C296" s="25"/>
      <c r="D296" s="25">
        <f>PLANILHA_COLHEITA_DIÁRIA!$I$482</f>
        <v>0</v>
      </c>
      <c r="E296" s="17">
        <v>6</v>
      </c>
      <c r="F296" s="26" t="str">
        <f>CADASTROS!$E$292</f>
        <v>Cx. Econômica</v>
      </c>
      <c r="G296" s="24">
        <f>CADASTROS!$F$292</f>
        <v>2281</v>
      </c>
      <c r="H296" s="26">
        <f>CADASTROS!$G$292</f>
        <v>13</v>
      </c>
      <c r="I296" s="16" t="str">
        <f>CADASTROS!$H$292</f>
        <v>00035664-2</v>
      </c>
      <c r="J296" s="18">
        <f t="shared" si="11"/>
        <v>0</v>
      </c>
      <c r="L296" s="24">
        <v>1604</v>
      </c>
      <c r="M296" s="15" t="s">
        <v>3268</v>
      </c>
      <c r="N296" s="25"/>
      <c r="O296" s="42">
        <v>36.5</v>
      </c>
      <c r="P296" s="17">
        <v>6</v>
      </c>
      <c r="Q296" s="26" t="s">
        <v>4904</v>
      </c>
      <c r="R296" s="24" t="s">
        <v>264</v>
      </c>
      <c r="S296" s="26">
        <v>1288</v>
      </c>
      <c r="T296" s="16" t="s">
        <v>3269</v>
      </c>
      <c r="U296" s="18">
        <v>219</v>
      </c>
    </row>
    <row r="297" spans="1:21" ht="20.100000000000001" customHeight="1" x14ac:dyDescent="0.25">
      <c r="A297" s="24">
        <f>CADASTROS!$B$293</f>
        <v>291</v>
      </c>
      <c r="B297" s="15" t="str">
        <f>CADASTROS!$C$293</f>
        <v>Marone José de Souza</v>
      </c>
      <c r="C297" s="25"/>
      <c r="D297" s="25">
        <f>PLANILHA_COLHEITA_DIÁRIA!$I$483</f>
        <v>0</v>
      </c>
      <c r="E297" s="17">
        <v>6</v>
      </c>
      <c r="F297" s="26" t="str">
        <f>CADASTROS!$E$293</f>
        <v>Banco do Brasil</v>
      </c>
      <c r="G297" s="24" t="str">
        <f>CADASTROS!$F$293</f>
        <v>3833-4</v>
      </c>
      <c r="H297" s="26" t="str">
        <f>CADASTROS!$G$293</f>
        <v>c/poup</v>
      </c>
      <c r="I297" s="16" t="str">
        <f>CADASTROS!$H$293</f>
        <v>14.058-9</v>
      </c>
      <c r="J297" s="18">
        <f t="shared" si="11"/>
        <v>0</v>
      </c>
      <c r="L297" s="24">
        <v>1627</v>
      </c>
      <c r="M297" s="15" t="s">
        <v>4906</v>
      </c>
      <c r="N297" s="25"/>
      <c r="O297" s="42">
        <v>89.5</v>
      </c>
      <c r="P297" s="17">
        <v>6</v>
      </c>
      <c r="Q297" s="26" t="s">
        <v>4904</v>
      </c>
      <c r="R297" s="24">
        <v>3862</v>
      </c>
      <c r="S297" s="26" t="s">
        <v>22</v>
      </c>
      <c r="T297" s="16" t="s">
        <v>3317</v>
      </c>
      <c r="U297" s="18">
        <v>537</v>
      </c>
    </row>
    <row r="298" spans="1:21" ht="20.100000000000001" customHeight="1" x14ac:dyDescent="0.25">
      <c r="A298" s="24">
        <f>CADASTROS!$B$294</f>
        <v>292</v>
      </c>
      <c r="B298" s="15" t="str">
        <f>CADASTROS!$C$294</f>
        <v>Augusto F. M. Almeida</v>
      </c>
      <c r="C298" s="25"/>
      <c r="D298" s="25">
        <f>PLANILHA_COLHEITA_DIÁRIA!$I$484</f>
        <v>0</v>
      </c>
      <c r="E298" s="17">
        <v>6</v>
      </c>
      <c r="F298" s="26" t="str">
        <f>CADASTROS!$E$294</f>
        <v>Banco do Brasil</v>
      </c>
      <c r="G298" s="24" t="str">
        <f>CADASTROS!$F$294</f>
        <v>2876-2</v>
      </c>
      <c r="H298" s="26" t="str">
        <f>CADASTROS!$G$294</f>
        <v>c/poup</v>
      </c>
      <c r="I298" s="16" t="str">
        <f>CADASTROS!$H$294</f>
        <v>120.563-3</v>
      </c>
      <c r="J298" s="18">
        <f t="shared" si="11"/>
        <v>0</v>
      </c>
      <c r="L298" s="24">
        <v>1634</v>
      </c>
      <c r="M298" s="15" t="s">
        <v>3329</v>
      </c>
      <c r="N298" s="25"/>
      <c r="O298" s="42">
        <v>11</v>
      </c>
      <c r="P298" s="17">
        <v>6</v>
      </c>
      <c r="Q298" s="26" t="s">
        <v>4904</v>
      </c>
      <c r="R298" s="24" t="s">
        <v>44</v>
      </c>
      <c r="S298" s="26" t="s">
        <v>22</v>
      </c>
      <c r="T298" s="16" t="s">
        <v>3330</v>
      </c>
      <c r="U298" s="18">
        <v>66</v>
      </c>
    </row>
    <row r="299" spans="1:21" ht="20.100000000000001" customHeight="1" x14ac:dyDescent="0.25">
      <c r="A299" s="24">
        <f>CADASTROS!$B$295</f>
        <v>293</v>
      </c>
      <c r="B299" s="15" t="str">
        <f>CADASTROS!$C$295</f>
        <v>Damiana dos Santos</v>
      </c>
      <c r="C299" s="25"/>
      <c r="D299" s="41">
        <f>PLANILHA_COLHEITA_DIÁRIA!$I$485</f>
        <v>0</v>
      </c>
      <c r="E299" s="17">
        <v>6</v>
      </c>
      <c r="F299" s="26" t="str">
        <f>CADASTROS!$E$295</f>
        <v>Cx. Econômica</v>
      </c>
      <c r="G299" s="24">
        <f>CADASTROS!$F$295</f>
        <v>4825</v>
      </c>
      <c r="H299" s="26">
        <f>CADASTROS!$G$295</f>
        <v>13</v>
      </c>
      <c r="I299" s="16" t="str">
        <f>CADASTROS!$H$295</f>
        <v>00008970-0</v>
      </c>
      <c r="J299" s="18">
        <f t="shared" si="11"/>
        <v>0</v>
      </c>
      <c r="L299" s="24">
        <v>1650</v>
      </c>
      <c r="M299" s="15" t="s">
        <v>3365</v>
      </c>
      <c r="N299" s="25"/>
      <c r="O299" s="42">
        <v>43</v>
      </c>
      <c r="P299" s="17">
        <v>6</v>
      </c>
      <c r="Q299" s="26" t="s">
        <v>4904</v>
      </c>
      <c r="R299" s="24" t="s">
        <v>72</v>
      </c>
      <c r="S299" s="26" t="s">
        <v>37</v>
      </c>
      <c r="T299" s="16" t="s">
        <v>3366</v>
      </c>
      <c r="U299" s="18">
        <v>258</v>
      </c>
    </row>
    <row r="300" spans="1:21" ht="20.100000000000001" customHeight="1" x14ac:dyDescent="0.25">
      <c r="A300" s="24">
        <f>CADASTROS!$B$296</f>
        <v>294</v>
      </c>
      <c r="B300" s="15" t="str">
        <f>CADASTROS!$C$296</f>
        <v>Luzimar dos Santos Lima</v>
      </c>
      <c r="C300" s="25"/>
      <c r="D300" s="25">
        <f>PLANILHA_COLHEITA_DIÁRIA!$I$486</f>
        <v>0</v>
      </c>
      <c r="E300" s="17">
        <v>6</v>
      </c>
      <c r="F300" s="26" t="str">
        <f>CADASTROS!$E$296</f>
        <v>Cx. Econômica</v>
      </c>
      <c r="G300" s="24">
        <f>CADASTROS!$F$296</f>
        <v>4825</v>
      </c>
      <c r="H300" s="26">
        <f>CADASTROS!$G$296</f>
        <v>13</v>
      </c>
      <c r="I300" s="16" t="str">
        <f>CADASTROS!$H$296</f>
        <v>00020435-6</v>
      </c>
      <c r="J300" s="18">
        <f t="shared" si="11"/>
        <v>0</v>
      </c>
      <c r="L300" s="24">
        <v>1675</v>
      </c>
      <c r="M300" s="15" t="s">
        <v>3411</v>
      </c>
      <c r="N300" s="25"/>
      <c r="O300" s="42">
        <v>70</v>
      </c>
      <c r="P300" s="17">
        <v>6</v>
      </c>
      <c r="Q300" s="26" t="s">
        <v>4904</v>
      </c>
      <c r="R300" s="24" t="s">
        <v>72</v>
      </c>
      <c r="S300" s="26" t="s">
        <v>37</v>
      </c>
      <c r="T300" s="16" t="s">
        <v>3412</v>
      </c>
      <c r="U300" s="18">
        <v>420</v>
      </c>
    </row>
    <row r="301" spans="1:21" ht="20.100000000000001" customHeight="1" x14ac:dyDescent="0.25">
      <c r="A301" s="24">
        <f>CADASTROS!$B$297</f>
        <v>295</v>
      </c>
      <c r="B301" s="15" t="str">
        <f>CADASTROS!$C$297</f>
        <v>Girlane Fernandes dos Santos</v>
      </c>
      <c r="C301" s="25"/>
      <c r="D301" s="25">
        <f>PLANILHA_COLHEITA_DIÁRIA!$I$487</f>
        <v>0</v>
      </c>
      <c r="E301" s="17">
        <v>6</v>
      </c>
      <c r="F301" s="26" t="str">
        <f>CADASTROS!$E$297</f>
        <v>Cx. Econômica</v>
      </c>
      <c r="G301" s="24">
        <f>CADASTROS!$F$297</f>
        <v>3880</v>
      </c>
      <c r="H301" s="26">
        <f>CADASTROS!$G$297</f>
        <v>1288</v>
      </c>
      <c r="I301" s="16" t="str">
        <f>CADASTROS!$H$297</f>
        <v>848409646-5</v>
      </c>
      <c r="J301" s="18">
        <f t="shared" si="11"/>
        <v>0</v>
      </c>
      <c r="L301" s="24">
        <v>1680</v>
      </c>
      <c r="M301" s="15" t="s">
        <v>3422</v>
      </c>
      <c r="N301" s="25"/>
      <c r="O301" s="42">
        <v>12</v>
      </c>
      <c r="P301" s="17">
        <v>6</v>
      </c>
      <c r="Q301" s="26" t="s">
        <v>4904</v>
      </c>
      <c r="R301" s="24" t="s">
        <v>72</v>
      </c>
      <c r="S301" s="26" t="s">
        <v>37</v>
      </c>
      <c r="T301" s="16" t="s">
        <v>3423</v>
      </c>
      <c r="U301" s="18">
        <v>72</v>
      </c>
    </row>
    <row r="302" spans="1:21" ht="20.100000000000001" customHeight="1" x14ac:dyDescent="0.25">
      <c r="A302" s="24">
        <f>CADASTROS!$B$298</f>
        <v>296</v>
      </c>
      <c r="B302" s="15" t="str">
        <f>CADASTROS!$C$298</f>
        <v>Lusivete Soares Passos</v>
      </c>
      <c r="C302" s="25"/>
      <c r="D302" s="25">
        <f>PLANILHA_COLHEITA_DIÁRIA!$I$488</f>
        <v>0</v>
      </c>
      <c r="E302" s="17">
        <v>6</v>
      </c>
      <c r="F302" s="26" t="str">
        <f>CADASTROS!$E$298</f>
        <v>Banco do Brasil</v>
      </c>
      <c r="G302" s="24" t="str">
        <f>CADASTROS!$F$298</f>
        <v>2760-X</v>
      </c>
      <c r="H302" s="26">
        <f>CADASTROS!$G$298</f>
        <v>0</v>
      </c>
      <c r="I302" s="16" t="str">
        <f>CADASTROS!$H$298</f>
        <v>24.104-0</v>
      </c>
      <c r="J302" s="18">
        <f t="shared" si="11"/>
        <v>0</v>
      </c>
      <c r="L302" s="24">
        <v>1681</v>
      </c>
      <c r="M302" s="15" t="s">
        <v>3424</v>
      </c>
      <c r="N302" s="25"/>
      <c r="O302" s="42">
        <v>42.5</v>
      </c>
      <c r="P302" s="17">
        <v>6</v>
      </c>
      <c r="Q302" s="26" t="s">
        <v>4904</v>
      </c>
      <c r="R302" s="24" t="s">
        <v>3425</v>
      </c>
      <c r="S302" s="26" t="s">
        <v>37</v>
      </c>
      <c r="T302" s="16" t="s">
        <v>3426</v>
      </c>
      <c r="U302" s="18">
        <v>255</v>
      </c>
    </row>
    <row r="303" spans="1:21" ht="20.100000000000001" customHeight="1" x14ac:dyDescent="0.25">
      <c r="A303" s="24">
        <f>CADASTROS!$B$299</f>
        <v>297</v>
      </c>
      <c r="B303" s="15" t="str">
        <f>CADASTROS!$C$299</f>
        <v>Luciana Lopes de Jesus</v>
      </c>
      <c r="C303" s="25"/>
      <c r="D303" s="25">
        <f>PLANILHA_COLHEITA_DIÁRIA!$I$489</f>
        <v>0</v>
      </c>
      <c r="E303" s="17">
        <v>6</v>
      </c>
      <c r="F303" s="26" t="str">
        <f>CADASTROS!$E$299</f>
        <v>Bradesco</v>
      </c>
      <c r="G303" s="24" t="str">
        <f>CADASTROS!$F$299</f>
        <v>3801-6</v>
      </c>
      <c r="H303" s="26" t="str">
        <f>CADASTROS!$G$299</f>
        <v>poup</v>
      </c>
      <c r="I303" s="16" t="str">
        <f>CADASTROS!$H$299</f>
        <v>0061228-6</v>
      </c>
      <c r="J303" s="18">
        <f t="shared" si="11"/>
        <v>0</v>
      </c>
      <c r="L303" s="24">
        <v>1699</v>
      </c>
      <c r="M303" s="15" t="s">
        <v>3461</v>
      </c>
      <c r="N303" s="25"/>
      <c r="O303" s="42">
        <v>164</v>
      </c>
      <c r="P303" s="17">
        <v>6</v>
      </c>
      <c r="Q303" s="26" t="s">
        <v>4904</v>
      </c>
      <c r="R303" s="24">
        <v>3655</v>
      </c>
      <c r="S303" s="26" t="s">
        <v>37</v>
      </c>
      <c r="T303" s="16" t="s">
        <v>3462</v>
      </c>
      <c r="U303" s="18">
        <v>984</v>
      </c>
    </row>
    <row r="304" spans="1:21" ht="20.100000000000001" customHeight="1" x14ac:dyDescent="0.25">
      <c r="A304" s="24">
        <f>CADASTROS!$B$300</f>
        <v>298</v>
      </c>
      <c r="B304" s="15" t="str">
        <f>CADASTROS!$C$300</f>
        <v>Antoniel Oliveira Barreto</v>
      </c>
      <c r="C304" s="25"/>
      <c r="D304" s="25">
        <f>PLANILHA_COLHEITA_DIÁRIA!$I$490</f>
        <v>0</v>
      </c>
      <c r="E304" s="17">
        <v>6</v>
      </c>
      <c r="F304" s="26" t="str">
        <f>CADASTROS!$E$300</f>
        <v>Bradesco</v>
      </c>
      <c r="G304" s="24">
        <f>CADASTROS!$F$300</f>
        <v>3943</v>
      </c>
      <c r="H304" s="26">
        <f>CADASTROS!$G$300</f>
        <v>0</v>
      </c>
      <c r="I304" s="16" t="str">
        <f>CADASTROS!$H$300</f>
        <v>13638-7</v>
      </c>
      <c r="J304" s="18">
        <f t="shared" si="11"/>
        <v>0</v>
      </c>
      <c r="L304" s="24">
        <v>1701</v>
      </c>
      <c r="M304" s="15" t="s">
        <v>3464</v>
      </c>
      <c r="N304" s="25"/>
      <c r="O304" s="42">
        <v>21</v>
      </c>
      <c r="P304" s="17">
        <v>6</v>
      </c>
      <c r="Q304" s="26" t="s">
        <v>4904</v>
      </c>
      <c r="R304" s="24">
        <v>3532</v>
      </c>
      <c r="S304" s="26" t="s">
        <v>37</v>
      </c>
      <c r="T304" s="16" t="s">
        <v>3465</v>
      </c>
      <c r="U304" s="18">
        <v>126</v>
      </c>
    </row>
    <row r="305" spans="1:21" ht="20.100000000000001" customHeight="1" x14ac:dyDescent="0.25">
      <c r="A305" s="24">
        <f>CADASTROS!$B$301</f>
        <v>299</v>
      </c>
      <c r="B305" s="15" t="str">
        <f>CADASTROS!$C$301</f>
        <v>Ailton Sateles Barreto</v>
      </c>
      <c r="C305" s="25"/>
      <c r="D305" s="35">
        <f>PLANILHA_COLHEITA_DIÁRIA!$I$491</f>
        <v>0</v>
      </c>
      <c r="E305" s="17">
        <v>6</v>
      </c>
      <c r="F305" s="26" t="str">
        <f>CADASTROS!$E$301</f>
        <v>Cx. Econômica</v>
      </c>
      <c r="G305" s="24">
        <f>CADASTROS!$F$301</f>
        <v>941</v>
      </c>
      <c r="H305" s="26">
        <f>CADASTROS!$G$301</f>
        <v>13</v>
      </c>
      <c r="I305" s="16" t="str">
        <f>CADASTROS!$H$301</f>
        <v>00057966-0</v>
      </c>
      <c r="J305" s="18">
        <f t="shared" si="11"/>
        <v>0</v>
      </c>
      <c r="L305" s="24">
        <v>1724</v>
      </c>
      <c r="M305" s="15" t="s">
        <v>3508</v>
      </c>
      <c r="N305" s="25"/>
      <c r="O305" s="42">
        <v>14</v>
      </c>
      <c r="P305" s="17">
        <v>6</v>
      </c>
      <c r="Q305" s="26" t="s">
        <v>4904</v>
      </c>
      <c r="R305" s="24" t="s">
        <v>108</v>
      </c>
      <c r="S305" s="26" t="s">
        <v>22</v>
      </c>
      <c r="T305" s="16" t="s">
        <v>3509</v>
      </c>
      <c r="U305" s="18">
        <v>84</v>
      </c>
    </row>
    <row r="306" spans="1:21" ht="20.100000000000001" customHeight="1" x14ac:dyDescent="0.25">
      <c r="A306" s="24">
        <f>CADASTROS!$B$302</f>
        <v>300</v>
      </c>
      <c r="B306" s="15" t="str">
        <f>CADASTROS!$C$302</f>
        <v>Edilson Souza Lima</v>
      </c>
      <c r="C306" s="25"/>
      <c r="D306" s="25">
        <f>PLANILHA_COLHEITA_DIÁRIA!$I$492</f>
        <v>0</v>
      </c>
      <c r="E306" s="17">
        <v>6</v>
      </c>
      <c r="F306" s="26" t="str">
        <f>CADASTROS!$E$302</f>
        <v>Cx. Econômica</v>
      </c>
      <c r="G306" s="24">
        <f>CADASTROS!$F$302</f>
        <v>4818</v>
      </c>
      <c r="H306" s="26">
        <f>CADASTROS!$G$302</f>
        <v>1288</v>
      </c>
      <c r="I306" s="16" t="str">
        <f>CADASTROS!$H$302</f>
        <v>764459955-0</v>
      </c>
      <c r="J306" s="18">
        <f t="shared" si="11"/>
        <v>0</v>
      </c>
      <c r="L306" s="24">
        <v>1733</v>
      </c>
      <c r="M306" s="15" t="s">
        <v>3526</v>
      </c>
      <c r="N306" s="25"/>
      <c r="O306" s="42">
        <v>9</v>
      </c>
      <c r="P306" s="17">
        <v>6</v>
      </c>
      <c r="Q306" s="26" t="s">
        <v>4904</v>
      </c>
      <c r="R306" s="24" t="s">
        <v>431</v>
      </c>
      <c r="S306" s="26" t="s">
        <v>37</v>
      </c>
      <c r="T306" s="16" t="s">
        <v>3527</v>
      </c>
      <c r="U306" s="18">
        <v>54</v>
      </c>
    </row>
    <row r="307" spans="1:21" ht="20.100000000000001" customHeight="1" x14ac:dyDescent="0.25">
      <c r="A307" s="24">
        <f>CADASTROS!$B$303</f>
        <v>301</v>
      </c>
      <c r="B307" s="15" t="str">
        <f>CADASTROS!$C$303</f>
        <v>Simone Ferreira Silva</v>
      </c>
      <c r="C307" s="25"/>
      <c r="D307" s="25">
        <f>PLANILHA_COLHEITA_DIÁRIA!$I$493</f>
        <v>0</v>
      </c>
      <c r="E307" s="17">
        <v>6</v>
      </c>
      <c r="F307" s="26" t="str">
        <f>CADASTROS!$E$303</f>
        <v>Cx. Econômica</v>
      </c>
      <c r="G307" s="24">
        <f>CADASTROS!$F$303</f>
        <v>4825</v>
      </c>
      <c r="H307" s="26">
        <f>CADASTROS!$G$303</f>
        <v>13</v>
      </c>
      <c r="I307" s="16" t="str">
        <f>CADASTROS!$H$303</f>
        <v>00020728-2</v>
      </c>
      <c r="J307" s="18">
        <f t="shared" si="11"/>
        <v>0</v>
      </c>
      <c r="L307" s="24">
        <v>1739</v>
      </c>
      <c r="M307" s="15" t="s">
        <v>3537</v>
      </c>
      <c r="N307" s="25"/>
      <c r="O307" s="42">
        <v>14</v>
      </c>
      <c r="P307" s="17">
        <v>6</v>
      </c>
      <c r="Q307" s="26" t="s">
        <v>4904</v>
      </c>
      <c r="R307" s="24" t="s">
        <v>72</v>
      </c>
      <c r="S307" s="26" t="s">
        <v>37</v>
      </c>
      <c r="T307" s="16" t="s">
        <v>3538</v>
      </c>
      <c r="U307" s="18">
        <v>84</v>
      </c>
    </row>
    <row r="308" spans="1:21" ht="20.100000000000001" customHeight="1" x14ac:dyDescent="0.25">
      <c r="A308" s="24">
        <f>CADASTROS!$B$304</f>
        <v>302</v>
      </c>
      <c r="B308" s="15" t="str">
        <f>CADASTROS!$C$304</f>
        <v>Reini Rosa A. Souza</v>
      </c>
      <c r="C308" s="25"/>
      <c r="D308" s="25">
        <f>PLANILHA_COLHEITA_DIÁRIA!$I$494</f>
        <v>0</v>
      </c>
      <c r="E308" s="17">
        <v>6</v>
      </c>
      <c r="F308" s="26" t="str">
        <f>CADASTROS!$E$304</f>
        <v>Banco do Brasil</v>
      </c>
      <c r="G308" s="24" t="str">
        <f>CADASTROS!$F$304</f>
        <v>1025-1</v>
      </c>
      <c r="H308" s="26" t="str">
        <f>CADASTROS!$G$304</f>
        <v>c/poup</v>
      </c>
      <c r="I308" s="16" t="str">
        <f>CADASTROS!$H$304</f>
        <v>14.851-2</v>
      </c>
      <c r="J308" s="18">
        <f t="shared" si="11"/>
        <v>0</v>
      </c>
      <c r="L308" s="24">
        <v>1753</v>
      </c>
      <c r="M308" s="15" t="s">
        <v>3566</v>
      </c>
      <c r="N308" s="25"/>
      <c r="O308" s="42">
        <v>79.5</v>
      </c>
      <c r="P308" s="17">
        <v>6</v>
      </c>
      <c r="Q308" s="26" t="s">
        <v>4904</v>
      </c>
      <c r="R308" s="24" t="s">
        <v>3567</v>
      </c>
      <c r="S308" s="26" t="s">
        <v>37</v>
      </c>
      <c r="T308" s="16" t="s">
        <v>3568</v>
      </c>
      <c r="U308" s="18">
        <v>477</v>
      </c>
    </row>
    <row r="309" spans="1:21" ht="20.100000000000001" customHeight="1" x14ac:dyDescent="0.25">
      <c r="A309" s="24">
        <f>CADASTROS!$B$305</f>
        <v>303</v>
      </c>
      <c r="B309" s="15" t="str">
        <f>CADASTROS!$C$305</f>
        <v>Tais Pinheiro Dourado</v>
      </c>
      <c r="C309" s="25"/>
      <c r="D309" s="25">
        <f>PLANILHA_COLHEITA_DIÁRIA!$I$495</f>
        <v>0</v>
      </c>
      <c r="E309" s="17">
        <v>6</v>
      </c>
      <c r="F309" s="26" t="str">
        <f>CADASTROS!$E$305</f>
        <v>Cx. Econômica</v>
      </c>
      <c r="G309" s="24">
        <f>CADASTROS!$F$305</f>
        <v>4818</v>
      </c>
      <c r="H309" s="26">
        <f>CADASTROS!$G$305</f>
        <v>1288</v>
      </c>
      <c r="I309" s="16" t="str">
        <f>CADASTROS!$H$305</f>
        <v>849661842-9</v>
      </c>
      <c r="J309" s="18">
        <f t="shared" si="11"/>
        <v>0</v>
      </c>
      <c r="L309" s="24">
        <v>1762</v>
      </c>
      <c r="M309" s="15" t="s">
        <v>3587</v>
      </c>
      <c r="N309" s="25"/>
      <c r="O309" s="42">
        <v>22.5</v>
      </c>
      <c r="P309" s="17">
        <v>6</v>
      </c>
      <c r="Q309" s="26" t="s">
        <v>4904</v>
      </c>
      <c r="R309" s="24" t="s">
        <v>264</v>
      </c>
      <c r="S309" s="26" t="s">
        <v>1944</v>
      </c>
      <c r="T309" s="16" t="s">
        <v>3588</v>
      </c>
      <c r="U309" s="18">
        <v>135</v>
      </c>
    </row>
    <row r="310" spans="1:21" ht="20.100000000000001" customHeight="1" x14ac:dyDescent="0.25">
      <c r="A310" s="24">
        <f>CADASTROS!$B$306</f>
        <v>304</v>
      </c>
      <c r="B310" s="15" t="str">
        <f>CADASTROS!$C$306</f>
        <v>Maria de Lourdes Pereira</v>
      </c>
      <c r="C310" s="25"/>
      <c r="D310" s="52">
        <f>PLANILHA_COLHEITA_DIÁRIA!$I$496</f>
        <v>0</v>
      </c>
      <c r="E310" s="17">
        <v>6</v>
      </c>
      <c r="F310" s="26" t="str">
        <f>CADASTROS!$E$306</f>
        <v>Bradesco</v>
      </c>
      <c r="G310" s="24" t="str">
        <f>CADASTROS!$F$306</f>
        <v>3532-7</v>
      </c>
      <c r="H310" s="26" t="str">
        <f>CADASTROS!$G$306</f>
        <v>poup</v>
      </c>
      <c r="I310" s="16" t="str">
        <f>CADASTROS!$H$306</f>
        <v>0024643-3</v>
      </c>
      <c r="J310" s="18">
        <f t="shared" si="11"/>
        <v>0</v>
      </c>
      <c r="L310" s="24">
        <v>1803</v>
      </c>
      <c r="M310" s="15" t="s">
        <v>3673</v>
      </c>
      <c r="N310" s="25"/>
      <c r="O310" s="42">
        <v>29</v>
      </c>
      <c r="P310" s="17">
        <v>6</v>
      </c>
      <c r="Q310" s="26" t="s">
        <v>4904</v>
      </c>
      <c r="R310" s="24" t="s">
        <v>431</v>
      </c>
      <c r="S310" s="26" t="s">
        <v>37</v>
      </c>
      <c r="T310" s="16" t="s">
        <v>3674</v>
      </c>
      <c r="U310" s="18">
        <v>174</v>
      </c>
    </row>
    <row r="311" spans="1:21" ht="20.100000000000001" customHeight="1" x14ac:dyDescent="0.25">
      <c r="A311" s="24">
        <f>CADASTROS!$B$307</f>
        <v>305</v>
      </c>
      <c r="B311" s="15" t="str">
        <f>CADASTROS!$C$307</f>
        <v>Laiane Sampaio Santos</v>
      </c>
      <c r="C311" s="25"/>
      <c r="D311" s="25">
        <f>PLANILHA_COLHEITA_DIÁRIA!$I$497</f>
        <v>0</v>
      </c>
      <c r="E311" s="17">
        <v>6</v>
      </c>
      <c r="F311" s="26" t="str">
        <f>CADASTROS!$E$307</f>
        <v>Cx. Econômica</v>
      </c>
      <c r="G311" s="24">
        <f>CADASTROS!$F$307</f>
        <v>949</v>
      </c>
      <c r="H311" s="26">
        <f>CADASTROS!$G$307</f>
        <v>1288</v>
      </c>
      <c r="I311" s="16" t="str">
        <f>CADASTROS!$H$307</f>
        <v>743997438-8</v>
      </c>
      <c r="J311" s="18">
        <f t="shared" si="11"/>
        <v>0</v>
      </c>
      <c r="L311" s="24">
        <v>1812</v>
      </c>
      <c r="M311" s="15" t="s">
        <v>4907</v>
      </c>
      <c r="N311" s="25"/>
      <c r="O311" s="42">
        <v>158</v>
      </c>
      <c r="P311" s="17">
        <v>6</v>
      </c>
      <c r="Q311" s="26" t="s">
        <v>4904</v>
      </c>
      <c r="R311" s="24">
        <v>7615</v>
      </c>
      <c r="S311" s="26" t="s">
        <v>37</v>
      </c>
      <c r="T311" s="16" t="s">
        <v>4908</v>
      </c>
      <c r="U311" s="18">
        <v>948</v>
      </c>
    </row>
    <row r="312" spans="1:21" ht="20.100000000000001" customHeight="1" x14ac:dyDescent="0.25">
      <c r="A312" s="24">
        <f>CADASTROS!$B$308</f>
        <v>306</v>
      </c>
      <c r="B312" s="15" t="str">
        <f>CADASTROS!$C$308</f>
        <v>Rosileide Andrade Araújo</v>
      </c>
      <c r="C312" s="25"/>
      <c r="D312" s="25">
        <f>PLANILHA_COLHEITA_DIÁRIA!$I$498</f>
        <v>0</v>
      </c>
      <c r="E312" s="17">
        <v>6</v>
      </c>
      <c r="F312" s="26" t="str">
        <f>CADASTROS!$E$308</f>
        <v>Cx. Econômica</v>
      </c>
      <c r="G312" s="24">
        <f>CADASTROS!$F$308</f>
        <v>949</v>
      </c>
      <c r="H312" s="26">
        <f>CADASTROS!$G$308</f>
        <v>23</v>
      </c>
      <c r="I312" s="16" t="str">
        <f>CADASTROS!$H$308</f>
        <v>00013252-6</v>
      </c>
      <c r="J312" s="18">
        <f t="shared" si="11"/>
        <v>0</v>
      </c>
      <c r="L312" s="24">
        <v>1813</v>
      </c>
      <c r="M312" s="15" t="s">
        <v>4909</v>
      </c>
      <c r="N312" s="25"/>
      <c r="O312" s="42">
        <v>140</v>
      </c>
      <c r="P312" s="17">
        <v>6</v>
      </c>
      <c r="Q312" s="26" t="s">
        <v>4904</v>
      </c>
      <c r="R312" s="24" t="s">
        <v>4910</v>
      </c>
      <c r="S312" s="26" t="s">
        <v>22</v>
      </c>
      <c r="T312" s="16" t="s">
        <v>3694</v>
      </c>
      <c r="U312" s="18">
        <v>840</v>
      </c>
    </row>
    <row r="313" spans="1:21" ht="20.100000000000001" customHeight="1" x14ac:dyDescent="0.25">
      <c r="A313" s="24">
        <f>CADASTROS!$B$309</f>
        <v>307</v>
      </c>
      <c r="B313" s="15" t="str">
        <f>CADASTROS!$C$309</f>
        <v>Lusinete Oliveira de Sousa</v>
      </c>
      <c r="C313" s="25"/>
      <c r="D313" s="25">
        <f>PLANILHA_COLHEITA_DIÁRIA!$I$499</f>
        <v>0</v>
      </c>
      <c r="E313" s="17">
        <v>6</v>
      </c>
      <c r="F313" s="26" t="str">
        <f>CADASTROS!$E$309</f>
        <v>Banco do Brasil</v>
      </c>
      <c r="G313" s="24" t="str">
        <f>CADASTROS!$F$309</f>
        <v>2760-X</v>
      </c>
      <c r="H313" s="26" t="str">
        <f>CADASTROS!$G$309</f>
        <v>c/poup</v>
      </c>
      <c r="I313" s="16" t="str">
        <f>CADASTROS!$H$309</f>
        <v>7.366-0</v>
      </c>
      <c r="J313" s="18">
        <f t="shared" si="11"/>
        <v>0</v>
      </c>
      <c r="L313" s="24">
        <v>1822</v>
      </c>
      <c r="M313" s="15" t="s">
        <v>3713</v>
      </c>
      <c r="N313" s="25"/>
      <c r="O313" s="42">
        <v>53.5</v>
      </c>
      <c r="P313" s="17">
        <v>6</v>
      </c>
      <c r="Q313" s="26" t="s">
        <v>4904</v>
      </c>
      <c r="R313" s="24">
        <v>3801</v>
      </c>
      <c r="S313" s="26" t="s">
        <v>37</v>
      </c>
      <c r="T313" s="16" t="s">
        <v>3714</v>
      </c>
      <c r="U313" s="18">
        <v>321</v>
      </c>
    </row>
    <row r="314" spans="1:21" ht="20.100000000000001" customHeight="1" x14ac:dyDescent="0.25">
      <c r="A314" s="24">
        <f>CADASTROS!$B$310</f>
        <v>308</v>
      </c>
      <c r="B314" s="15" t="str">
        <f>CADASTROS!$C$310</f>
        <v>Mª Aparecida Brandão de Oliveira</v>
      </c>
      <c r="C314" s="25"/>
      <c r="D314" s="25">
        <f>PLANILHA_COLHEITA_DIÁRIA!$I$500</f>
        <v>0</v>
      </c>
      <c r="E314" s="17">
        <v>6</v>
      </c>
      <c r="F314" s="26" t="str">
        <f>CADASTROS!$E$310</f>
        <v>Cx. Econômica</v>
      </c>
      <c r="G314" s="24">
        <f>CADASTROS!$F$310</f>
        <v>949</v>
      </c>
      <c r="H314" s="26">
        <f>CADASTROS!$G$310</f>
        <v>23</v>
      </c>
      <c r="I314" s="16" t="str">
        <f>CADASTROS!$H$310</f>
        <v>00024133-3</v>
      </c>
      <c r="J314" s="18">
        <f t="shared" si="11"/>
        <v>0</v>
      </c>
      <c r="L314" s="24">
        <v>1825</v>
      </c>
      <c r="M314" s="15" t="s">
        <v>3719</v>
      </c>
      <c r="N314" s="25"/>
      <c r="O314" s="42">
        <v>66</v>
      </c>
      <c r="P314" s="17">
        <v>6</v>
      </c>
      <c r="Q314" s="26" t="s">
        <v>4904</v>
      </c>
      <c r="R314" s="24">
        <v>3655</v>
      </c>
      <c r="S314" s="26" t="s">
        <v>37</v>
      </c>
      <c r="T314" s="16" t="s">
        <v>3720</v>
      </c>
      <c r="U314" s="18">
        <v>396</v>
      </c>
    </row>
    <row r="315" spans="1:21" ht="20.100000000000001" customHeight="1" x14ac:dyDescent="0.25">
      <c r="A315" s="24">
        <f>CADASTROS!$B$311</f>
        <v>309</v>
      </c>
      <c r="B315" s="15" t="str">
        <f>CADASTROS!$C$311</f>
        <v>Juliano Renato F. Soares</v>
      </c>
      <c r="C315" s="25"/>
      <c r="D315" s="25">
        <f>PLANILHA_COLHEITA_DIÁRIA!$I$501</f>
        <v>0</v>
      </c>
      <c r="E315" s="17">
        <v>6</v>
      </c>
      <c r="F315" s="26" t="str">
        <f>CADASTROS!$E$311</f>
        <v>Cx. Econômica</v>
      </c>
      <c r="G315" s="24">
        <f>CADASTROS!$F$311</f>
        <v>3880</v>
      </c>
      <c r="H315" s="26" t="str">
        <f>CADASTROS!$G$311</f>
        <v>Aux.Bras</v>
      </c>
      <c r="I315" s="16" t="str">
        <f>CADASTROS!$H$311</f>
        <v>963925876-3</v>
      </c>
      <c r="J315" s="18">
        <f t="shared" si="11"/>
        <v>0</v>
      </c>
      <c r="L315" s="24">
        <v>1829</v>
      </c>
      <c r="M315" s="15" t="s">
        <v>3728</v>
      </c>
      <c r="N315" s="25"/>
      <c r="O315" s="42">
        <v>20</v>
      </c>
      <c r="P315" s="17">
        <v>6</v>
      </c>
      <c r="Q315" s="26" t="s">
        <v>4904</v>
      </c>
      <c r="R315" s="24">
        <v>3801</v>
      </c>
      <c r="S315" s="26" t="s">
        <v>37</v>
      </c>
      <c r="T315" s="16" t="s">
        <v>3729</v>
      </c>
      <c r="U315" s="18">
        <v>120</v>
      </c>
    </row>
    <row r="316" spans="1:21" ht="20.100000000000001" customHeight="1" x14ac:dyDescent="0.25">
      <c r="A316" s="24">
        <f>CADASTROS!$B$312</f>
        <v>310</v>
      </c>
      <c r="B316" s="15" t="str">
        <f>CADASTROS!$C$312</f>
        <v>Alex Souza Campos</v>
      </c>
      <c r="C316" s="25"/>
      <c r="D316" s="25">
        <f>PLANILHA_COLHEITA_DIÁRIA!$I$502</f>
        <v>0</v>
      </c>
      <c r="E316" s="17">
        <v>6</v>
      </c>
      <c r="F316" s="26" t="str">
        <f>CADASTROS!$E$312</f>
        <v>Cx. Econômica</v>
      </c>
      <c r="G316" s="24">
        <f>CADASTROS!$F$312</f>
        <v>4818</v>
      </c>
      <c r="H316" s="26">
        <f>CADASTROS!$G$312</f>
        <v>1288</v>
      </c>
      <c r="I316" s="16" t="str">
        <f>CADASTROS!$H$312</f>
        <v>846280171-9</v>
      </c>
      <c r="J316" s="18">
        <f t="shared" si="11"/>
        <v>0</v>
      </c>
      <c r="L316" s="24">
        <v>1837</v>
      </c>
      <c r="M316" s="15" t="s">
        <v>3743</v>
      </c>
      <c r="N316" s="25"/>
      <c r="O316" s="42">
        <v>34</v>
      </c>
      <c r="P316" s="17">
        <v>6</v>
      </c>
      <c r="Q316" s="26" t="s">
        <v>4904</v>
      </c>
      <c r="R316" s="24">
        <v>2018</v>
      </c>
      <c r="S316" s="26" t="s">
        <v>37</v>
      </c>
      <c r="T316" s="16" t="s">
        <v>3744</v>
      </c>
      <c r="U316" s="18">
        <v>204</v>
      </c>
    </row>
    <row r="317" spans="1:21" ht="20.100000000000001" customHeight="1" x14ac:dyDescent="0.25">
      <c r="A317" s="24">
        <f>CADASTROS!$B$313</f>
        <v>311</v>
      </c>
      <c r="B317" s="15" t="str">
        <f>CADASTROS!$C$313</f>
        <v>Zeilda Alves Souza Filha</v>
      </c>
      <c r="C317" s="25"/>
      <c r="D317" s="25">
        <f>PLANILHA_COLHEITA_DIÁRIA!$I$503</f>
        <v>0</v>
      </c>
      <c r="E317" s="17">
        <v>6</v>
      </c>
      <c r="F317" s="26" t="str">
        <f>CADASTROS!$E$313</f>
        <v>Banco do Brasil</v>
      </c>
      <c r="G317" s="24" t="str">
        <f>CADASTROS!$F$313</f>
        <v>1696-9</v>
      </c>
      <c r="H317" s="26">
        <v>23</v>
      </c>
      <c r="I317" s="16" t="str">
        <f>CADASTROS!$H$313</f>
        <v>11.684-X</v>
      </c>
      <c r="J317" s="18">
        <f t="shared" si="11"/>
        <v>0</v>
      </c>
      <c r="L317" s="24">
        <v>1839</v>
      </c>
      <c r="M317" s="15" t="s">
        <v>3747</v>
      </c>
      <c r="N317" s="25"/>
      <c r="O317" s="42">
        <v>45.5</v>
      </c>
      <c r="P317" s="17">
        <v>6</v>
      </c>
      <c r="Q317" s="26" t="s">
        <v>4904</v>
      </c>
      <c r="R317" s="24">
        <v>3862</v>
      </c>
      <c r="S317" s="26" t="s">
        <v>22</v>
      </c>
      <c r="T317" s="16" t="s">
        <v>3748</v>
      </c>
      <c r="U317" s="18">
        <v>273</v>
      </c>
    </row>
    <row r="318" spans="1:21" ht="20.100000000000001" customHeight="1" x14ac:dyDescent="0.25">
      <c r="A318" s="24">
        <f>CADASTROS!$B$314</f>
        <v>312</v>
      </c>
      <c r="B318" s="15" t="str">
        <f>CADASTROS!$C$314</f>
        <v>Anatilde Saturniz de Souza</v>
      </c>
      <c r="C318" s="25"/>
      <c r="D318" s="52">
        <f>PLANILHA_COLHEITA_DIÁRIA!$I$504</f>
        <v>0</v>
      </c>
      <c r="E318" s="17">
        <v>6</v>
      </c>
      <c r="F318" s="26" t="str">
        <f>CADASTROS!$E$314</f>
        <v>Bradesco</v>
      </c>
      <c r="G318" s="24">
        <f>CADASTROS!$F$314</f>
        <v>3801</v>
      </c>
      <c r="H318" s="26" t="str">
        <f>CADASTROS!$G$314</f>
        <v>c/poup</v>
      </c>
      <c r="I318" s="16" t="str">
        <f>CADASTROS!$H$314</f>
        <v>0640007-8</v>
      </c>
      <c r="J318" s="18">
        <f t="shared" si="11"/>
        <v>0</v>
      </c>
      <c r="L318" s="24">
        <v>1840</v>
      </c>
      <c r="M318" s="15" t="s">
        <v>3749</v>
      </c>
      <c r="N318" s="25"/>
      <c r="O318" s="42">
        <v>33</v>
      </c>
      <c r="P318" s="17">
        <v>6</v>
      </c>
      <c r="Q318" s="26" t="s">
        <v>4904</v>
      </c>
      <c r="R318" s="24">
        <v>7320</v>
      </c>
      <c r="S318" s="26">
        <v>0</v>
      </c>
      <c r="T318" s="16" t="s">
        <v>3750</v>
      </c>
      <c r="U318" s="18">
        <v>198</v>
      </c>
    </row>
    <row r="319" spans="1:21" ht="20.100000000000001" customHeight="1" x14ac:dyDescent="0.25">
      <c r="A319" s="24">
        <f>CADASTROS!$B$315</f>
        <v>313</v>
      </c>
      <c r="B319" s="15" t="str">
        <f>CADASTROS!$C$315</f>
        <v>Manoel de Souza Moraes</v>
      </c>
      <c r="C319" s="25"/>
      <c r="D319" s="25">
        <f>PLANILHA_COLHEITA_DIÁRIA!$I$505</f>
        <v>0</v>
      </c>
      <c r="E319" s="17">
        <v>6</v>
      </c>
      <c r="F319" s="26" t="str">
        <f>CADASTROS!$E$315</f>
        <v>Cx. Econômica</v>
      </c>
      <c r="G319" s="24">
        <f>CADASTROS!$F$315</f>
        <v>4818</v>
      </c>
      <c r="H319" s="26" t="str">
        <f>CADASTROS!$G$315</f>
        <v>013</v>
      </c>
      <c r="I319" s="16" t="str">
        <f>CADASTROS!$H$315</f>
        <v>00008008-0</v>
      </c>
      <c r="J319" s="18">
        <f t="shared" si="11"/>
        <v>0</v>
      </c>
      <c r="L319" s="24">
        <v>1841</v>
      </c>
      <c r="M319" s="15" t="s">
        <v>2928</v>
      </c>
      <c r="N319" s="25"/>
      <c r="O319" s="42">
        <v>24</v>
      </c>
      <c r="P319" s="17">
        <v>6</v>
      </c>
      <c r="Q319" s="26" t="s">
        <v>4904</v>
      </c>
      <c r="R319" s="24">
        <v>3801</v>
      </c>
      <c r="S319" s="26">
        <v>0</v>
      </c>
      <c r="T319" s="16" t="s">
        <v>2930</v>
      </c>
      <c r="U319" s="18">
        <v>144</v>
      </c>
    </row>
    <row r="320" spans="1:21" ht="20.100000000000001" customHeight="1" x14ac:dyDescent="0.25">
      <c r="A320" s="24">
        <f>CADASTROS!$B$316</f>
        <v>314</v>
      </c>
      <c r="B320" s="15" t="str">
        <f>CADASTROS!$C$316</f>
        <v>Sueli Santana Santos</v>
      </c>
      <c r="C320" s="25"/>
      <c r="D320" s="25">
        <f>PLANILHA_COLHEITA_DIÁRIA!$I$506</f>
        <v>0</v>
      </c>
      <c r="E320" s="17">
        <v>6</v>
      </c>
      <c r="F320" s="26" t="str">
        <f>CADASTROS!$E$316</f>
        <v>Cx. Econômica</v>
      </c>
      <c r="G320" s="24">
        <f>CADASTROS!$F$316</f>
        <v>4818</v>
      </c>
      <c r="H320" s="26">
        <f>CADASTROS!$G$316</f>
        <v>1288</v>
      </c>
      <c r="I320" s="16" t="str">
        <f>CADASTROS!$H$316</f>
        <v>839938025-1</v>
      </c>
      <c r="J320" s="18">
        <f t="shared" si="11"/>
        <v>0</v>
      </c>
      <c r="L320" s="24">
        <v>1844</v>
      </c>
      <c r="M320" s="15" t="s">
        <v>3755</v>
      </c>
      <c r="N320" s="25"/>
      <c r="O320" s="42">
        <v>48</v>
      </c>
      <c r="P320" s="17">
        <v>6</v>
      </c>
      <c r="Q320" s="26" t="s">
        <v>4904</v>
      </c>
      <c r="R320" s="24">
        <v>3801</v>
      </c>
      <c r="S320" s="26" t="s">
        <v>37</v>
      </c>
      <c r="T320" s="16" t="s">
        <v>3756</v>
      </c>
      <c r="U320" s="18">
        <v>288</v>
      </c>
    </row>
    <row r="321" spans="1:21" ht="23.25" x14ac:dyDescent="0.35">
      <c r="B321" s="220"/>
      <c r="C321" s="220"/>
      <c r="D321" s="12">
        <f>SUM(D276:D320)</f>
        <v>39</v>
      </c>
      <c r="E321" s="12"/>
      <c r="F321" s="225"/>
      <c r="G321" s="226"/>
      <c r="H321" s="226"/>
      <c r="I321" s="227"/>
      <c r="J321" s="14">
        <f>SUM(J276:J320)</f>
        <v>234</v>
      </c>
      <c r="L321" s="44"/>
      <c r="M321" s="228"/>
      <c r="N321" s="229"/>
      <c r="O321" s="45">
        <f>SUM(O276:O320)</f>
        <v>2349.5</v>
      </c>
      <c r="P321" s="45"/>
      <c r="Q321" s="200" t="s">
        <v>4869</v>
      </c>
      <c r="R321" s="201"/>
      <c r="S321" s="201"/>
      <c r="T321" s="202"/>
      <c r="U321" s="46">
        <f>SUM(U276:U320)</f>
        <v>14097</v>
      </c>
    </row>
    <row r="323" spans="1:21" ht="16.5" thickBot="1" x14ac:dyDescent="0.3">
      <c r="L323" s="203" t="s">
        <v>4843</v>
      </c>
      <c r="M323" s="203"/>
      <c r="N323" s="203"/>
      <c r="O323" s="203"/>
      <c r="P323" s="203"/>
      <c r="Q323" s="203"/>
      <c r="R323" s="203"/>
      <c r="S323" s="203"/>
      <c r="T323" s="203"/>
      <c r="U323" s="203"/>
    </row>
    <row r="324" spans="1:21" ht="17.25" thickTop="1" thickBot="1" x14ac:dyDescent="0.3">
      <c r="A324" s="213" t="s">
        <v>4816</v>
      </c>
      <c r="B324" s="213"/>
      <c r="C324" s="213"/>
      <c r="D324" s="213"/>
      <c r="E324" s="213"/>
      <c r="F324" s="213"/>
      <c r="G324" s="213"/>
      <c r="H324" s="213"/>
      <c r="I324" s="213"/>
      <c r="J324" s="213"/>
      <c r="L324" s="204" t="s">
        <v>4902</v>
      </c>
      <c r="M324" s="204"/>
      <c r="N324" s="204"/>
      <c r="O324" s="204"/>
      <c r="P324" s="204"/>
      <c r="Q324" s="204"/>
      <c r="R324" s="204"/>
      <c r="S324" s="204"/>
      <c r="T324" s="204"/>
      <c r="U324" s="204"/>
    </row>
    <row r="325" spans="1:21" ht="20.100000000000001" customHeight="1" thickBot="1" x14ac:dyDescent="0.3">
      <c r="A325" s="214" t="s">
        <v>4843</v>
      </c>
      <c r="B325" s="214"/>
      <c r="C325" s="214"/>
      <c r="D325" s="214"/>
      <c r="E325" s="214"/>
      <c r="F325" s="214"/>
      <c r="G325" s="214"/>
      <c r="H325" s="214"/>
      <c r="I325" s="214"/>
      <c r="J325" s="214"/>
      <c r="L325" s="49" t="s">
        <v>4846</v>
      </c>
      <c r="M325" s="205" t="s">
        <v>1</v>
      </c>
      <c r="N325" s="205" t="s">
        <v>2</v>
      </c>
      <c r="O325" s="209" t="s">
        <v>4847</v>
      </c>
      <c r="P325" s="50" t="s">
        <v>4848</v>
      </c>
      <c r="Q325" s="205" t="s">
        <v>3</v>
      </c>
      <c r="R325" s="205" t="s">
        <v>4</v>
      </c>
      <c r="S325" s="205" t="s">
        <v>5</v>
      </c>
      <c r="T325" s="205" t="s">
        <v>6</v>
      </c>
      <c r="U325" s="230" t="s">
        <v>4849</v>
      </c>
    </row>
    <row r="326" spans="1:21" ht="20.100000000000001" customHeight="1" thickTop="1" thickBot="1" x14ac:dyDescent="0.3">
      <c r="A326" s="215" t="s">
        <v>4844</v>
      </c>
      <c r="B326" s="215"/>
      <c r="C326" s="215"/>
      <c r="D326" s="215"/>
      <c r="E326" s="215"/>
      <c r="F326" s="215"/>
      <c r="G326" s="215"/>
      <c r="H326" s="215"/>
      <c r="I326" s="215"/>
      <c r="J326" s="215"/>
      <c r="L326" s="51" t="s">
        <v>4850</v>
      </c>
      <c r="M326" s="206"/>
      <c r="N326" s="206"/>
      <c r="O326" s="210"/>
      <c r="P326" s="166" t="s">
        <v>4851</v>
      </c>
      <c r="Q326" s="206"/>
      <c r="R326" s="206"/>
      <c r="S326" s="206"/>
      <c r="T326" s="206"/>
      <c r="U326" s="231"/>
    </row>
    <row r="327" spans="1:21" ht="20.100000000000001" customHeight="1" x14ac:dyDescent="0.25">
      <c r="A327" s="19" t="s">
        <v>4846</v>
      </c>
      <c r="B327" s="216" t="s">
        <v>1</v>
      </c>
      <c r="C327" s="221" t="s">
        <v>2</v>
      </c>
      <c r="D327" s="223" t="s">
        <v>4847</v>
      </c>
      <c r="E327" s="20" t="s">
        <v>4848</v>
      </c>
      <c r="F327" s="216" t="s">
        <v>3</v>
      </c>
      <c r="G327" s="216" t="s">
        <v>4</v>
      </c>
      <c r="H327" s="216" t="s">
        <v>5</v>
      </c>
      <c r="I327" s="216" t="s">
        <v>6</v>
      </c>
      <c r="J327" s="218" t="s">
        <v>4849</v>
      </c>
      <c r="L327" s="24">
        <v>1850</v>
      </c>
      <c r="M327" s="15" t="s">
        <v>1144</v>
      </c>
      <c r="N327" s="25"/>
      <c r="O327" s="42">
        <v>194.5</v>
      </c>
      <c r="P327" s="17">
        <v>6</v>
      </c>
      <c r="Q327" s="26" t="s">
        <v>4904</v>
      </c>
      <c r="R327" s="24">
        <v>3801</v>
      </c>
      <c r="S327" s="26" t="s">
        <v>37</v>
      </c>
      <c r="T327" s="16" t="s">
        <v>3766</v>
      </c>
      <c r="U327" s="18">
        <v>1167</v>
      </c>
    </row>
    <row r="328" spans="1:21" ht="19.5" customHeight="1" thickBot="1" x14ac:dyDescent="0.3">
      <c r="A328" s="21" t="s">
        <v>4850</v>
      </c>
      <c r="B328" s="217"/>
      <c r="C328" s="222"/>
      <c r="D328" s="224"/>
      <c r="E328" s="161" t="s">
        <v>4851</v>
      </c>
      <c r="F328" s="217"/>
      <c r="G328" s="217"/>
      <c r="H328" s="217"/>
      <c r="I328" s="217"/>
      <c r="J328" s="219"/>
      <c r="L328" s="24">
        <v>1852</v>
      </c>
      <c r="M328" s="15" t="s">
        <v>3769</v>
      </c>
      <c r="N328" s="25"/>
      <c r="O328" s="42">
        <v>81</v>
      </c>
      <c r="P328" s="17">
        <v>6</v>
      </c>
      <c r="Q328" s="26" t="s">
        <v>4904</v>
      </c>
      <c r="R328" s="24">
        <v>3871</v>
      </c>
      <c r="S328" s="26" t="s">
        <v>22</v>
      </c>
      <c r="T328" s="16" t="s">
        <v>3770</v>
      </c>
      <c r="U328" s="18">
        <v>486</v>
      </c>
    </row>
    <row r="329" spans="1:21" ht="19.5" customHeight="1" x14ac:dyDescent="0.25">
      <c r="A329" s="24">
        <f>CADASTROS!$B$317</f>
        <v>315</v>
      </c>
      <c r="B329" s="15" t="str">
        <f>CADASTROS!$C$317</f>
        <v>Mª de Lurdes dos  R. de Oliveira</v>
      </c>
      <c r="C329" s="25"/>
      <c r="D329" s="25">
        <f>PLANILHA_COLHEITA_DIÁRIA!$I$524</f>
        <v>0</v>
      </c>
      <c r="E329" s="17">
        <v>6</v>
      </c>
      <c r="F329" s="26" t="str">
        <f>CADASTROS!$E$317</f>
        <v>Cx. Econômica</v>
      </c>
      <c r="G329" s="24">
        <f>CADASTROS!$F$317</f>
        <v>4818</v>
      </c>
      <c r="H329" s="26">
        <f>CADASTROS!$G$317</f>
        <v>1288</v>
      </c>
      <c r="I329" s="16" t="str">
        <f>CADASTROS!$H$317</f>
        <v>871268882-5</v>
      </c>
      <c r="J329" s="18">
        <f t="shared" ref="J329:J373" si="16">D329*E329</f>
        <v>0</v>
      </c>
      <c r="L329" s="24">
        <v>1856</v>
      </c>
      <c r="M329" s="15" t="s">
        <v>3777</v>
      </c>
      <c r="N329" s="25"/>
      <c r="O329" s="42">
        <v>47.5</v>
      </c>
      <c r="P329" s="17">
        <v>6</v>
      </c>
      <c r="Q329" s="26" t="s">
        <v>4904</v>
      </c>
      <c r="R329" s="24">
        <v>3801</v>
      </c>
      <c r="S329" s="26" t="s">
        <v>37</v>
      </c>
      <c r="T329" s="16" t="s">
        <v>3778</v>
      </c>
      <c r="U329" s="18">
        <v>285</v>
      </c>
    </row>
    <row r="330" spans="1:21" ht="19.5" customHeight="1" x14ac:dyDescent="0.25">
      <c r="A330" s="24">
        <f>CADASTROS!$B$318</f>
        <v>316</v>
      </c>
      <c r="B330" s="15" t="str">
        <f>CADASTROS!$C$318</f>
        <v>Selma Oliveira Farias</v>
      </c>
      <c r="C330" s="25"/>
      <c r="D330" s="25">
        <f>PLANILHA_COLHEITA_DIÁRIA!$I$525</f>
        <v>0</v>
      </c>
      <c r="E330" s="17">
        <v>6</v>
      </c>
      <c r="F330" s="26" t="str">
        <f>CADASTROS!$E$318</f>
        <v>Cx. Econômica</v>
      </c>
      <c r="G330" s="24">
        <f>CADASTROS!$F$318</f>
        <v>949</v>
      </c>
      <c r="H330" s="26">
        <f>CADASTROS!$G$318</f>
        <v>13</v>
      </c>
      <c r="I330" s="16" t="str">
        <f>CADASTROS!$H$318</f>
        <v>00078841-6</v>
      </c>
      <c r="J330" s="18">
        <f t="shared" si="16"/>
        <v>0</v>
      </c>
      <c r="L330" s="24">
        <v>1868</v>
      </c>
      <c r="M330" s="15" t="s">
        <v>3800</v>
      </c>
      <c r="N330" s="25"/>
      <c r="O330" s="42">
        <v>18</v>
      </c>
      <c r="P330" s="17">
        <v>6</v>
      </c>
      <c r="Q330" s="26" t="s">
        <v>4904</v>
      </c>
      <c r="R330" s="24">
        <v>3871</v>
      </c>
      <c r="S330" s="26" t="s">
        <v>22</v>
      </c>
      <c r="T330" s="16" t="s">
        <v>3801</v>
      </c>
      <c r="U330" s="18">
        <v>108</v>
      </c>
    </row>
    <row r="331" spans="1:21" ht="19.5" customHeight="1" x14ac:dyDescent="0.25">
      <c r="A331" s="24">
        <f>CADASTROS!$B$319</f>
        <v>317</v>
      </c>
      <c r="B331" s="15" t="str">
        <f>CADASTROS!$C$319</f>
        <v>Lusmar Ribeiro dos Santos</v>
      </c>
      <c r="C331" s="25"/>
      <c r="D331" s="35">
        <f>PLANILHA_COLHEITA_DIÁRIA!$I$526</f>
        <v>0</v>
      </c>
      <c r="E331" s="17">
        <v>6</v>
      </c>
      <c r="F331" s="26" t="str">
        <f>CADASTROS!$E$319</f>
        <v>Bradesco</v>
      </c>
      <c r="G331" s="24" t="str">
        <f>CADASTROS!$F$319</f>
        <v>3616-1</v>
      </c>
      <c r="H331" s="26" t="str">
        <f>CADASTROS!$G$319</f>
        <v>c/Poup</v>
      </c>
      <c r="I331" s="16" t="str">
        <f>CADASTROS!$H$319</f>
        <v>1001358-5</v>
      </c>
      <c r="J331" s="18">
        <f t="shared" si="16"/>
        <v>0</v>
      </c>
      <c r="L331" s="24">
        <v>1869</v>
      </c>
      <c r="M331" s="15" t="s">
        <v>3802</v>
      </c>
      <c r="N331" s="25"/>
      <c r="O331" s="42">
        <v>134.5</v>
      </c>
      <c r="P331" s="17">
        <v>6</v>
      </c>
      <c r="Q331" s="26" t="s">
        <v>4904</v>
      </c>
      <c r="R331" s="24">
        <v>3801</v>
      </c>
      <c r="S331" s="26" t="s">
        <v>37</v>
      </c>
      <c r="T331" s="16" t="s">
        <v>3803</v>
      </c>
      <c r="U331" s="18">
        <v>807</v>
      </c>
    </row>
    <row r="332" spans="1:21" ht="19.5" customHeight="1" x14ac:dyDescent="0.25">
      <c r="A332" s="24">
        <f>CADASTROS!$B$320</f>
        <v>318</v>
      </c>
      <c r="B332" s="15" t="str">
        <f>CADASTROS!$C$320</f>
        <v>Simone Miranda de Souza</v>
      </c>
      <c r="C332" s="25"/>
      <c r="D332" s="25">
        <f>PLANILHA_COLHEITA_DIÁRIA!$I$527</f>
        <v>0</v>
      </c>
      <c r="E332" s="17">
        <v>6</v>
      </c>
      <c r="F332" s="26" t="str">
        <f>CADASTROS!$E$320</f>
        <v>Cx. Econômica</v>
      </c>
      <c r="G332" s="24">
        <f>CADASTROS!$F$320</f>
        <v>949</v>
      </c>
      <c r="H332" s="26" t="str">
        <f>CADASTROS!$G$320</f>
        <v>023</v>
      </c>
      <c r="I332" s="16" t="str">
        <f>CADASTROS!$H$320</f>
        <v>00024149-0</v>
      </c>
      <c r="J332" s="18">
        <f t="shared" si="16"/>
        <v>0</v>
      </c>
      <c r="L332" s="24">
        <v>1872</v>
      </c>
      <c r="M332" s="15" t="s">
        <v>3808</v>
      </c>
      <c r="N332" s="25"/>
      <c r="O332" s="42">
        <v>23.5</v>
      </c>
      <c r="P332" s="17">
        <v>6</v>
      </c>
      <c r="Q332" s="26" t="s">
        <v>4904</v>
      </c>
      <c r="R332" s="24">
        <v>3532</v>
      </c>
      <c r="S332" s="26" t="s">
        <v>22</v>
      </c>
      <c r="T332" s="16" t="s">
        <v>3809</v>
      </c>
      <c r="U332" s="18">
        <v>141</v>
      </c>
    </row>
    <row r="333" spans="1:21" ht="18" customHeight="1" x14ac:dyDescent="0.25">
      <c r="A333" s="24">
        <f>CADASTROS!$B$321</f>
        <v>319</v>
      </c>
      <c r="B333" s="15" t="str">
        <f>CADASTROS!$C$321</f>
        <v>José Ferreira Alves</v>
      </c>
      <c r="C333" s="25"/>
      <c r="D333" s="25">
        <f>PLANILHA_COLHEITA_DIÁRIA!$I$528</f>
        <v>0</v>
      </c>
      <c r="E333" s="17">
        <v>6</v>
      </c>
      <c r="F333" s="26" t="str">
        <f>CADASTROS!$E$321</f>
        <v>Bradesco</v>
      </c>
      <c r="G333" s="24" t="str">
        <f>CADASTROS!$F$321</f>
        <v>3801-6</v>
      </c>
      <c r="H333" s="26" t="str">
        <f>CADASTROS!$G$321</f>
        <v>c/Poup</v>
      </c>
      <c r="I333" s="16" t="str">
        <f>CADASTROS!$H$321</f>
        <v>0604098-5</v>
      </c>
      <c r="J333" s="18">
        <f t="shared" si="16"/>
        <v>0</v>
      </c>
      <c r="L333" s="24">
        <v>1878</v>
      </c>
      <c r="M333" s="15" t="s">
        <v>3821</v>
      </c>
      <c r="N333" s="25"/>
      <c r="O333" s="42">
        <v>48.5</v>
      </c>
      <c r="P333" s="17">
        <v>6</v>
      </c>
      <c r="Q333" s="26" t="s">
        <v>4904</v>
      </c>
      <c r="R333" s="24">
        <v>3801</v>
      </c>
      <c r="S333" s="26" t="s">
        <v>22</v>
      </c>
      <c r="T333" s="16" t="s">
        <v>3822</v>
      </c>
      <c r="U333" s="18">
        <v>291</v>
      </c>
    </row>
    <row r="334" spans="1:21" ht="15.6" customHeight="1" x14ac:dyDescent="0.25">
      <c r="A334" s="24">
        <f>CADASTROS!$B$322</f>
        <v>320</v>
      </c>
      <c r="B334" s="15" t="str">
        <f>CADASTROS!$C$322</f>
        <v>Daniel Santos Ferreira</v>
      </c>
      <c r="C334" s="25"/>
      <c r="D334" s="25">
        <f>PLANILHA_COLHEITA_DIÁRIA!$I$529</f>
        <v>0</v>
      </c>
      <c r="E334" s="17">
        <v>6</v>
      </c>
      <c r="F334" s="26" t="str">
        <f>CADASTROS!$E$322</f>
        <v>Cx. Econômica</v>
      </c>
      <c r="G334" s="24">
        <f>CADASTROS!$F$322</f>
        <v>4825</v>
      </c>
      <c r="H334" s="26" t="str">
        <f>CADASTROS!$G$322</f>
        <v>013</v>
      </c>
      <c r="I334" s="16" t="str">
        <f>CADASTROS!$H$322</f>
        <v>00004628-9</v>
      </c>
      <c r="J334" s="18">
        <f t="shared" si="16"/>
        <v>0</v>
      </c>
      <c r="L334" s="24">
        <v>1880</v>
      </c>
      <c r="M334" s="15" t="s">
        <v>3824</v>
      </c>
      <c r="N334" s="25"/>
      <c r="O334" s="42">
        <v>15</v>
      </c>
      <c r="P334" s="17">
        <v>6</v>
      </c>
      <c r="Q334" s="26" t="s">
        <v>4904</v>
      </c>
      <c r="R334" s="24">
        <v>3801</v>
      </c>
      <c r="S334" s="26" t="s">
        <v>37</v>
      </c>
      <c r="T334" s="16" t="s">
        <v>3825</v>
      </c>
      <c r="U334" s="18">
        <v>90</v>
      </c>
    </row>
    <row r="335" spans="1:21" ht="15.6" customHeight="1" x14ac:dyDescent="0.25">
      <c r="A335" s="24">
        <f>CADASTROS!$B$323</f>
        <v>321</v>
      </c>
      <c r="B335" s="15" t="str">
        <f>CADASTROS!$C$323</f>
        <v>Valéria Martins Santos</v>
      </c>
      <c r="C335" s="25"/>
      <c r="D335" s="25">
        <f>PLANILHA_COLHEITA_DIÁRIA!$I$530</f>
        <v>0</v>
      </c>
      <c r="E335" s="17">
        <v>6</v>
      </c>
      <c r="F335" s="26" t="str">
        <f>CADASTROS!$E$323</f>
        <v>Cx. Econômica</v>
      </c>
      <c r="G335" s="24">
        <f>CADASTROS!$F$323</f>
        <v>3204</v>
      </c>
      <c r="H335" s="26" t="str">
        <f>CADASTROS!$G$323</f>
        <v>013</v>
      </c>
      <c r="I335" s="16" t="str">
        <f>CADASTROS!$H$323</f>
        <v>00022281-9</v>
      </c>
      <c r="J335" s="18">
        <f t="shared" si="16"/>
        <v>0</v>
      </c>
      <c r="L335" s="24">
        <v>1884</v>
      </c>
      <c r="M335" s="15" t="s">
        <v>612</v>
      </c>
      <c r="N335" s="25"/>
      <c r="O335" s="42">
        <v>64.5</v>
      </c>
      <c r="P335" s="17">
        <v>6</v>
      </c>
      <c r="Q335" s="26" t="s">
        <v>4904</v>
      </c>
      <c r="R335" s="24">
        <v>3801</v>
      </c>
      <c r="S335" s="26" t="s">
        <v>37</v>
      </c>
      <c r="T335" s="16" t="s">
        <v>613</v>
      </c>
      <c r="U335" s="18">
        <v>387</v>
      </c>
    </row>
    <row r="336" spans="1:21" ht="15.6" customHeight="1" x14ac:dyDescent="0.25">
      <c r="A336" s="24">
        <f>CADASTROS!$B$324</f>
        <v>322</v>
      </c>
      <c r="B336" s="15" t="str">
        <f>CADASTROS!$C$324</f>
        <v>Geová dos Santos</v>
      </c>
      <c r="C336" s="25"/>
      <c r="D336" s="25">
        <f>PLANILHA_COLHEITA_DIÁRIA!$I$531</f>
        <v>0</v>
      </c>
      <c r="E336" s="17">
        <v>6</v>
      </c>
      <c r="F336" s="26" t="str">
        <f>CADASTROS!$E$324</f>
        <v>Cx. Econômica</v>
      </c>
      <c r="G336" s="24">
        <f>CADASTROS!$F$324</f>
        <v>4825</v>
      </c>
      <c r="H336" s="26" t="str">
        <f>CADASTROS!$G$324</f>
        <v>013</v>
      </c>
      <c r="I336" s="16" t="str">
        <f>CADASTROS!$H$324</f>
        <v>00012602-9</v>
      </c>
      <c r="J336" s="18">
        <f t="shared" si="16"/>
        <v>0</v>
      </c>
      <c r="L336" s="24">
        <v>1887</v>
      </c>
      <c r="M336" s="15" t="s">
        <v>3837</v>
      </c>
      <c r="N336" s="25"/>
      <c r="O336" s="42">
        <v>18.5</v>
      </c>
      <c r="P336" s="17">
        <v>6</v>
      </c>
      <c r="Q336" s="26" t="s">
        <v>4904</v>
      </c>
      <c r="R336" s="24">
        <v>3801</v>
      </c>
      <c r="S336" s="26" t="s">
        <v>37</v>
      </c>
      <c r="T336" s="16" t="s">
        <v>3838</v>
      </c>
      <c r="U336" s="18">
        <v>111</v>
      </c>
    </row>
    <row r="337" spans="1:21" ht="15.6" customHeight="1" x14ac:dyDescent="0.25">
      <c r="A337" s="24">
        <f>CADASTROS!$B$325</f>
        <v>323</v>
      </c>
      <c r="B337" s="15" t="str">
        <f>CADASTROS!$C$325</f>
        <v>Manoel Domingos S. Jesus</v>
      </c>
      <c r="C337" s="25"/>
      <c r="D337" s="25">
        <f>PLANILHA_COLHEITA_DIÁRIA!$I$532</f>
        <v>0</v>
      </c>
      <c r="E337" s="17">
        <v>6</v>
      </c>
      <c r="F337" s="26" t="str">
        <f>CADASTROS!$E$325</f>
        <v>Cx. Econômica</v>
      </c>
      <c r="G337" s="24">
        <f>CADASTROS!$F$325</f>
        <v>128</v>
      </c>
      <c r="H337" s="26" t="str">
        <f>CADASTROS!$G$325</f>
        <v>013</v>
      </c>
      <c r="I337" s="16" t="str">
        <f>CADASTROS!$H$325</f>
        <v>00006952-1</v>
      </c>
      <c r="J337" s="18">
        <f t="shared" si="16"/>
        <v>0</v>
      </c>
      <c r="L337" s="24">
        <v>1907</v>
      </c>
      <c r="M337" s="15" t="s">
        <v>3870</v>
      </c>
      <c r="N337" s="25"/>
      <c r="O337" s="42">
        <v>9.5</v>
      </c>
      <c r="P337" s="17">
        <v>6</v>
      </c>
      <c r="Q337" s="26" t="s">
        <v>4904</v>
      </c>
      <c r="R337" s="24">
        <v>3871</v>
      </c>
      <c r="S337" s="26" t="s">
        <v>22</v>
      </c>
      <c r="T337" s="16" t="s">
        <v>3871</v>
      </c>
      <c r="U337" s="18">
        <v>57</v>
      </c>
    </row>
    <row r="338" spans="1:21" ht="15.6" customHeight="1" x14ac:dyDescent="0.25">
      <c r="A338" s="24">
        <f>CADASTROS!$B$326</f>
        <v>324</v>
      </c>
      <c r="B338" s="15" t="str">
        <f>CADASTROS!$C$326</f>
        <v>Leandro José dos Santos</v>
      </c>
      <c r="C338" s="25"/>
      <c r="D338" s="25">
        <f>PLANILHA_COLHEITA_DIÁRIA!$I$533</f>
        <v>0</v>
      </c>
      <c r="E338" s="17">
        <v>6</v>
      </c>
      <c r="F338" s="26" t="str">
        <f>CADASTROS!$E$326</f>
        <v>Cx. Econômica</v>
      </c>
      <c r="G338" s="24">
        <f>CADASTROS!$F$326</f>
        <v>4825</v>
      </c>
      <c r="H338" s="26" t="str">
        <f>CADASTROS!$G$326</f>
        <v>013</v>
      </c>
      <c r="I338" s="16" t="str">
        <f>CADASTROS!$H$326</f>
        <v>00008909-3</v>
      </c>
      <c r="J338" s="18">
        <f t="shared" si="16"/>
        <v>0</v>
      </c>
      <c r="L338" s="24">
        <v>1908</v>
      </c>
      <c r="M338" s="15" t="s">
        <v>3872</v>
      </c>
      <c r="N338" s="25"/>
      <c r="O338" s="42">
        <v>10</v>
      </c>
      <c r="P338" s="17">
        <v>6</v>
      </c>
      <c r="Q338" s="26" t="s">
        <v>4904</v>
      </c>
      <c r="R338" s="24">
        <v>3801</v>
      </c>
      <c r="S338" s="26" t="s">
        <v>37</v>
      </c>
      <c r="T338" s="16" t="s">
        <v>2670</v>
      </c>
      <c r="U338" s="18">
        <v>60</v>
      </c>
    </row>
    <row r="339" spans="1:21" ht="15.6" customHeight="1" x14ac:dyDescent="0.25">
      <c r="A339" s="24">
        <f>CADASTROS!$B$327</f>
        <v>325</v>
      </c>
      <c r="B339" s="15" t="str">
        <f>CADASTROS!$C$327</f>
        <v>Edivânia Pereira dos Santos</v>
      </c>
      <c r="C339" s="25"/>
      <c r="D339" s="52">
        <f>PLANILHA_COLHEITA_DIÁRIA!$I$534</f>
        <v>0</v>
      </c>
      <c r="E339" s="17">
        <v>6</v>
      </c>
      <c r="F339" s="26" t="str">
        <f>CADASTROS!$E$327</f>
        <v>Cx. Econômica</v>
      </c>
      <c r="G339" s="24">
        <f>CADASTROS!$F$327</f>
        <v>4825</v>
      </c>
      <c r="H339" s="26" t="str">
        <f>CADASTROS!$G$327</f>
        <v>013</v>
      </c>
      <c r="I339" s="16" t="str">
        <f>CADASTROS!$H$327</f>
        <v>00018526-2</v>
      </c>
      <c r="J339" s="18">
        <f t="shared" si="16"/>
        <v>0</v>
      </c>
      <c r="L339" s="24"/>
      <c r="M339" s="15"/>
      <c r="N339" s="25"/>
      <c r="O339" s="52"/>
      <c r="P339" s="17"/>
      <c r="Q339" s="26"/>
      <c r="R339" s="24"/>
      <c r="S339" s="26"/>
      <c r="T339" s="16"/>
      <c r="U339" s="18"/>
    </row>
    <row r="340" spans="1:21" ht="15.6" customHeight="1" x14ac:dyDescent="0.25">
      <c r="A340" s="24">
        <f>CADASTROS!$B$328</f>
        <v>326</v>
      </c>
      <c r="B340" s="15" t="str">
        <f>CADASTROS!$C$328</f>
        <v>Rita de Cássia Lima de Sousa</v>
      </c>
      <c r="C340" s="25"/>
      <c r="D340" s="52">
        <f>PLANILHA_COLHEITA_DIÁRIA!$I$535</f>
        <v>0</v>
      </c>
      <c r="E340" s="17">
        <v>6</v>
      </c>
      <c r="F340" s="26" t="str">
        <f>CADASTROS!$E$328</f>
        <v>Cx. Econômica</v>
      </c>
      <c r="G340" s="24">
        <f>CADASTROS!$F$328</f>
        <v>4825</v>
      </c>
      <c r="H340" s="26" t="str">
        <f>CADASTROS!$G$328</f>
        <v>013</v>
      </c>
      <c r="I340" s="16" t="str">
        <f>CADASTROS!$H$328</f>
        <v>804939303-6</v>
      </c>
      <c r="J340" s="18">
        <f t="shared" si="16"/>
        <v>0</v>
      </c>
      <c r="L340" s="24"/>
      <c r="M340" s="15"/>
      <c r="N340" s="25"/>
      <c r="O340" s="52"/>
      <c r="P340" s="17"/>
      <c r="Q340" s="26"/>
      <c r="R340" s="24"/>
      <c r="S340" s="26"/>
      <c r="T340" s="16"/>
      <c r="U340" s="18"/>
    </row>
    <row r="341" spans="1:21" ht="15.6" customHeight="1" x14ac:dyDescent="0.25">
      <c r="A341" s="24">
        <f>CADASTROS!$B$329</f>
        <v>327</v>
      </c>
      <c r="B341" s="15" t="str">
        <f>CADASTROS!$C$329</f>
        <v>Eliana Souza da Cruz</v>
      </c>
      <c r="C341" s="25"/>
      <c r="D341" s="52">
        <f>PLANILHA_COLHEITA_DIÁRIA!$I$536</f>
        <v>0</v>
      </c>
      <c r="E341" s="17">
        <v>6</v>
      </c>
      <c r="F341" s="26" t="str">
        <f>CADASTROS!$E$329</f>
        <v>Bradesco</v>
      </c>
      <c r="G341" s="24" t="str">
        <f>CADASTROS!$F$329</f>
        <v>3801-6</v>
      </c>
      <c r="H341" s="26" t="str">
        <f>CADASTROS!$G$329</f>
        <v>poup</v>
      </c>
      <c r="I341" s="16" t="str">
        <f>CADASTROS!$H$329</f>
        <v>0350169-8</v>
      </c>
      <c r="J341" s="18">
        <f t="shared" si="16"/>
        <v>0</v>
      </c>
      <c r="L341" s="24"/>
      <c r="M341" s="15"/>
      <c r="N341" s="25"/>
      <c r="O341" s="42"/>
      <c r="P341" s="17"/>
      <c r="Q341" s="26"/>
      <c r="R341" s="24"/>
      <c r="S341" s="26"/>
      <c r="T341" s="16"/>
      <c r="U341" s="18"/>
    </row>
    <row r="342" spans="1:21" ht="15.6" customHeight="1" x14ac:dyDescent="0.25">
      <c r="A342" s="24">
        <f>CADASTROS!$B$330</f>
        <v>328</v>
      </c>
      <c r="B342" s="15" t="str">
        <f>CADASTROS!$C$330</f>
        <v>Antônia de Jesus Carvalho</v>
      </c>
      <c r="C342" s="25"/>
      <c r="D342" s="25">
        <f>PLANILHA_COLHEITA_DIÁRIA!$I$537</f>
        <v>0</v>
      </c>
      <c r="E342" s="17">
        <v>6</v>
      </c>
      <c r="F342" s="26" t="str">
        <f>CADASTROS!$E$330</f>
        <v>Cx. Econômica</v>
      </c>
      <c r="G342" s="24">
        <f>CADASTROS!$F$330</f>
        <v>780</v>
      </c>
      <c r="H342" s="26">
        <f>CADASTROS!$G$330</f>
        <v>0</v>
      </c>
      <c r="I342" s="16" t="str">
        <f>CADASTROS!$H$330</f>
        <v>000836305637-3</v>
      </c>
      <c r="J342" s="18">
        <f t="shared" si="16"/>
        <v>0</v>
      </c>
      <c r="L342" s="24"/>
      <c r="M342" s="15"/>
      <c r="N342" s="25"/>
      <c r="O342" s="42"/>
      <c r="P342" s="17"/>
      <c r="Q342" s="26"/>
      <c r="R342" s="24"/>
      <c r="S342" s="26"/>
      <c r="T342" s="16"/>
      <c r="U342" s="18"/>
    </row>
    <row r="343" spans="1:21" ht="15.6" customHeight="1" x14ac:dyDescent="0.25">
      <c r="A343" s="24">
        <f>CADASTROS!$B$331</f>
        <v>329</v>
      </c>
      <c r="B343" s="15" t="str">
        <f>CADASTROS!$C$331</f>
        <v>Arlinda Santana Guimarães</v>
      </c>
      <c r="C343" s="25"/>
      <c r="D343" s="25">
        <f>PLANILHA_COLHEITA_DIÁRIA!$I$538</f>
        <v>0</v>
      </c>
      <c r="E343" s="17">
        <v>6</v>
      </c>
      <c r="F343" s="26" t="str">
        <f>CADASTROS!$E$331</f>
        <v>Bradesco</v>
      </c>
      <c r="G343" s="24" t="str">
        <f>CADASTROS!$F$331</f>
        <v>3801-6</v>
      </c>
      <c r="H343" s="26" t="str">
        <f>CADASTROS!$G$331</f>
        <v>c/corr</v>
      </c>
      <c r="I343" s="16" t="str">
        <f>CADASTROS!$H$331</f>
        <v>0522862-0</v>
      </c>
      <c r="J343" s="18">
        <f t="shared" si="16"/>
        <v>0</v>
      </c>
      <c r="L343" s="24"/>
      <c r="M343" s="15"/>
      <c r="N343" s="25"/>
      <c r="O343" s="52"/>
      <c r="P343" s="17"/>
      <c r="Q343" s="26"/>
      <c r="R343" s="24"/>
      <c r="S343" s="26"/>
      <c r="T343" s="16"/>
      <c r="U343" s="18"/>
    </row>
    <row r="344" spans="1:21" ht="15.6" customHeight="1" x14ac:dyDescent="0.25">
      <c r="A344" s="24">
        <f>CADASTROS!$B$332</f>
        <v>330</v>
      </c>
      <c r="B344" s="15" t="str">
        <f>CADASTROS!$C$332</f>
        <v>Leila Sena Boaventura</v>
      </c>
      <c r="C344" s="25"/>
      <c r="D344" s="25">
        <f>PLANILHA_COLHEITA_DIÁRIA!$I$539</f>
        <v>0</v>
      </c>
      <c r="E344" s="17">
        <v>6</v>
      </c>
      <c r="F344" s="26" t="str">
        <f>CADASTROS!$E$332</f>
        <v>Cx. Econômica</v>
      </c>
      <c r="G344" s="24">
        <f>CADASTROS!$F$332</f>
        <v>4825</v>
      </c>
      <c r="H344" s="26">
        <f>CADASTROS!$G$332</f>
        <v>0</v>
      </c>
      <c r="I344" s="16" t="str">
        <f>CADASTROS!$H$332</f>
        <v>000796526333-6</v>
      </c>
      <c r="J344" s="18">
        <f t="shared" si="16"/>
        <v>0</v>
      </c>
      <c r="L344" s="24"/>
      <c r="M344" s="15"/>
      <c r="N344" s="25"/>
      <c r="O344" s="52"/>
      <c r="P344" s="17"/>
      <c r="Q344" s="26"/>
      <c r="R344" s="24"/>
      <c r="S344" s="26"/>
      <c r="T344" s="16"/>
      <c r="U344" s="18"/>
    </row>
    <row r="345" spans="1:21" ht="15.6" customHeight="1" x14ac:dyDescent="0.25">
      <c r="A345" s="24">
        <f>CADASTROS!$B$333</f>
        <v>331</v>
      </c>
      <c r="B345" s="15" t="str">
        <f>CADASTROS!$C$333</f>
        <v>Ediney Xavier Alves</v>
      </c>
      <c r="C345" s="25"/>
      <c r="D345" s="25">
        <f>PLANILHA_COLHEITA_DIÁRIA!$I$540</f>
        <v>0</v>
      </c>
      <c r="E345" s="17">
        <v>6</v>
      </c>
      <c r="F345" s="26" t="str">
        <f>CADASTROS!$E$333</f>
        <v>Cx. Econômica</v>
      </c>
      <c r="G345" s="24">
        <f>CADASTROS!$F$333</f>
        <v>780</v>
      </c>
      <c r="H345" s="26" t="str">
        <f>CADASTROS!$G$333</f>
        <v>013</v>
      </c>
      <c r="I345" s="16" t="str">
        <f>CADASTROS!$H$333</f>
        <v>00066359-3</v>
      </c>
      <c r="J345" s="18">
        <f t="shared" si="16"/>
        <v>0</v>
      </c>
      <c r="L345" s="24"/>
      <c r="M345" s="15"/>
      <c r="N345" s="25"/>
      <c r="O345" s="52"/>
      <c r="P345" s="17"/>
      <c r="Q345" s="26"/>
      <c r="R345" s="24"/>
      <c r="S345" s="26"/>
      <c r="T345" s="16"/>
      <c r="U345" s="18"/>
    </row>
    <row r="346" spans="1:21" ht="15.6" customHeight="1" x14ac:dyDescent="0.25">
      <c r="A346" s="24">
        <f>CADASTROS!$B$334</f>
        <v>332</v>
      </c>
      <c r="B346" s="15" t="str">
        <f>CADASTROS!$C$334</f>
        <v>Antônio Eudes A Silva</v>
      </c>
      <c r="C346" s="25"/>
      <c r="D346" s="52">
        <f>PLANILHA_COLHEITA_DIÁRIA!$I$541</f>
        <v>0</v>
      </c>
      <c r="E346" s="17">
        <v>6</v>
      </c>
      <c r="F346" s="26" t="str">
        <f>CADASTROS!$E$334</f>
        <v>Banco do Brasil</v>
      </c>
      <c r="G346" s="24" t="str">
        <f>CADASTROS!$F$334</f>
        <v>2997-1</v>
      </c>
      <c r="H346" s="26" t="str">
        <f>CADASTROS!$G$334</f>
        <v>c/Poup</v>
      </c>
      <c r="I346" s="16" t="str">
        <f>CADASTROS!$H$334</f>
        <v>6.090-9</v>
      </c>
      <c r="J346" s="18">
        <f t="shared" si="16"/>
        <v>0</v>
      </c>
      <c r="L346" s="24"/>
      <c r="M346" s="15"/>
      <c r="N346" s="25"/>
      <c r="O346" s="52"/>
      <c r="P346" s="17"/>
      <c r="Q346" s="26"/>
      <c r="R346" s="24"/>
      <c r="S346" s="26"/>
      <c r="T346" s="16"/>
      <c r="U346" s="18"/>
    </row>
    <row r="347" spans="1:21" ht="15.6" customHeight="1" x14ac:dyDescent="0.25">
      <c r="A347" s="24">
        <f>CADASTROS!$B$335</f>
        <v>333</v>
      </c>
      <c r="B347" s="15" t="str">
        <f>CADASTROS!$C$335</f>
        <v>Leonice Silva Santos</v>
      </c>
      <c r="C347" s="25"/>
      <c r="D347" s="35">
        <f>PLANILHA_COLHEITA_DIÁRIA!$I$542</f>
        <v>0</v>
      </c>
      <c r="E347" s="17">
        <v>6</v>
      </c>
      <c r="F347" s="26" t="str">
        <f>CADASTROS!$E$335</f>
        <v>Cx. Econômica</v>
      </c>
      <c r="G347" s="24">
        <f>CADASTROS!$F$335</f>
        <v>780</v>
      </c>
      <c r="H347" s="26" t="str">
        <f>CADASTROS!$G$335</f>
        <v>023</v>
      </c>
      <c r="I347" s="16" t="str">
        <f>CADASTROS!$H$335</f>
        <v>00011645-0</v>
      </c>
      <c r="J347" s="18">
        <f t="shared" si="16"/>
        <v>0</v>
      </c>
      <c r="L347" s="24"/>
      <c r="M347" s="15"/>
      <c r="N347" s="25"/>
      <c r="O347" s="52"/>
      <c r="P347" s="17"/>
      <c r="Q347" s="26"/>
      <c r="R347" s="24"/>
      <c r="S347" s="26"/>
      <c r="T347" s="16"/>
      <c r="U347" s="18"/>
    </row>
    <row r="348" spans="1:21" ht="15.6" customHeight="1" x14ac:dyDescent="0.25">
      <c r="A348" s="24">
        <f>CADASTROS!$B$336</f>
        <v>334</v>
      </c>
      <c r="B348" s="15" t="str">
        <f>CADASTROS!$C$336</f>
        <v>Marenilde Soares Silva</v>
      </c>
      <c r="C348" s="25"/>
      <c r="D348" s="25">
        <f>PLANILHA_COLHEITA_DIÁRIA!$I$543</f>
        <v>0</v>
      </c>
      <c r="E348" s="17">
        <v>6</v>
      </c>
      <c r="F348" s="26" t="str">
        <f>CADASTROS!$E$336</f>
        <v>Bradesco</v>
      </c>
      <c r="G348" s="24" t="str">
        <f>CADASTROS!$F$336</f>
        <v>3801-6</v>
      </c>
      <c r="H348" s="26" t="str">
        <f>CADASTROS!$G$336</f>
        <v>c/corr</v>
      </c>
      <c r="I348" s="16" t="str">
        <f>CADASTROS!$H$336</f>
        <v>0064316-5</v>
      </c>
      <c r="J348" s="18">
        <f t="shared" si="16"/>
        <v>0</v>
      </c>
      <c r="L348" s="24"/>
      <c r="M348" s="15"/>
      <c r="N348" s="25"/>
      <c r="O348" s="52"/>
      <c r="P348" s="17"/>
      <c r="Q348" s="26"/>
      <c r="R348" s="24"/>
      <c r="S348" s="26"/>
      <c r="T348" s="16"/>
      <c r="U348" s="18"/>
    </row>
    <row r="349" spans="1:21" ht="15.6" customHeight="1" x14ac:dyDescent="0.25">
      <c r="A349" s="24">
        <f>CADASTROS!$B$337</f>
        <v>335</v>
      </c>
      <c r="B349" s="15" t="str">
        <f>CADASTROS!$C$337</f>
        <v>Lucas Cruz Carvalho</v>
      </c>
      <c r="C349" s="25"/>
      <c r="D349" s="52">
        <f>PLANILHA_COLHEITA_DIÁRIA!$I$544</f>
        <v>0</v>
      </c>
      <c r="E349" s="17">
        <v>6</v>
      </c>
      <c r="F349" s="26" t="str">
        <f>CADASTROS!$E$337</f>
        <v>Cx. Econômica</v>
      </c>
      <c r="G349" s="24">
        <f>CADASTROS!$F$337</f>
        <v>4825</v>
      </c>
      <c r="H349" s="26" t="str">
        <f>CADASTROS!$G$337</f>
        <v>013</v>
      </c>
      <c r="I349" s="16" t="str">
        <f>CADASTROS!$H$337</f>
        <v>00008154-8</v>
      </c>
      <c r="J349" s="18">
        <f t="shared" si="16"/>
        <v>0</v>
      </c>
      <c r="L349" s="24"/>
      <c r="M349" s="15"/>
      <c r="N349" s="25"/>
      <c r="O349" s="52"/>
      <c r="P349" s="17"/>
      <c r="Q349" s="26"/>
      <c r="R349" s="24"/>
      <c r="S349" s="26"/>
      <c r="T349" s="16"/>
      <c r="U349" s="18"/>
    </row>
    <row r="350" spans="1:21" ht="15.6" customHeight="1" x14ac:dyDescent="0.25">
      <c r="A350" s="24">
        <f>CADASTROS!$B$338</f>
        <v>336</v>
      </c>
      <c r="B350" s="15" t="str">
        <f>CADASTROS!$C$338</f>
        <v>Lindacir M. J. da Silva</v>
      </c>
      <c r="C350" s="25"/>
      <c r="D350" s="41">
        <f>PLANILHA_COLHEITA_DIÁRIA!$I$545</f>
        <v>0</v>
      </c>
      <c r="E350" s="17">
        <v>6</v>
      </c>
      <c r="F350" s="26">
        <f>CADASTROS!$E$338</f>
        <v>0</v>
      </c>
      <c r="G350" s="24">
        <f>CADASTROS!$F$338</f>
        <v>0</v>
      </c>
      <c r="H350" s="26">
        <f>CADASTROS!$G$338</f>
        <v>0</v>
      </c>
      <c r="I350" s="16">
        <f>CADASTROS!$H$338</f>
        <v>0</v>
      </c>
      <c r="J350" s="18">
        <f t="shared" si="16"/>
        <v>0</v>
      </c>
      <c r="L350" s="24"/>
      <c r="M350" s="15"/>
      <c r="N350" s="25"/>
      <c r="O350" s="52"/>
      <c r="P350" s="17"/>
      <c r="Q350" s="26"/>
      <c r="R350" s="24"/>
      <c r="S350" s="26"/>
      <c r="T350" s="16"/>
      <c r="U350" s="18"/>
    </row>
    <row r="351" spans="1:21" ht="15.6" customHeight="1" x14ac:dyDescent="0.25">
      <c r="A351" s="24">
        <f>CADASTROS!$B$339</f>
        <v>337</v>
      </c>
      <c r="B351" s="15" t="str">
        <f>CADASTROS!$C$339</f>
        <v>Edineia M. dos Santos</v>
      </c>
      <c r="C351" s="25"/>
      <c r="D351" s="52">
        <f>PLANILHA_COLHEITA_DIÁRIA!$I$546</f>
        <v>0</v>
      </c>
      <c r="E351" s="17">
        <v>6</v>
      </c>
      <c r="F351" s="26">
        <f>CADASTROS!$E$339</f>
        <v>0</v>
      </c>
      <c r="G351" s="24">
        <f>CADASTROS!$F$339</f>
        <v>0</v>
      </c>
      <c r="H351" s="26">
        <f>CADASTROS!$G$339</f>
        <v>0</v>
      </c>
      <c r="I351" s="16">
        <f>CADASTROS!$H$339</f>
        <v>0</v>
      </c>
      <c r="J351" s="18">
        <f t="shared" si="16"/>
        <v>0</v>
      </c>
      <c r="L351" s="24"/>
      <c r="M351" s="15"/>
      <c r="N351" s="25"/>
      <c r="O351" s="52"/>
      <c r="P351" s="17"/>
      <c r="Q351" s="26"/>
      <c r="R351" s="24"/>
      <c r="S351" s="26"/>
      <c r="T351" s="16"/>
      <c r="U351" s="18"/>
    </row>
    <row r="352" spans="1:21" ht="15.6" customHeight="1" x14ac:dyDescent="0.25">
      <c r="A352" s="24">
        <f>CADASTROS!$B$340</f>
        <v>338</v>
      </c>
      <c r="B352" s="15" t="str">
        <f>CADASTROS!$C$340</f>
        <v>Margarida Agda de Jesus</v>
      </c>
      <c r="C352" s="25"/>
      <c r="D352" s="25">
        <f>PLANILHA_COLHEITA_DIÁRIA!$I$547</f>
        <v>0</v>
      </c>
      <c r="E352" s="17">
        <v>6</v>
      </c>
      <c r="F352" s="26" t="str">
        <f>CADASTROS!$E$340</f>
        <v>Cx. Econômica</v>
      </c>
      <c r="G352" s="24">
        <f>CADASTROS!$F$340</f>
        <v>780</v>
      </c>
      <c r="H352" s="26" t="str">
        <f>CADASTROS!$G$340</f>
        <v>013</v>
      </c>
      <c r="I352" s="16" t="str">
        <f>CADASTROS!$H$340</f>
        <v>00000119-1</v>
      </c>
      <c r="J352" s="18">
        <f t="shared" si="16"/>
        <v>0</v>
      </c>
      <c r="L352" s="24"/>
      <c r="M352" s="15"/>
      <c r="N352" s="25"/>
      <c r="O352" s="52"/>
      <c r="P352" s="17"/>
      <c r="Q352" s="26"/>
      <c r="R352" s="24"/>
      <c r="S352" s="26"/>
      <c r="T352" s="16"/>
      <c r="U352" s="18"/>
    </row>
    <row r="353" spans="1:21" ht="15.6" customHeight="1" x14ac:dyDescent="0.25">
      <c r="A353" s="24">
        <f>CADASTROS!$B$341</f>
        <v>339</v>
      </c>
      <c r="B353" s="15" t="str">
        <f>CADASTROS!$C$341</f>
        <v>Alcinei Jesus da Silva</v>
      </c>
      <c r="C353" s="25"/>
      <c r="D353" s="25">
        <f>PLANILHA_COLHEITA_DIÁRIA!$I$548</f>
        <v>0</v>
      </c>
      <c r="E353" s="17">
        <v>6</v>
      </c>
      <c r="F353" s="26" t="str">
        <f>CADASTROS!$E$341</f>
        <v>Bradesco</v>
      </c>
      <c r="G353" s="24" t="str">
        <f>CADASTROS!$F$341</f>
        <v>1384-6</v>
      </c>
      <c r="H353" s="26" t="str">
        <f>CADASTROS!$G$341</f>
        <v>poup</v>
      </c>
      <c r="I353" s="16" t="str">
        <f>CADASTROS!$H$341</f>
        <v>1001010-1</v>
      </c>
      <c r="J353" s="18">
        <f t="shared" si="16"/>
        <v>0</v>
      </c>
      <c r="L353" s="24"/>
      <c r="M353" s="15"/>
      <c r="N353" s="25"/>
      <c r="O353" s="52"/>
      <c r="P353" s="17"/>
      <c r="Q353" s="26"/>
      <c r="R353" s="24"/>
      <c r="S353" s="26"/>
      <c r="T353" s="16"/>
      <c r="U353" s="18"/>
    </row>
    <row r="354" spans="1:21" ht="15.6" customHeight="1" x14ac:dyDescent="0.25">
      <c r="A354" s="24">
        <f>CADASTROS!$B$342</f>
        <v>340</v>
      </c>
      <c r="B354" s="15" t="str">
        <f>CADASTROS!$C$342</f>
        <v>Orivaldo Bispo Gama</v>
      </c>
      <c r="C354" s="25"/>
      <c r="D354" s="35">
        <f>PLANILHA_COLHEITA_DIÁRIA!$I$549</f>
        <v>0</v>
      </c>
      <c r="E354" s="17">
        <v>6</v>
      </c>
      <c r="F354" s="26" t="str">
        <f>CADASTROS!$E$342</f>
        <v>Cx. Econômica</v>
      </c>
      <c r="G354" s="24">
        <f>CADASTROS!$F$342</f>
        <v>780</v>
      </c>
      <c r="H354" s="26" t="str">
        <f>CADASTROS!$G$342</f>
        <v>023</v>
      </c>
      <c r="I354" s="16" t="str">
        <f>CADASTROS!$H$342</f>
        <v>00012658-7</v>
      </c>
      <c r="J354" s="18">
        <f t="shared" si="16"/>
        <v>0</v>
      </c>
      <c r="L354" s="24"/>
      <c r="M354" s="15"/>
      <c r="N354" s="25"/>
      <c r="O354" s="52"/>
      <c r="P354" s="17"/>
      <c r="Q354" s="26"/>
      <c r="R354" s="24"/>
      <c r="S354" s="26"/>
      <c r="T354" s="16"/>
      <c r="U354" s="18"/>
    </row>
    <row r="355" spans="1:21" ht="15.6" customHeight="1" x14ac:dyDescent="0.25">
      <c r="A355" s="24">
        <f>CADASTROS!$B$343</f>
        <v>341</v>
      </c>
      <c r="B355" s="15" t="str">
        <f>CADASTROS!$C$343</f>
        <v>Valdenice Santana de Gois</v>
      </c>
      <c r="C355" s="25"/>
      <c r="D355" s="25">
        <f>PLANILHA_COLHEITA_DIÁRIA!$I$550</f>
        <v>0</v>
      </c>
      <c r="E355" s="17">
        <v>6</v>
      </c>
      <c r="F355" s="26" t="str">
        <f>CADASTROS!$E$343</f>
        <v>Bradesco</v>
      </c>
      <c r="G355" s="24" t="str">
        <f>CADASTROS!$F$343</f>
        <v>3801-6</v>
      </c>
      <c r="H355" s="26" t="str">
        <f>CADASTROS!$G$343</f>
        <v>c/corr</v>
      </c>
      <c r="I355" s="16" t="str">
        <f>CADASTROS!$H$343</f>
        <v>0060283-3</v>
      </c>
      <c r="J355" s="18">
        <f t="shared" si="16"/>
        <v>0</v>
      </c>
      <c r="L355" s="24"/>
      <c r="M355" s="15"/>
      <c r="N355" s="25"/>
      <c r="O355" s="52"/>
      <c r="P355" s="17"/>
      <c r="Q355" s="26"/>
      <c r="R355" s="24"/>
      <c r="S355" s="26"/>
      <c r="T355" s="16"/>
      <c r="U355" s="18"/>
    </row>
    <row r="356" spans="1:21" ht="15.6" customHeight="1" x14ac:dyDescent="0.25">
      <c r="A356" s="24">
        <f>CADASTROS!$B$344</f>
        <v>342</v>
      </c>
      <c r="B356" s="15" t="str">
        <f>CADASTROS!$C$344</f>
        <v xml:space="preserve">Sergio Neto da Cruz </v>
      </c>
      <c r="C356" s="25"/>
      <c r="D356" s="25">
        <f>PLANILHA_COLHEITA_DIÁRIA!$I$567</f>
        <v>0</v>
      </c>
      <c r="E356" s="17">
        <v>6</v>
      </c>
      <c r="F356" s="26" t="str">
        <f>CADASTROS!$E$344</f>
        <v>Cx. Econômica</v>
      </c>
      <c r="G356" s="24">
        <f>CADASTROS!$F$344</f>
        <v>780</v>
      </c>
      <c r="H356" s="26" t="str">
        <f>CADASTROS!$G$344</f>
        <v>013</v>
      </c>
      <c r="I356" s="16" t="str">
        <f>CADASTROS!$H$344</f>
        <v>00068800-6</v>
      </c>
      <c r="J356" s="18">
        <f t="shared" si="16"/>
        <v>0</v>
      </c>
      <c r="L356" s="24"/>
      <c r="M356" s="15"/>
      <c r="N356" s="25"/>
      <c r="O356" s="52"/>
      <c r="P356" s="17"/>
      <c r="Q356" s="26"/>
      <c r="R356" s="24"/>
      <c r="S356" s="26"/>
      <c r="T356" s="16"/>
      <c r="U356" s="18"/>
    </row>
    <row r="357" spans="1:21" ht="15.6" customHeight="1" x14ac:dyDescent="0.25">
      <c r="A357" s="24">
        <f>CADASTROS!$B$345</f>
        <v>343</v>
      </c>
      <c r="B357" s="15" t="str">
        <f>CADASTROS!$C$345</f>
        <v>Alcione Jesus Silva</v>
      </c>
      <c r="C357" s="25"/>
      <c r="D357" s="25">
        <f>PLANILHA_COLHEITA_DIÁRIA!$I$568</f>
        <v>0</v>
      </c>
      <c r="E357" s="17">
        <v>6</v>
      </c>
      <c r="F357" s="26" t="str">
        <f>CADASTROS!$E$345</f>
        <v>Cx. Econômica</v>
      </c>
      <c r="G357" s="24">
        <f>CADASTROS!$F$345</f>
        <v>4825</v>
      </c>
      <c r="H357" s="26" t="str">
        <f>CADASTROS!$G$345</f>
        <v>1288</v>
      </c>
      <c r="I357" s="16" t="str">
        <f>CADASTROS!$H$345</f>
        <v>854853243-0</v>
      </c>
      <c r="J357" s="18">
        <f t="shared" si="16"/>
        <v>0</v>
      </c>
      <c r="L357" s="24"/>
      <c r="M357" s="15"/>
      <c r="N357" s="25"/>
      <c r="O357" s="52"/>
      <c r="P357" s="17"/>
      <c r="Q357" s="26"/>
      <c r="R357" s="24"/>
      <c r="S357" s="26"/>
      <c r="T357" s="16"/>
      <c r="U357" s="18"/>
    </row>
    <row r="358" spans="1:21" ht="15.6" customHeight="1" x14ac:dyDescent="0.25">
      <c r="A358" s="24">
        <f>CADASTROS!$B$346</f>
        <v>344</v>
      </c>
      <c r="B358" s="15" t="str">
        <f>CADASTROS!$C$346</f>
        <v>Luana Marcos S. Silva</v>
      </c>
      <c r="C358" s="25"/>
      <c r="D358" s="25">
        <f>PLANILHA_COLHEITA_DIÁRIA!$I$569</f>
        <v>0</v>
      </c>
      <c r="E358" s="17">
        <v>6</v>
      </c>
      <c r="F358" s="26">
        <f>CADASTROS!$E$346</f>
        <v>0</v>
      </c>
      <c r="G358" s="24">
        <f>CADASTROS!$F$346</f>
        <v>0</v>
      </c>
      <c r="H358" s="26">
        <f>CADASTROS!$G$346</f>
        <v>0</v>
      </c>
      <c r="I358" s="16">
        <f>CADASTROS!$H$346</f>
        <v>0</v>
      </c>
      <c r="J358" s="18">
        <f t="shared" si="16"/>
        <v>0</v>
      </c>
      <c r="L358" s="24"/>
      <c r="M358" s="15"/>
      <c r="N358" s="25"/>
      <c r="O358" s="52"/>
      <c r="P358" s="17"/>
      <c r="Q358" s="26"/>
      <c r="R358" s="24"/>
      <c r="S358" s="26"/>
      <c r="T358" s="16"/>
      <c r="U358" s="18"/>
    </row>
    <row r="359" spans="1:21" ht="15.6" customHeight="1" x14ac:dyDescent="0.25">
      <c r="A359" s="24">
        <f>CADASTROS!$B$347</f>
        <v>345</v>
      </c>
      <c r="B359" s="15" t="str">
        <f>CADASTROS!$C$347</f>
        <v>Gislândia Silva de Oliveira</v>
      </c>
      <c r="C359" s="25"/>
      <c r="D359" s="25">
        <f>PLANILHA_COLHEITA_DIÁRIA!$I$570</f>
        <v>0</v>
      </c>
      <c r="E359" s="17">
        <v>6</v>
      </c>
      <c r="F359" s="26" t="str">
        <f>CADASTROS!$E$347</f>
        <v>Cx. Econômica</v>
      </c>
      <c r="G359" s="24">
        <f>CADASTROS!$F$347</f>
        <v>780</v>
      </c>
      <c r="H359" s="26" t="str">
        <f>CADASTROS!$G$347</f>
        <v>023</v>
      </c>
      <c r="I359" s="16" t="str">
        <f>CADASTROS!$H$347</f>
        <v>00010045-6</v>
      </c>
      <c r="J359" s="18">
        <f t="shared" si="16"/>
        <v>0</v>
      </c>
      <c r="L359" s="24"/>
      <c r="M359" s="15"/>
      <c r="N359" s="25"/>
      <c r="O359" s="52"/>
      <c r="P359" s="17"/>
      <c r="Q359" s="26"/>
      <c r="R359" s="24"/>
      <c r="S359" s="26"/>
      <c r="T359" s="16"/>
      <c r="U359" s="18"/>
    </row>
    <row r="360" spans="1:21" ht="15.6" customHeight="1" x14ac:dyDescent="0.25">
      <c r="A360" s="24">
        <f>CADASTROS!$B$348</f>
        <v>346</v>
      </c>
      <c r="B360" s="15" t="str">
        <f>CADASTROS!$C$348</f>
        <v>Edvan S. de Jesus</v>
      </c>
      <c r="C360" s="25"/>
      <c r="D360" s="25">
        <f>PLANILHA_COLHEITA_DIÁRIA!$I$571</f>
        <v>0</v>
      </c>
      <c r="E360" s="17">
        <v>6</v>
      </c>
      <c r="F360" s="26">
        <f>CADASTROS!$E$348</f>
        <v>0</v>
      </c>
      <c r="G360" s="24">
        <f>CADASTROS!$F$348</f>
        <v>4825</v>
      </c>
      <c r="H360" s="26" t="str">
        <f>CADASTROS!$G$348</f>
        <v>013</v>
      </c>
      <c r="I360" s="16" t="str">
        <f>CADASTROS!$H$348</f>
        <v>00003047-1</v>
      </c>
      <c r="J360" s="18">
        <f t="shared" si="16"/>
        <v>0</v>
      </c>
      <c r="L360" s="24"/>
      <c r="M360" s="15"/>
      <c r="N360" s="25"/>
      <c r="O360" s="52"/>
      <c r="P360" s="17"/>
      <c r="Q360" s="26"/>
      <c r="R360" s="24"/>
      <c r="S360" s="26"/>
      <c r="T360" s="16"/>
      <c r="U360" s="18"/>
    </row>
    <row r="361" spans="1:21" ht="15.6" customHeight="1" x14ac:dyDescent="0.25">
      <c r="A361" s="24">
        <f>CADASTROS!$B$349</f>
        <v>347</v>
      </c>
      <c r="B361" s="15" t="str">
        <f>CADASTROS!$C$349</f>
        <v>Valdineide Silva Araújo</v>
      </c>
      <c r="C361" s="25"/>
      <c r="D361" s="41">
        <f>PLANILHA_COLHEITA_DIÁRIA!$I$572</f>
        <v>0</v>
      </c>
      <c r="E361" s="17">
        <v>6</v>
      </c>
      <c r="F361" s="26" t="str">
        <f>CADASTROS!$E$349</f>
        <v>Bradesco</v>
      </c>
      <c r="G361" s="24" t="str">
        <f>CADASTROS!$F$349</f>
        <v>1384-6</v>
      </c>
      <c r="H361" s="26" t="str">
        <f>CADASTROS!$G$349</f>
        <v>poup</v>
      </c>
      <c r="I361" s="16" t="str">
        <f>CADASTROS!$H$349</f>
        <v>1004000-0</v>
      </c>
      <c r="J361" s="18">
        <f t="shared" si="16"/>
        <v>0</v>
      </c>
      <c r="L361" s="24"/>
      <c r="M361" s="15"/>
      <c r="N361" s="25"/>
      <c r="O361" s="52"/>
      <c r="P361" s="17"/>
      <c r="Q361" s="26"/>
      <c r="R361" s="24"/>
      <c r="S361" s="26"/>
      <c r="T361" s="16"/>
      <c r="U361" s="18"/>
    </row>
    <row r="362" spans="1:21" ht="15.6" customHeight="1" x14ac:dyDescent="0.25">
      <c r="A362" s="24">
        <f>CADASTROS!$B$350</f>
        <v>348</v>
      </c>
      <c r="B362" s="15" t="str">
        <f>CADASTROS!$C$350</f>
        <v>Maria de Fátima da Silva</v>
      </c>
      <c r="C362" s="25"/>
      <c r="D362" s="25">
        <f>PLANILHA_COLHEITA_DIÁRIA!$I$573</f>
        <v>54</v>
      </c>
      <c r="E362" s="17">
        <v>6</v>
      </c>
      <c r="F362" s="26" t="str">
        <f>CADASTROS!$E$350</f>
        <v>Cx. Econômica</v>
      </c>
      <c r="G362" s="24">
        <f>CADASTROS!$F$350</f>
        <v>4825</v>
      </c>
      <c r="H362" s="26" t="str">
        <f>CADASTROS!$G$350</f>
        <v>013</v>
      </c>
      <c r="I362" s="16" t="str">
        <f>CADASTROS!$H$350</f>
        <v>00007920-9</v>
      </c>
      <c r="J362" s="18">
        <f t="shared" si="16"/>
        <v>324</v>
      </c>
      <c r="L362" s="24"/>
      <c r="M362" s="15"/>
      <c r="N362" s="25"/>
      <c r="O362" s="52"/>
      <c r="P362" s="17"/>
      <c r="Q362" s="26"/>
      <c r="R362" s="24"/>
      <c r="S362" s="26"/>
      <c r="T362" s="16"/>
      <c r="U362" s="18"/>
    </row>
    <row r="363" spans="1:21" ht="15.6" customHeight="1" x14ac:dyDescent="0.25">
      <c r="A363" s="24">
        <f>CADASTROS!$B$351</f>
        <v>349</v>
      </c>
      <c r="B363" s="15" t="str">
        <f>CADASTROS!$C$351</f>
        <v>Lucineide da Silva Valeir</v>
      </c>
      <c r="C363" s="25"/>
      <c r="D363" s="25">
        <f>PLANILHA_COLHEITA_DIÁRIA!$I$574</f>
        <v>0</v>
      </c>
      <c r="E363" s="17">
        <v>6</v>
      </c>
      <c r="F363" s="26" t="s">
        <v>4852</v>
      </c>
      <c r="G363" s="24">
        <f>CADASTROS!$F$351</f>
        <v>4825</v>
      </c>
      <c r="H363" s="26" t="str">
        <f>CADASTROS!$G$351</f>
        <v>013</v>
      </c>
      <c r="I363" s="16" t="str">
        <f>CADASTROS!$H$351</f>
        <v>00003371-3</v>
      </c>
      <c r="J363" s="18">
        <f t="shared" si="16"/>
        <v>0</v>
      </c>
      <c r="L363" s="24"/>
      <c r="M363" s="15"/>
      <c r="N363" s="25"/>
      <c r="O363" s="52"/>
      <c r="P363" s="17"/>
      <c r="Q363" s="26"/>
      <c r="R363" s="24"/>
      <c r="S363" s="26"/>
      <c r="T363" s="16"/>
      <c r="U363" s="18"/>
    </row>
    <row r="364" spans="1:21" ht="15.6" customHeight="1" x14ac:dyDescent="0.25">
      <c r="A364" s="24">
        <f>CADASTROS!$B$352</f>
        <v>350</v>
      </c>
      <c r="B364" s="15" t="str">
        <f>CADASTROS!$C$352</f>
        <v>Maciel S Macedo</v>
      </c>
      <c r="C364" s="25"/>
      <c r="D364" s="52">
        <f>PLANILHA_COLHEITA_DIÁRIA!$I$575</f>
        <v>0</v>
      </c>
      <c r="E364" s="17">
        <v>6</v>
      </c>
      <c r="F364" s="26">
        <f>CADASTROS!$E$352</f>
        <v>0</v>
      </c>
      <c r="G364" s="24">
        <f>CADASTROS!$F$352</f>
        <v>0</v>
      </c>
      <c r="H364" s="26">
        <f>CADASTROS!$G$352</f>
        <v>0</v>
      </c>
      <c r="I364" s="16">
        <f>CADASTROS!$H$352</f>
        <v>0</v>
      </c>
      <c r="J364" s="18">
        <f t="shared" si="16"/>
        <v>0</v>
      </c>
      <c r="L364" s="24"/>
      <c r="M364" s="15"/>
      <c r="N364" s="25"/>
      <c r="O364" s="52"/>
      <c r="P364" s="17"/>
      <c r="Q364" s="26"/>
      <c r="R364" s="24"/>
      <c r="S364" s="26"/>
      <c r="T364" s="16"/>
      <c r="U364" s="18"/>
    </row>
    <row r="365" spans="1:21" ht="15.6" customHeight="1" x14ac:dyDescent="0.25">
      <c r="A365" s="24">
        <f>CADASTROS!$B$353</f>
        <v>351</v>
      </c>
      <c r="B365" s="15" t="str">
        <f>CADASTROS!$C$353</f>
        <v>Maria Anunciação Pereira dos Santos</v>
      </c>
      <c r="C365" s="25"/>
      <c r="D365" s="25">
        <f>PLANILHA_COLHEITA_DIÁRIA!$I$576</f>
        <v>0</v>
      </c>
      <c r="E365" s="17">
        <v>6</v>
      </c>
      <c r="F365" s="26" t="str">
        <f>CADASTROS!$E$353</f>
        <v>Bradesco</v>
      </c>
      <c r="G365" s="24" t="str">
        <f>CADASTROS!$F$353</f>
        <v>3532-7</v>
      </c>
      <c r="H365" s="26" t="str">
        <f>CADASTROS!$G$353</f>
        <v>poup</v>
      </c>
      <c r="I365" s="16" t="str">
        <f>CADASTROS!$H$353</f>
        <v>1001039-0</v>
      </c>
      <c r="J365" s="18">
        <f t="shared" si="16"/>
        <v>0</v>
      </c>
      <c r="L365" s="24"/>
      <c r="M365" s="15"/>
      <c r="N365" s="25"/>
      <c r="O365" s="52"/>
      <c r="P365" s="17"/>
      <c r="Q365" s="26"/>
      <c r="R365" s="24"/>
      <c r="S365" s="26"/>
      <c r="T365" s="16"/>
      <c r="U365" s="18"/>
    </row>
    <row r="366" spans="1:21" ht="15.6" customHeight="1" x14ac:dyDescent="0.25">
      <c r="A366" s="24">
        <f>CADASTROS!$B$354</f>
        <v>352</v>
      </c>
      <c r="B366" s="15" t="str">
        <f>CADASTROS!$C$354</f>
        <v>Antônia dos Anjos Pereira</v>
      </c>
      <c r="C366" s="25"/>
      <c r="D366" s="25">
        <f>PLANILHA_COLHEITA_DIÁRIA!$I$577</f>
        <v>0</v>
      </c>
      <c r="E366" s="17">
        <v>6</v>
      </c>
      <c r="F366" s="26" t="str">
        <f>CADASTROS!$E$354</f>
        <v>Bradesco</v>
      </c>
      <c r="G366" s="24" t="str">
        <f>CADASTROS!$F$354</f>
        <v>3801-6</v>
      </c>
      <c r="H366" s="26" t="str">
        <f>CADASTROS!$G$354</f>
        <v>c/corr</v>
      </c>
      <c r="I366" s="16" t="str">
        <f>CADASTROS!$H$354</f>
        <v>0000756-0</v>
      </c>
      <c r="J366" s="18">
        <f t="shared" si="16"/>
        <v>0</v>
      </c>
      <c r="L366" s="24"/>
      <c r="M366" s="15"/>
      <c r="N366" s="25"/>
      <c r="O366" s="52"/>
      <c r="P366" s="17"/>
      <c r="Q366" s="26"/>
      <c r="R366" s="24"/>
      <c r="S366" s="26"/>
      <c r="T366" s="16"/>
      <c r="U366" s="18"/>
    </row>
    <row r="367" spans="1:21" ht="15.6" customHeight="1" x14ac:dyDescent="0.25">
      <c r="A367" s="24">
        <f>CADASTROS!$B$355</f>
        <v>353</v>
      </c>
      <c r="B367" s="15" t="str">
        <f>CADASTROS!$C$355</f>
        <v>Marlene Evangelista Nascimento</v>
      </c>
      <c r="C367" s="25"/>
      <c r="D367" s="25">
        <f>PLANILHA_COLHEITA_DIÁRIA!$I$578</f>
        <v>0</v>
      </c>
      <c r="E367" s="17">
        <v>6</v>
      </c>
      <c r="F367" s="26" t="str">
        <f>CADASTROS!$E$355</f>
        <v>Cx. Econômica</v>
      </c>
      <c r="G367" s="24">
        <f>CADASTROS!$F$355</f>
        <v>4825</v>
      </c>
      <c r="H367" s="26" t="str">
        <f>CADASTROS!$G$355</f>
        <v>013</v>
      </c>
      <c r="I367" s="16" t="str">
        <f>CADASTROS!$H$355</f>
        <v>00016500-8</v>
      </c>
      <c r="J367" s="18">
        <f t="shared" si="16"/>
        <v>0</v>
      </c>
      <c r="L367" s="24"/>
      <c r="M367" s="15"/>
      <c r="N367" s="25"/>
      <c r="O367" s="52"/>
      <c r="P367" s="17"/>
      <c r="Q367" s="26"/>
      <c r="R367" s="24"/>
      <c r="S367" s="26"/>
      <c r="T367" s="16"/>
      <c r="U367" s="18"/>
    </row>
    <row r="368" spans="1:21" ht="15.6" customHeight="1" x14ac:dyDescent="0.25">
      <c r="A368" s="24">
        <f>CADASTROS!$B$356</f>
        <v>354</v>
      </c>
      <c r="B368" s="15" t="str">
        <f>CADASTROS!$C$356</f>
        <v>Anacélia Alves</v>
      </c>
      <c r="C368" s="25"/>
      <c r="D368" s="25">
        <f>PLANILHA_COLHEITA_DIÁRIA!$I$579</f>
        <v>0</v>
      </c>
      <c r="E368" s="17">
        <v>6</v>
      </c>
      <c r="F368" s="26">
        <f>CADASTROS!$E$356</f>
        <v>0</v>
      </c>
      <c r="G368" s="24">
        <f>CADASTROS!$F$356</f>
        <v>0</v>
      </c>
      <c r="H368" s="26">
        <v>13</v>
      </c>
      <c r="I368" s="16">
        <f>CADASTROS!$H$356</f>
        <v>0</v>
      </c>
      <c r="J368" s="18">
        <f t="shared" si="16"/>
        <v>0</v>
      </c>
      <c r="L368" s="24"/>
      <c r="M368" s="15"/>
      <c r="N368" s="25"/>
      <c r="O368" s="52"/>
      <c r="P368" s="17"/>
      <c r="Q368" s="26"/>
      <c r="R368" s="24"/>
      <c r="S368" s="26"/>
      <c r="T368" s="16"/>
      <c r="U368" s="18"/>
    </row>
    <row r="369" spans="1:21" ht="15.6" customHeight="1" x14ac:dyDescent="0.25">
      <c r="A369" s="24">
        <f>CADASTROS!$B$357</f>
        <v>355</v>
      </c>
      <c r="B369" s="15" t="str">
        <f>CADASTROS!$C$357</f>
        <v>Silane Alves Martins</v>
      </c>
      <c r="C369" s="25"/>
      <c r="D369" s="52">
        <f>PLANILHA_COLHEITA_DIÁRIA!$I$580</f>
        <v>0</v>
      </c>
      <c r="E369" s="17">
        <v>6</v>
      </c>
      <c r="F369" s="26">
        <f>CADASTROS!$E$357</f>
        <v>0</v>
      </c>
      <c r="G369" s="24">
        <f>CADASTROS!$F$357</f>
        <v>0</v>
      </c>
      <c r="H369" s="26">
        <f>CADASTROS!$G$357</f>
        <v>0</v>
      </c>
      <c r="I369" s="16">
        <f>CADASTROS!$H$357</f>
        <v>0</v>
      </c>
      <c r="J369" s="18">
        <f t="shared" si="16"/>
        <v>0</v>
      </c>
      <c r="L369" s="24"/>
      <c r="M369" s="15"/>
      <c r="N369" s="25"/>
      <c r="O369" s="52"/>
      <c r="P369" s="17"/>
      <c r="Q369" s="26"/>
      <c r="R369" s="24"/>
      <c r="S369" s="26"/>
      <c r="T369" s="16"/>
      <c r="U369" s="18"/>
    </row>
    <row r="370" spans="1:21" ht="15.6" customHeight="1" x14ac:dyDescent="0.25">
      <c r="A370" s="24">
        <f>CADASTROS!$B$358</f>
        <v>356</v>
      </c>
      <c r="B370" s="15" t="str">
        <f>CADASTROS!$C$358</f>
        <v>Lindinalva Rosa Santos</v>
      </c>
      <c r="C370" s="25"/>
      <c r="D370" s="52">
        <f>PLANILHA_COLHEITA_DIÁRIA!$I$581</f>
        <v>0</v>
      </c>
      <c r="E370" s="17">
        <v>6</v>
      </c>
      <c r="F370" s="26" t="str">
        <f>CADASTROS!$E$358</f>
        <v>Cx. Econômica</v>
      </c>
      <c r="G370" s="24">
        <f>CADASTROS!$F$358</f>
        <v>780</v>
      </c>
      <c r="H370" s="26" t="str">
        <f>CADASTROS!$G$358</f>
        <v>023</v>
      </c>
      <c r="I370" s="16" t="str">
        <f>CADASTROS!$H$358</f>
        <v>00009087-6</v>
      </c>
      <c r="J370" s="18">
        <f t="shared" si="16"/>
        <v>0</v>
      </c>
      <c r="L370" s="24"/>
      <c r="M370" s="15"/>
      <c r="N370" s="25"/>
      <c r="O370" s="52"/>
      <c r="P370" s="17"/>
      <c r="Q370" s="26"/>
      <c r="R370" s="24"/>
      <c r="S370" s="26"/>
      <c r="T370" s="16"/>
      <c r="U370" s="18"/>
    </row>
    <row r="371" spans="1:21" ht="15.6" customHeight="1" x14ac:dyDescent="0.35">
      <c r="A371" s="24">
        <f>CADASTROS!$B$359</f>
        <v>357</v>
      </c>
      <c r="B371" s="15" t="str">
        <f>CADASTROS!$C$359</f>
        <v>Daniel Santana Carvalho</v>
      </c>
      <c r="C371" s="25"/>
      <c r="D371" s="25">
        <f>PLANILHA_COLHEITA_DIÁRIA!$I$582</f>
        <v>0</v>
      </c>
      <c r="E371" s="17">
        <v>6</v>
      </c>
      <c r="F371" s="26" t="str">
        <f>CADASTROS!$E$359</f>
        <v>Cx. Econômica</v>
      </c>
      <c r="G371" s="24">
        <f>CADASTROS!$F$359</f>
        <v>4825</v>
      </c>
      <c r="H371" s="26" t="str">
        <f>CADASTROS!$G$359</f>
        <v>013</v>
      </c>
      <c r="I371" s="16" t="str">
        <f>CADASTROS!$H$359</f>
        <v>00012833-1</v>
      </c>
      <c r="J371" s="18">
        <f t="shared" si="16"/>
        <v>0</v>
      </c>
      <c r="L371" s="64"/>
      <c r="M371" s="65"/>
      <c r="N371" s="66"/>
      <c r="O371" s="66"/>
      <c r="P371" s="63"/>
      <c r="Q371" s="67"/>
      <c r="R371" s="64"/>
      <c r="S371" s="67"/>
      <c r="T371" s="68"/>
      <c r="U371" s="69"/>
    </row>
    <row r="372" spans="1:21" ht="15.6" customHeight="1" x14ac:dyDescent="0.35">
      <c r="A372" s="24">
        <f>CADASTROS!$B$360</f>
        <v>358</v>
      </c>
      <c r="B372" s="15" t="str">
        <f>CADASTROS!$C$360</f>
        <v>Adriano da Silva</v>
      </c>
      <c r="C372" s="25"/>
      <c r="D372" s="25">
        <f>PLANILHA_COLHEITA_DIÁRIA!$I$583</f>
        <v>0</v>
      </c>
      <c r="E372" s="17">
        <v>6</v>
      </c>
      <c r="F372" s="26">
        <f>CADASTROS!$E$360</f>
        <v>0</v>
      </c>
      <c r="G372" s="24">
        <f>CADASTROS!$F$360</f>
        <v>0</v>
      </c>
      <c r="H372" s="26">
        <f>CADASTROS!$G$360</f>
        <v>0</v>
      </c>
      <c r="I372" s="16">
        <f>CADASTROS!$H$360</f>
        <v>0</v>
      </c>
      <c r="J372" s="18">
        <f t="shared" si="16"/>
        <v>0</v>
      </c>
      <c r="L372" s="44"/>
      <c r="M372" s="228"/>
      <c r="N372" s="229"/>
      <c r="O372" s="45">
        <f>SUM(O327:O371)</f>
        <v>665</v>
      </c>
      <c r="P372" s="45"/>
      <c r="Q372" s="200" t="s">
        <v>4869</v>
      </c>
      <c r="R372" s="201"/>
      <c r="S372" s="201"/>
      <c r="T372" s="202"/>
      <c r="U372" s="46">
        <f>SUM(U327:U371)</f>
        <v>3990</v>
      </c>
    </row>
    <row r="373" spans="1:21" ht="15.6" customHeight="1" x14ac:dyDescent="0.35">
      <c r="A373" s="24">
        <f>CADASTROS!$B$361</f>
        <v>359</v>
      </c>
      <c r="B373" s="15" t="str">
        <f>CADASTROS!$C$361</f>
        <v>Fabio Miranda Fernandes</v>
      </c>
      <c r="C373" s="25"/>
      <c r="D373" s="25">
        <f>PLANILHA_COLHEITA_DIÁRIA!$I$584</f>
        <v>0</v>
      </c>
      <c r="E373" s="17">
        <v>6</v>
      </c>
      <c r="F373" s="26" t="str">
        <f>CADASTROS!$E$361</f>
        <v>Cx. Econômica</v>
      </c>
      <c r="G373" s="24">
        <f>CADASTROS!$F$361</f>
        <v>566</v>
      </c>
      <c r="H373" s="26" t="str">
        <f>CADASTROS!$G$361</f>
        <v>013</v>
      </c>
      <c r="I373" s="16" t="str">
        <f>CADASTROS!$H$361</f>
        <v>00143435-7</v>
      </c>
      <c r="J373" s="18">
        <f t="shared" si="16"/>
        <v>0</v>
      </c>
      <c r="L373" s="54"/>
      <c r="M373" s="55"/>
      <c r="N373" s="56"/>
      <c r="O373" s="56"/>
      <c r="P373" s="57"/>
      <c r="Q373" s="58"/>
      <c r="R373" s="54"/>
      <c r="S373" s="58"/>
      <c r="T373" s="59"/>
      <c r="U373" s="60"/>
    </row>
    <row r="374" spans="1:21" ht="15.6" customHeight="1" x14ac:dyDescent="0.35">
      <c r="B374" s="220"/>
      <c r="C374" s="220"/>
      <c r="D374" s="12">
        <f>SUM(D329:D373)</f>
        <v>54</v>
      </c>
      <c r="E374" s="12"/>
      <c r="F374" s="225"/>
      <c r="G374" s="226"/>
      <c r="H374" s="226"/>
      <c r="I374" s="227"/>
      <c r="J374" s="14">
        <f>SUM(J329:J373)</f>
        <v>324</v>
      </c>
      <c r="L374" s="54"/>
      <c r="M374" s="55"/>
      <c r="N374" s="56"/>
      <c r="O374" s="56"/>
      <c r="P374" s="57"/>
      <c r="Q374" s="58"/>
      <c r="R374" s="54"/>
      <c r="S374" s="58"/>
      <c r="T374" s="59"/>
      <c r="U374" s="60"/>
    </row>
    <row r="375" spans="1:21" ht="25.5" x14ac:dyDescent="0.35">
      <c r="L375" s="54"/>
      <c r="M375" s="55"/>
      <c r="N375" s="56"/>
      <c r="O375" s="56"/>
      <c r="P375" s="57"/>
      <c r="Q375" s="58"/>
      <c r="R375" s="54"/>
      <c r="S375" s="58"/>
      <c r="T375" s="59"/>
      <c r="U375" s="60"/>
    </row>
    <row r="376" spans="1:21" ht="23.25" x14ac:dyDescent="0.35">
      <c r="L376" s="44"/>
      <c r="M376" s="232"/>
      <c r="N376" s="232"/>
      <c r="O376" s="61"/>
      <c r="P376" s="61"/>
      <c r="Q376" s="233"/>
      <c r="R376" s="233"/>
      <c r="S376" s="233"/>
      <c r="T376" s="233"/>
      <c r="U376" s="62"/>
    </row>
    <row r="377" spans="1:21" ht="15.75" x14ac:dyDescent="0.25">
      <c r="A377" s="213" t="s">
        <v>4816</v>
      </c>
      <c r="B377" s="213"/>
      <c r="C377" s="213"/>
      <c r="D377" s="213"/>
      <c r="E377" s="213"/>
      <c r="F377" s="213"/>
      <c r="G377" s="213"/>
      <c r="H377" s="213"/>
      <c r="I377" s="213"/>
      <c r="J377" s="213"/>
    </row>
    <row r="378" spans="1:21" ht="16.5" thickBot="1" x14ac:dyDescent="0.3">
      <c r="A378" s="214" t="s">
        <v>4843</v>
      </c>
      <c r="B378" s="214"/>
      <c r="C378" s="214"/>
      <c r="D378" s="214"/>
      <c r="E378" s="214"/>
      <c r="F378" s="214"/>
      <c r="G378" s="214"/>
      <c r="H378" s="214"/>
      <c r="I378" s="214"/>
      <c r="J378" s="214"/>
    </row>
    <row r="379" spans="1:21" ht="17.25" thickTop="1" thickBot="1" x14ac:dyDescent="0.3">
      <c r="A379" s="215" t="s">
        <v>4844</v>
      </c>
      <c r="B379" s="215"/>
      <c r="C379" s="215"/>
      <c r="D379" s="215"/>
      <c r="E379" s="215"/>
      <c r="F379" s="215"/>
      <c r="G379" s="215"/>
      <c r="H379" s="215"/>
      <c r="I379" s="215"/>
      <c r="J379" s="215"/>
      <c r="L379" s="203" t="s">
        <v>4843</v>
      </c>
      <c r="M379" s="203"/>
      <c r="N379" s="203"/>
      <c r="O379" s="203"/>
      <c r="P379" s="203"/>
      <c r="Q379" s="203"/>
      <c r="R379" s="203"/>
      <c r="S379" s="203"/>
      <c r="T379" s="203"/>
      <c r="U379" s="203"/>
    </row>
    <row r="380" spans="1:21" ht="20.100000000000001" customHeight="1" thickTop="1" thickBot="1" x14ac:dyDescent="0.3">
      <c r="A380" s="19" t="s">
        <v>4846</v>
      </c>
      <c r="B380" s="216" t="s">
        <v>1</v>
      </c>
      <c r="C380" s="221" t="s">
        <v>2</v>
      </c>
      <c r="D380" s="223" t="s">
        <v>4847</v>
      </c>
      <c r="E380" s="20" t="s">
        <v>4848</v>
      </c>
      <c r="F380" s="216" t="s">
        <v>3</v>
      </c>
      <c r="G380" s="216" t="s">
        <v>4</v>
      </c>
      <c r="H380" s="216" t="s">
        <v>5</v>
      </c>
      <c r="I380" s="216" t="s">
        <v>6</v>
      </c>
      <c r="J380" s="218" t="s">
        <v>4849</v>
      </c>
      <c r="L380" s="204" t="s">
        <v>4911</v>
      </c>
      <c r="M380" s="204"/>
      <c r="N380" s="204"/>
      <c r="O380" s="204"/>
      <c r="P380" s="204"/>
      <c r="Q380" s="204"/>
      <c r="R380" s="204"/>
      <c r="S380" s="204"/>
      <c r="T380" s="204"/>
      <c r="U380" s="204"/>
    </row>
    <row r="381" spans="1:21" ht="20.100000000000001" customHeight="1" thickBot="1" x14ac:dyDescent="0.35">
      <c r="A381" s="21" t="s">
        <v>4850</v>
      </c>
      <c r="B381" s="217"/>
      <c r="C381" s="222"/>
      <c r="D381" s="224"/>
      <c r="E381" s="161" t="s">
        <v>4851</v>
      </c>
      <c r="F381" s="217"/>
      <c r="G381" s="217"/>
      <c r="H381" s="217"/>
      <c r="I381" s="217"/>
      <c r="J381" s="219"/>
      <c r="L381" s="47" t="s">
        <v>4846</v>
      </c>
      <c r="M381" s="205" t="s">
        <v>1</v>
      </c>
      <c r="N381" s="207" t="s">
        <v>2</v>
      </c>
      <c r="O381" s="209" t="s">
        <v>4847</v>
      </c>
      <c r="P381" s="50" t="s">
        <v>4848</v>
      </c>
      <c r="Q381" s="205" t="s">
        <v>3</v>
      </c>
      <c r="R381" s="205" t="s">
        <v>4</v>
      </c>
      <c r="S381" s="205" t="s">
        <v>5</v>
      </c>
      <c r="T381" s="205" t="s">
        <v>6</v>
      </c>
      <c r="U381" s="211" t="s">
        <v>4849</v>
      </c>
    </row>
    <row r="382" spans="1:21" ht="20.100000000000001" customHeight="1" thickBot="1" x14ac:dyDescent="0.35">
      <c r="A382" s="24">
        <f>CADASTROS!$B$362</f>
        <v>360</v>
      </c>
      <c r="B382" s="15" t="str">
        <f>CADASTROS!$C$362</f>
        <v>Maria de Jesus de Moura</v>
      </c>
      <c r="C382" s="25"/>
      <c r="D382" s="25">
        <f>PLANILHA_COLHEITA_DIÁRIA!$I$585</f>
        <v>0</v>
      </c>
      <c r="E382" s="17">
        <v>6</v>
      </c>
      <c r="F382" s="26" t="str">
        <f>CADASTROS!$E$362</f>
        <v>Cx. Econômica</v>
      </c>
      <c r="G382" s="24">
        <f>CADASTROS!$F$362</f>
        <v>4825</v>
      </c>
      <c r="H382" s="26" t="str">
        <f>CADASTROS!$G$362</f>
        <v>013</v>
      </c>
      <c r="I382" s="16" t="str">
        <f>CADASTROS!$H$362</f>
        <v>00005079-0</v>
      </c>
      <c r="J382" s="18">
        <f t="shared" ref="J382:J426" si="17">D382*E382</f>
        <v>0</v>
      </c>
      <c r="L382" s="48" t="s">
        <v>4850</v>
      </c>
      <c r="M382" s="206"/>
      <c r="N382" s="208"/>
      <c r="O382" s="210"/>
      <c r="P382" s="166" t="s">
        <v>4851</v>
      </c>
      <c r="Q382" s="206"/>
      <c r="R382" s="206"/>
      <c r="S382" s="206"/>
      <c r="T382" s="206"/>
      <c r="U382" s="212"/>
    </row>
    <row r="383" spans="1:21" ht="15.75" x14ac:dyDescent="0.25">
      <c r="A383" s="24">
        <f>CADASTROS!$B$363</f>
        <v>361</v>
      </c>
      <c r="B383" s="15" t="str">
        <f>CADASTROS!$C$363</f>
        <v>José Roberto de Souza Almeida</v>
      </c>
      <c r="C383" s="25"/>
      <c r="D383" s="25">
        <f>PLANILHA_COLHEITA_DIÁRIA!$I$586</f>
        <v>0</v>
      </c>
      <c r="E383" s="17">
        <v>6</v>
      </c>
      <c r="F383" s="26" t="str">
        <f>CADASTROS!$E$363</f>
        <v>Cx. Econômica</v>
      </c>
      <c r="G383" s="24">
        <f>CADASTROS!$F$363</f>
        <v>4825</v>
      </c>
      <c r="H383" s="26" t="str">
        <f>CADASTROS!$G$363</f>
        <v>013</v>
      </c>
      <c r="I383" s="16" t="str">
        <f>CADASTROS!$H$363</f>
        <v>00005429-0</v>
      </c>
      <c r="J383" s="18">
        <f t="shared" si="17"/>
        <v>0</v>
      </c>
      <c r="L383" s="24">
        <f>CADASTROS!$B$24</f>
        <v>22</v>
      </c>
      <c r="M383" s="15" t="str">
        <f>CADASTROS!$C$24</f>
        <v>Joelma Mª de Jesus</v>
      </c>
      <c r="N383" s="25"/>
      <c r="O383" s="41">
        <f>PLANILHA_COLHEITA_DIÁRIA!$I$30</f>
        <v>22</v>
      </c>
      <c r="P383" s="17">
        <v>6</v>
      </c>
      <c r="Q383" s="26" t="str">
        <f>CADASTROS!$E$24</f>
        <v>Cx. Econômica</v>
      </c>
      <c r="R383" s="24">
        <f>CADASTROS!$F$24</f>
        <v>780</v>
      </c>
      <c r="S383" s="26">
        <f>CADASTROS!$G$24</f>
        <v>23</v>
      </c>
      <c r="T383" s="16" t="str">
        <f>CADASTROS!$H$24</f>
        <v>00009523-1</v>
      </c>
      <c r="U383" s="18">
        <f t="shared" ref="U383:U394" si="18">O383*P383</f>
        <v>132</v>
      </c>
    </row>
    <row r="384" spans="1:21" ht="15.75" x14ac:dyDescent="0.25">
      <c r="A384" s="24">
        <f>CADASTROS!$B$364</f>
        <v>362</v>
      </c>
      <c r="B384" s="15" t="str">
        <f>CADASTROS!$C$364</f>
        <v>Maria das Graças S Nascimento</v>
      </c>
      <c r="C384" s="25"/>
      <c r="D384" s="25">
        <f>PLANILHA_COLHEITA_DIÁRIA!$I$587</f>
        <v>0</v>
      </c>
      <c r="E384" s="17">
        <v>6</v>
      </c>
      <c r="F384" s="26" t="str">
        <f>CADASTROS!$E$364</f>
        <v>Cx. Econômica</v>
      </c>
      <c r="G384" s="24">
        <f>CADASTROS!$F$364</f>
        <v>949</v>
      </c>
      <c r="H384" s="26" t="str">
        <f>CADASTROS!$G$364</f>
        <v>023</v>
      </c>
      <c r="I384" s="16" t="str">
        <f>CADASTROS!$H$364</f>
        <v>00024457-0</v>
      </c>
      <c r="J384" s="18">
        <f t="shared" si="17"/>
        <v>0</v>
      </c>
      <c r="L384" s="24">
        <f>CADASTROS!$B$87</f>
        <v>85</v>
      </c>
      <c r="M384" s="15" t="str">
        <f>CADASTROS!$C$87</f>
        <v>Liene Bezerra Alves de Souza</v>
      </c>
      <c r="N384" s="25"/>
      <c r="O384" s="41">
        <f>PLANILHA_COLHEITA_DIÁRIA!$I$141</f>
        <v>22.5</v>
      </c>
      <c r="P384" s="17">
        <v>6</v>
      </c>
      <c r="Q384" s="26" t="str">
        <f>CADASTROS!$E$87</f>
        <v>Cx. Econômica</v>
      </c>
      <c r="R384" s="24">
        <f>CADASTROS!$F$87</f>
        <v>780</v>
      </c>
      <c r="S384" s="26">
        <f>CADASTROS!$G$87</f>
        <v>23</v>
      </c>
      <c r="T384" s="16" t="str">
        <f>CADASTROS!$H$87</f>
        <v>00011165-2</v>
      </c>
      <c r="U384" s="18">
        <f t="shared" si="18"/>
        <v>135</v>
      </c>
    </row>
    <row r="385" spans="1:21" ht="15.75" x14ac:dyDescent="0.25">
      <c r="A385" s="24">
        <f>CADASTROS!$B$365</f>
        <v>363</v>
      </c>
      <c r="B385" s="15" t="str">
        <f>CADASTROS!$C$365</f>
        <v>Joelma Paixão Lopes</v>
      </c>
      <c r="C385" s="25"/>
      <c r="D385" s="25">
        <f>PLANILHA_COLHEITA_DIÁRIA!$I$588</f>
        <v>0</v>
      </c>
      <c r="E385" s="17">
        <v>6</v>
      </c>
      <c r="F385" s="26" t="str">
        <f>CADASTROS!$E$365</f>
        <v>Cx. Econômica</v>
      </c>
      <c r="G385" s="24">
        <f>CADASTROS!$F$365</f>
        <v>949</v>
      </c>
      <c r="H385" s="26" t="str">
        <f>CADASTROS!$G$365</f>
        <v>023</v>
      </c>
      <c r="I385" s="16" t="str">
        <f>CADASTROS!$H$365</f>
        <v>00023089-7</v>
      </c>
      <c r="J385" s="18">
        <f t="shared" si="17"/>
        <v>0</v>
      </c>
      <c r="L385" s="24">
        <f>CADASTROS!$B$178</f>
        <v>176</v>
      </c>
      <c r="M385" s="15" t="str">
        <f>CADASTROS!$C$178</f>
        <v>Gleide Brito da Silva</v>
      </c>
      <c r="N385" s="25"/>
      <c r="O385" s="41">
        <f>PLANILHA_COLHEITA_DIÁRIA!$I$283</f>
        <v>64</v>
      </c>
      <c r="P385" s="17">
        <v>6</v>
      </c>
      <c r="Q385" s="26" t="str">
        <f>CADASTROS!$E$178</f>
        <v>Cx. Econômica</v>
      </c>
      <c r="R385" s="24">
        <f>CADASTROS!$F$178</f>
        <v>949</v>
      </c>
      <c r="S385" s="26">
        <f>CADASTROS!$G$178</f>
        <v>1288</v>
      </c>
      <c r="T385" s="16" t="str">
        <f>CADASTROS!$H$178</f>
        <v>837154504-3</v>
      </c>
      <c r="U385" s="18">
        <f t="shared" si="18"/>
        <v>384</v>
      </c>
    </row>
    <row r="386" spans="1:21" ht="15.75" x14ac:dyDescent="0.25">
      <c r="A386" s="24">
        <f>CADASTROS!$B$366</f>
        <v>364</v>
      </c>
      <c r="B386" s="15" t="str">
        <f>CADASTROS!$C$366</f>
        <v>Patrícia França</v>
      </c>
      <c r="C386" s="25"/>
      <c r="D386" s="25">
        <f>PLANILHA_COLHEITA_DIÁRIA!$I$589</f>
        <v>0</v>
      </c>
      <c r="E386" s="17">
        <v>6</v>
      </c>
      <c r="F386" s="26">
        <f>CADASTROS!$E$366</f>
        <v>0</v>
      </c>
      <c r="G386" s="24">
        <f>CADASTROS!$F$366</f>
        <v>0</v>
      </c>
      <c r="H386" s="26">
        <f>CADASTROS!$G$366</f>
        <v>0</v>
      </c>
      <c r="I386" s="16">
        <f>CADASTROS!$H$366</f>
        <v>0</v>
      </c>
      <c r="J386" s="18">
        <f t="shared" si="17"/>
        <v>0</v>
      </c>
      <c r="L386" s="24">
        <f>CADASTROS!$B$671</f>
        <v>669</v>
      </c>
      <c r="M386" s="15" t="str">
        <f>CADASTROS!$C$671</f>
        <v>Joseane de Jesus Moreira</v>
      </c>
      <c r="N386" s="25"/>
      <c r="O386" s="41">
        <f>PLANILHA_COLHEITA_DIÁRIA!$I$1047</f>
        <v>8.5</v>
      </c>
      <c r="P386" s="17">
        <v>6</v>
      </c>
      <c r="Q386" s="26" t="str">
        <f>CADASTROS!$E$671</f>
        <v>Cx. Econômica</v>
      </c>
      <c r="R386" s="24">
        <f>CADASTROS!$F$671</f>
        <v>780</v>
      </c>
      <c r="S386" s="26">
        <f>CADASTROS!$G$671</f>
        <v>13</v>
      </c>
      <c r="T386" s="16" t="str">
        <f>CADASTROS!$H$671</f>
        <v>00009916-7</v>
      </c>
      <c r="U386" s="18">
        <f t="shared" si="18"/>
        <v>51</v>
      </c>
    </row>
    <row r="387" spans="1:21" ht="15.75" x14ac:dyDescent="0.25">
      <c r="A387" s="24">
        <f>CADASTROS!$B$367</f>
        <v>365</v>
      </c>
      <c r="B387" s="15" t="str">
        <f>CADASTROS!$C$367</f>
        <v>Joelza Pinheiro dos Santos</v>
      </c>
      <c r="C387" s="25"/>
      <c r="D387" s="25">
        <f>PLANILHA_COLHEITA_DIÁRIA!$I$590</f>
        <v>0</v>
      </c>
      <c r="E387" s="17">
        <v>6</v>
      </c>
      <c r="F387" s="26" t="str">
        <f>CADASTROS!$E$367</f>
        <v>Cx. Econômica</v>
      </c>
      <c r="G387" s="24">
        <f>CADASTROS!$F$367</f>
        <v>4818</v>
      </c>
      <c r="H387" s="26">
        <f>CADASTROS!$G$367</f>
        <v>0</v>
      </c>
      <c r="I387" s="16" t="str">
        <f>CADASTROS!$H$367</f>
        <v>000832996286-3</v>
      </c>
      <c r="J387" s="18">
        <f t="shared" si="17"/>
        <v>0</v>
      </c>
      <c r="L387" s="24">
        <f>CADASTROS!$B$689</f>
        <v>687</v>
      </c>
      <c r="M387" s="15" t="str">
        <f>CADASTROS!$C$689</f>
        <v>Gelson Pereira dos Santos</v>
      </c>
      <c r="N387" s="25"/>
      <c r="O387" s="41">
        <f>PLANILHA_COLHEITA_DIÁRIA!$I$1065</f>
        <v>33.5</v>
      </c>
      <c r="P387" s="17">
        <v>6</v>
      </c>
      <c r="Q387" s="26" t="str">
        <f>CADASTROS!$E$689</f>
        <v>Cx. Econômica</v>
      </c>
      <c r="R387" s="24">
        <f>CADASTROS!$F$689</f>
        <v>4535</v>
      </c>
      <c r="S387" s="26">
        <f>CADASTROS!$G$689</f>
        <v>13</v>
      </c>
      <c r="T387" s="16" t="str">
        <f>CADASTROS!$H$689</f>
        <v>00001737-1</v>
      </c>
      <c r="U387" s="18">
        <f t="shared" si="18"/>
        <v>201</v>
      </c>
    </row>
    <row r="388" spans="1:21" ht="15.75" x14ac:dyDescent="0.25">
      <c r="A388" s="24">
        <f>CADASTROS!$B$368</f>
        <v>366</v>
      </c>
      <c r="B388" s="15" t="str">
        <f>CADASTROS!$C$368</f>
        <v>Mariene de Jesus Rodrigues</v>
      </c>
      <c r="C388" s="25"/>
      <c r="D388" s="25">
        <f>PLANILHA_COLHEITA_DIÁRIA!$I$591</f>
        <v>0</v>
      </c>
      <c r="E388" s="17">
        <v>6</v>
      </c>
      <c r="F388" s="26" t="str">
        <f>CADASTROS!$E$368</f>
        <v>Cx. Econômica</v>
      </c>
      <c r="G388" s="24">
        <f>CADASTROS!$F$368</f>
        <v>949</v>
      </c>
      <c r="H388" s="26" t="str">
        <f>CADASTROS!$G$368</f>
        <v>023</v>
      </c>
      <c r="I388" s="16" t="str">
        <f>CADASTROS!$H$368</f>
        <v>00014049-9</v>
      </c>
      <c r="J388" s="18">
        <f t="shared" si="17"/>
        <v>0</v>
      </c>
      <c r="L388" s="24">
        <f>CADASTROS!$B$876</f>
        <v>874</v>
      </c>
      <c r="M388" s="15" t="str">
        <f>CADASTROS!$C$876</f>
        <v>Luciane da Silva Nunes</v>
      </c>
      <c r="N388" s="25"/>
      <c r="O388" s="41">
        <f>PLANILHA_COLHEITA_DIÁRIA!$I$1389</f>
        <v>31.5</v>
      </c>
      <c r="P388" s="17">
        <v>6</v>
      </c>
      <c r="Q388" s="26" t="str">
        <f>CADASTROS!$E$876</f>
        <v>Cx. Econômica</v>
      </c>
      <c r="R388" s="24">
        <f>CADASTROS!$F$876</f>
        <v>949</v>
      </c>
      <c r="S388" s="26">
        <f>CADASTROS!$G$876</f>
        <v>23</v>
      </c>
      <c r="T388" s="16" t="str">
        <f>CADASTROS!$H$876</f>
        <v>00028234-0</v>
      </c>
      <c r="U388" s="18">
        <f t="shared" si="18"/>
        <v>189</v>
      </c>
    </row>
    <row r="389" spans="1:21" ht="15.75" x14ac:dyDescent="0.25">
      <c r="A389" s="24">
        <f>CADASTROS!$B$369</f>
        <v>367</v>
      </c>
      <c r="B389" s="15" t="str">
        <f>CADASTROS!$C$369</f>
        <v>Geniclézia Almeida Silva</v>
      </c>
      <c r="C389" s="25"/>
      <c r="D389" s="25">
        <f>PLANILHA_COLHEITA_DIÁRIA!$I$592</f>
        <v>0</v>
      </c>
      <c r="E389" s="17">
        <v>6</v>
      </c>
      <c r="F389" s="26" t="str">
        <f>CADASTROS!$E$369</f>
        <v>Cx. Econômica</v>
      </c>
      <c r="G389" s="24">
        <f>CADASTROS!$F$369</f>
        <v>4825</v>
      </c>
      <c r="H389" s="26">
        <f>CADASTROS!$G$369</f>
        <v>0</v>
      </c>
      <c r="I389" s="16" t="str">
        <f>CADASTROS!$H$369</f>
        <v>000858861751-8</v>
      </c>
      <c r="J389" s="18">
        <f t="shared" si="17"/>
        <v>0</v>
      </c>
      <c r="L389" s="24">
        <f>CADASTROS!$B$924</f>
        <v>922</v>
      </c>
      <c r="M389" s="15" t="str">
        <f>CADASTROS!$C$924</f>
        <v>Girlene de Souza Oliveira</v>
      </c>
      <c r="N389" s="25"/>
      <c r="O389" s="41">
        <f>PLANILHA_COLHEITA_DIÁRIA!$I$1461</f>
        <v>51.5</v>
      </c>
      <c r="P389" s="17">
        <v>6</v>
      </c>
      <c r="Q389" s="26" t="str">
        <f>CADASTROS!$E$924</f>
        <v>Cx. Econômica</v>
      </c>
      <c r="R389" s="24">
        <f>CADASTROS!$F$924</f>
        <v>4825</v>
      </c>
      <c r="S389" s="26">
        <f>CADASTROS!$G$924</f>
        <v>13</v>
      </c>
      <c r="T389" s="16" t="str">
        <f>CADASTROS!$H$924</f>
        <v>00007862-8</v>
      </c>
      <c r="U389" s="18">
        <f t="shared" si="18"/>
        <v>309</v>
      </c>
    </row>
    <row r="390" spans="1:21" ht="15.75" x14ac:dyDescent="0.25">
      <c r="A390" s="24">
        <f>CADASTROS!$B$370</f>
        <v>368</v>
      </c>
      <c r="B390" s="15" t="str">
        <f>CADASTROS!$C$370</f>
        <v>Jaciene Rodrigues Silva</v>
      </c>
      <c r="C390" s="25"/>
      <c r="D390" s="25">
        <f>PLANILHA_COLHEITA_DIÁRIA!$I$593</f>
        <v>0</v>
      </c>
      <c r="E390" s="17">
        <v>6</v>
      </c>
      <c r="F390" s="26" t="str">
        <f>CADASTROS!$E$370</f>
        <v>Sincoob</v>
      </c>
      <c r="G390" s="24">
        <f>CADASTROS!$F$370</f>
        <v>3025</v>
      </c>
      <c r="H390" s="26">
        <f>CADASTROS!$G$370</f>
        <v>0</v>
      </c>
      <c r="I390" s="16">
        <f>CADASTROS!$H$370</f>
        <v>1019180</v>
      </c>
      <c r="J390" s="18">
        <f t="shared" si="17"/>
        <v>0</v>
      </c>
      <c r="L390" s="24">
        <f>CADASTROS!$B$1008</f>
        <v>1006</v>
      </c>
      <c r="M390" s="15" t="str">
        <f>CADASTROS!$C$1008</f>
        <v>Ana Maria de Souza Oliveira</v>
      </c>
      <c r="N390" s="25"/>
      <c r="O390" s="53">
        <f>PLANILHA_COLHEITA_DIÁRIA!$I$1579</f>
        <v>27</v>
      </c>
      <c r="P390" s="17">
        <v>6</v>
      </c>
      <c r="Q390" s="26" t="str">
        <f>CADASTROS!$E$1008</f>
        <v>Bradesco</v>
      </c>
      <c r="R390" s="24">
        <f>CADASTROS!$F$1008</f>
        <v>3801</v>
      </c>
      <c r="S390" s="26" t="str">
        <f>CADASTROS!$G$1008</f>
        <v>poup</v>
      </c>
      <c r="T390" s="16" t="str">
        <f>CADASTROS!$H$1008</f>
        <v>0060067-9</v>
      </c>
      <c r="U390" s="18">
        <f t="shared" si="18"/>
        <v>162</v>
      </c>
    </row>
    <row r="391" spans="1:21" ht="15.75" x14ac:dyDescent="0.25">
      <c r="A391" s="24">
        <f>CADASTROS!$B$371</f>
        <v>369</v>
      </c>
      <c r="B391" s="15" t="str">
        <f>CADASTROS!$C$371</f>
        <v>Cosme</v>
      </c>
      <c r="C391" s="25"/>
      <c r="D391" s="25">
        <f>PLANILHA_COLHEITA_DIÁRIA!$I$610</f>
        <v>0</v>
      </c>
      <c r="E391" s="17">
        <v>6</v>
      </c>
      <c r="F391" s="26">
        <f>CADASTROS!$E$371</f>
        <v>0</v>
      </c>
      <c r="G391" s="24">
        <f>CADASTROS!$F$371</f>
        <v>0</v>
      </c>
      <c r="H391" s="26">
        <f>CADASTROS!$G$371</f>
        <v>0</v>
      </c>
      <c r="I391" s="16">
        <f>CADASTROS!$H$371</f>
        <v>0</v>
      </c>
      <c r="J391" s="18">
        <f t="shared" si="17"/>
        <v>0</v>
      </c>
      <c r="L391" s="24">
        <f>CADASTROS!$B$1130</f>
        <v>1128</v>
      </c>
      <c r="M391" s="15" t="str">
        <f>CADASTROS!$C$1130</f>
        <v>Marineide Mendes Santos</v>
      </c>
      <c r="N391" s="25"/>
      <c r="O391" s="41">
        <f>PLANILHA_COLHEITA_DIÁRIA!$I$1745</f>
        <v>52.5</v>
      </c>
      <c r="P391" s="17">
        <v>6</v>
      </c>
      <c r="Q391" s="26" t="str">
        <f>CADASTROS!$E$1130</f>
        <v>Cx. Econômica</v>
      </c>
      <c r="R391" s="24">
        <f>CADASTROS!$F$1130</f>
        <v>4825</v>
      </c>
      <c r="S391" s="26">
        <f>CADASTROS!$G$1130</f>
        <v>13</v>
      </c>
      <c r="T391" s="16" t="str">
        <f>CADASTROS!$H$1130</f>
        <v>00021197-2</v>
      </c>
      <c r="U391" s="18">
        <f t="shared" si="18"/>
        <v>315</v>
      </c>
    </row>
    <row r="392" spans="1:21" ht="15.75" x14ac:dyDescent="0.25">
      <c r="A392" s="24">
        <f>CADASTROS!$B$372</f>
        <v>370</v>
      </c>
      <c r="B392" s="15" t="str">
        <f>CADASTROS!$C$372</f>
        <v>Silvaneide Oliveira Souza</v>
      </c>
      <c r="C392" s="25"/>
      <c r="D392" s="25">
        <f>PLANILHA_COLHEITA_DIÁRIA!$I$611</f>
        <v>48</v>
      </c>
      <c r="E392" s="17">
        <v>6</v>
      </c>
      <c r="F392" s="26" t="str">
        <f>CADASTROS!$E$372</f>
        <v>Cx. Econômica</v>
      </c>
      <c r="G392" s="24">
        <f>CADASTROS!$F$372</f>
        <v>4818</v>
      </c>
      <c r="H392" s="26" t="str">
        <f>CADASTROS!$G$372</f>
        <v>013</v>
      </c>
      <c r="I392" s="16" t="str">
        <f>CADASTROS!$H$372</f>
        <v>00009892-2</v>
      </c>
      <c r="J392" s="18">
        <f t="shared" si="17"/>
        <v>288</v>
      </c>
      <c r="L392" s="24">
        <f>CADASTROS!$B$1195</f>
        <v>1193</v>
      </c>
      <c r="M392" s="15" t="str">
        <f>CADASTROS!$C$1195</f>
        <v>Elane Rosa de Souza</v>
      </c>
      <c r="N392" s="25"/>
      <c r="O392" s="41">
        <f>PLANILHA_COLHEITA_DIÁRIA!$I$1844</f>
        <v>50</v>
      </c>
      <c r="P392" s="17">
        <v>6</v>
      </c>
      <c r="Q392" s="26" t="str">
        <f>CADASTROS!$E$1195</f>
        <v>Cx. Econômica</v>
      </c>
      <c r="R392" s="24">
        <f>CADASTROS!$F$1195</f>
        <v>2399</v>
      </c>
      <c r="S392" s="26">
        <f>CADASTROS!$G$1195</f>
        <v>13</v>
      </c>
      <c r="T392" s="16" t="str">
        <f>CADASTROS!$H$1195</f>
        <v>00018713-3</v>
      </c>
      <c r="U392" s="18">
        <f t="shared" si="18"/>
        <v>300</v>
      </c>
    </row>
    <row r="393" spans="1:21" ht="15.75" x14ac:dyDescent="0.25">
      <c r="A393" s="24">
        <f>CADASTROS!$B$373</f>
        <v>371</v>
      </c>
      <c r="B393" s="15" t="str">
        <f>CADASTROS!$C$373</f>
        <v>Eloizio Cruz da Silva</v>
      </c>
      <c r="C393" s="25"/>
      <c r="D393" s="35">
        <f>PLANILHA_COLHEITA_DIÁRIA!$I$612</f>
        <v>0</v>
      </c>
      <c r="E393" s="17">
        <v>6</v>
      </c>
      <c r="F393" s="26">
        <f>CADASTROS!$E$373</f>
        <v>0</v>
      </c>
      <c r="G393" s="24">
        <f>CADASTROS!$F$373</f>
        <v>0</v>
      </c>
      <c r="H393" s="26">
        <f>CADASTROS!$G$373</f>
        <v>0</v>
      </c>
      <c r="I393" s="16">
        <f>CADASTROS!$H$373</f>
        <v>0</v>
      </c>
      <c r="J393" s="18">
        <f t="shared" si="17"/>
        <v>0</v>
      </c>
      <c r="L393" s="24">
        <f>CADASTROS!$B$1258</f>
        <v>1256</v>
      </c>
      <c r="M393" s="15" t="str">
        <f>CADASTROS!$C$1258</f>
        <v>Girleide Santana</v>
      </c>
      <c r="N393" s="25"/>
      <c r="O393" s="41">
        <f>PLANILHA_COLHEITA_DIÁRIA!$I$1929</f>
        <v>32.5</v>
      </c>
      <c r="P393" s="17">
        <v>6</v>
      </c>
      <c r="Q393" s="26" t="str">
        <f>CADASTROS!$E$1258</f>
        <v>Cx. Econômica</v>
      </c>
      <c r="R393" s="24">
        <f>CADASTROS!$F$1258</f>
        <v>4818</v>
      </c>
      <c r="S393" s="26">
        <f>CADASTROS!$G$1258</f>
        <v>13</v>
      </c>
      <c r="T393" s="16" t="str">
        <f>CADASTROS!$H$1258</f>
        <v>00006184-0</v>
      </c>
      <c r="U393" s="18">
        <f t="shared" si="18"/>
        <v>195</v>
      </c>
    </row>
    <row r="394" spans="1:21" ht="15.75" x14ac:dyDescent="0.25">
      <c r="A394" s="24">
        <f>CADASTROS!$B$374</f>
        <v>372</v>
      </c>
      <c r="B394" s="15" t="str">
        <f>CADASTROS!$C$374</f>
        <v>Vando Welton Lima Dantas</v>
      </c>
      <c r="C394" s="25"/>
      <c r="D394" s="35">
        <f>PLANILHA_COLHEITA_DIÁRIA!$I$613</f>
        <v>43</v>
      </c>
      <c r="E394" s="17">
        <v>6</v>
      </c>
      <c r="F394" s="26" t="str">
        <f>CADASTROS!$E$374</f>
        <v>Banco do Brasil</v>
      </c>
      <c r="G394" s="24" t="str">
        <f>CADASTROS!$F$374</f>
        <v>2760-X</v>
      </c>
      <c r="H394" s="26" t="str">
        <f>CADASTROS!$G$374</f>
        <v>poup</v>
      </c>
      <c r="I394" s="16" t="str">
        <f>CADASTROS!$H$374</f>
        <v>10.089-7</v>
      </c>
      <c r="J394" s="18">
        <f t="shared" si="17"/>
        <v>258</v>
      </c>
      <c r="L394" s="24">
        <f>CADASTROS!$B$1259</f>
        <v>1257</v>
      </c>
      <c r="M394" s="15" t="str">
        <f>CADASTROS!$C$1259</f>
        <v>Cleber de Jesus Oliveira</v>
      </c>
      <c r="N394" s="25"/>
      <c r="O394" s="41">
        <f>PLANILHA_COLHEITA_DIÁRIA!$I$1930</f>
        <v>36</v>
      </c>
      <c r="P394" s="17">
        <v>6</v>
      </c>
      <c r="Q394" s="26" t="str">
        <f>CADASTROS!$E$1259</f>
        <v>Bradesco</v>
      </c>
      <c r="R394" s="24" t="str">
        <f>CADASTROS!$F$1259</f>
        <v>3532-7</v>
      </c>
      <c r="S394" s="26" t="str">
        <f>CADASTROS!$G$1259</f>
        <v>poup</v>
      </c>
      <c r="T394" s="16" t="str">
        <f>CADASTROS!$H$1259</f>
        <v>0003149-6</v>
      </c>
      <c r="U394" s="18">
        <f t="shared" si="18"/>
        <v>216</v>
      </c>
    </row>
    <row r="395" spans="1:21" ht="15.75" x14ac:dyDescent="0.25">
      <c r="A395" s="24">
        <f>CADASTROS!$B$375</f>
        <v>373</v>
      </c>
      <c r="B395" s="15" t="str">
        <f>CADASTROS!$C$375</f>
        <v>Maria Madalena Lima Santos</v>
      </c>
      <c r="C395" s="25"/>
      <c r="D395" s="35">
        <f>PLANILHA_COLHEITA_DIÁRIA!$I$614</f>
        <v>0</v>
      </c>
      <c r="E395" s="17">
        <v>6</v>
      </c>
      <c r="F395" s="26" t="str">
        <f>CADASTROS!$E$375</f>
        <v>Cx. Econômica</v>
      </c>
      <c r="G395" s="24">
        <f>CADASTROS!$F$375</f>
        <v>3233</v>
      </c>
      <c r="H395" s="26" t="str">
        <f>CADASTROS!$G$375</f>
        <v>023</v>
      </c>
      <c r="I395" s="16" t="str">
        <f>CADASTROS!$H$375</f>
        <v>00006551-4</v>
      </c>
      <c r="J395" s="18">
        <f t="shared" si="17"/>
        <v>0</v>
      </c>
      <c r="L395" s="24">
        <v>1647</v>
      </c>
      <c r="M395" s="15" t="s">
        <v>3357</v>
      </c>
      <c r="N395" s="25"/>
      <c r="O395" s="53">
        <v>190</v>
      </c>
      <c r="P395" s="17">
        <v>6</v>
      </c>
      <c r="Q395" s="26" t="s">
        <v>4912</v>
      </c>
      <c r="R395" s="24" t="s">
        <v>36</v>
      </c>
      <c r="S395" s="26" t="s">
        <v>22</v>
      </c>
      <c r="T395" s="16" t="s">
        <v>3359</v>
      </c>
      <c r="U395" s="18">
        <v>1140</v>
      </c>
    </row>
    <row r="396" spans="1:21" ht="15.75" x14ac:dyDescent="0.25">
      <c r="A396" s="24">
        <f>CADASTROS!$B$376</f>
        <v>374</v>
      </c>
      <c r="B396" s="15" t="str">
        <f>CADASTROS!$C$376</f>
        <v>José Eduardo Sousa</v>
      </c>
      <c r="C396" s="25"/>
      <c r="D396" s="35">
        <f>PLANILHA_COLHEITA_DIÁRIA!$I$615</f>
        <v>0</v>
      </c>
      <c r="E396" s="17">
        <v>6</v>
      </c>
      <c r="F396" s="26" t="str">
        <f>CADASTROS!$E$376</f>
        <v>Banco do Brasil</v>
      </c>
      <c r="G396" s="24" t="str">
        <f>CADASTROS!$F$376</f>
        <v>2760-X</v>
      </c>
      <c r="H396" s="26" t="str">
        <f>CADASTROS!$G$376</f>
        <v>poup</v>
      </c>
      <c r="I396" s="16" t="str">
        <f>CADASTROS!$H$376</f>
        <v>14.579-3</v>
      </c>
      <c r="J396" s="18">
        <f t="shared" si="17"/>
        <v>0</v>
      </c>
      <c r="L396" s="24">
        <v>1648</v>
      </c>
      <c r="M396" s="15" t="s">
        <v>3360</v>
      </c>
      <c r="N396" s="25"/>
      <c r="O396" s="53">
        <v>185</v>
      </c>
      <c r="P396" s="17">
        <v>6</v>
      </c>
      <c r="Q396" s="26" t="s">
        <v>4912</v>
      </c>
      <c r="R396" s="24" t="s">
        <v>36</v>
      </c>
      <c r="S396" s="26" t="s">
        <v>22</v>
      </c>
      <c r="T396" s="16" t="s">
        <v>3361</v>
      </c>
      <c r="U396" s="18">
        <v>1110</v>
      </c>
    </row>
    <row r="397" spans="1:21" ht="15.75" x14ac:dyDescent="0.25">
      <c r="A397" s="24">
        <f>CADASTROS!$B$377</f>
        <v>375</v>
      </c>
      <c r="B397" s="15" t="str">
        <f>CADASTROS!$C$377</f>
        <v>Dalvaires A de Souza</v>
      </c>
      <c r="C397" s="25"/>
      <c r="D397" s="35">
        <f>PLANILHA_COLHEITA_DIÁRIA!$I$616</f>
        <v>0</v>
      </c>
      <c r="E397" s="17">
        <v>6</v>
      </c>
      <c r="F397" s="26" t="str">
        <f>CADASTROS!$E$377</f>
        <v>Banco do Brasil</v>
      </c>
      <c r="G397" s="24" t="str">
        <f>CADASTROS!$F$377</f>
        <v>2360-X</v>
      </c>
      <c r="H397" s="26" t="str">
        <f>CADASTROS!$G$377</f>
        <v>poup</v>
      </c>
      <c r="I397" s="16" t="str">
        <f>CADASTROS!$H$377</f>
        <v>10.025-0</v>
      </c>
      <c r="J397" s="18">
        <f t="shared" si="17"/>
        <v>0</v>
      </c>
      <c r="L397" s="24">
        <v>1657</v>
      </c>
      <c r="M397" s="15" t="s">
        <v>3379</v>
      </c>
      <c r="N397" s="25"/>
      <c r="O397" s="53">
        <v>61</v>
      </c>
      <c r="P397" s="17">
        <v>6</v>
      </c>
      <c r="Q397" s="26" t="s">
        <v>4912</v>
      </c>
      <c r="R397" s="24" t="s">
        <v>3380</v>
      </c>
      <c r="S397" s="26" t="s">
        <v>37</v>
      </c>
      <c r="T397" s="16" t="s">
        <v>3381</v>
      </c>
      <c r="U397" s="18">
        <v>366</v>
      </c>
    </row>
    <row r="398" spans="1:21" ht="15.75" x14ac:dyDescent="0.25">
      <c r="A398" s="24">
        <f>CADASTROS!$B$378</f>
        <v>376</v>
      </c>
      <c r="B398" s="15" t="str">
        <f>CADASTROS!$C$378</f>
        <v>Juliana Alves de Souza</v>
      </c>
      <c r="C398" s="25"/>
      <c r="D398" s="41">
        <f>PLANILHA_COLHEITA_DIÁRIA!$I$617</f>
        <v>0</v>
      </c>
      <c r="E398" s="17">
        <v>6</v>
      </c>
      <c r="F398" s="26" t="str">
        <f>CADASTROS!$E$378</f>
        <v>Cx. Econômica</v>
      </c>
      <c r="G398" s="24">
        <f>CADASTROS!$F$378</f>
        <v>4818</v>
      </c>
      <c r="H398" s="26" t="str">
        <f>CADASTROS!$G$378</f>
        <v>013</v>
      </c>
      <c r="I398" s="16" t="str">
        <f>CADASTROS!$H$378</f>
        <v>00004290-0</v>
      </c>
      <c r="J398" s="18">
        <f t="shared" si="17"/>
        <v>0</v>
      </c>
      <c r="L398" s="24">
        <f>CADASTROS!$B$1363</f>
        <v>1361</v>
      </c>
      <c r="M398" s="15" t="str">
        <f>CADASTROS!$C$1363</f>
        <v>Adelmo Pinto Santana</v>
      </c>
      <c r="N398" s="25"/>
      <c r="O398" s="53">
        <f>PLANILHA_COLHEITA_DIÁRIA!$I$2078</f>
        <v>13</v>
      </c>
      <c r="P398" s="17">
        <v>6</v>
      </c>
      <c r="Q398" s="26" t="str">
        <f>CADASTROS!$E$1363</f>
        <v>Cx. Econômica</v>
      </c>
      <c r="R398" s="24">
        <f>CADASTROS!$F$1363</f>
        <v>4818</v>
      </c>
      <c r="S398" s="26">
        <f>CADASTROS!$G$1363</f>
        <v>13</v>
      </c>
      <c r="T398" s="16" t="str">
        <f>CADASTROS!$H$1363</f>
        <v>00004817-8</v>
      </c>
      <c r="U398" s="18">
        <f t="shared" ref="U398" si="19">O398*P398</f>
        <v>78</v>
      </c>
    </row>
    <row r="399" spans="1:21" ht="15.75" x14ac:dyDescent="0.25">
      <c r="A399" s="24">
        <f>CADASTROS!$B$379</f>
        <v>377</v>
      </c>
      <c r="B399" s="15" t="str">
        <f>CADASTROS!$C$379</f>
        <v>Tatiana Alves de Souza</v>
      </c>
      <c r="C399" s="25"/>
      <c r="D399" s="41">
        <f>PLANILHA_COLHEITA_DIÁRIA!$I$618</f>
        <v>0</v>
      </c>
      <c r="E399" s="17">
        <v>6</v>
      </c>
      <c r="F399" s="26" t="str">
        <f>CADASTROS!$E$379</f>
        <v>Banco do Brasil</v>
      </c>
      <c r="G399" s="24" t="str">
        <f>CADASTROS!$F$379</f>
        <v>2760-X</v>
      </c>
      <c r="H399" s="26" t="str">
        <f>CADASTROS!$G$379</f>
        <v>poup</v>
      </c>
      <c r="I399" s="16" t="str">
        <f>CADASTROS!$H$379</f>
        <v>22.260-7</v>
      </c>
      <c r="J399" s="18">
        <f t="shared" si="17"/>
        <v>0</v>
      </c>
      <c r="L399" s="24">
        <v>1708</v>
      </c>
      <c r="M399" s="15" t="s">
        <v>3475</v>
      </c>
      <c r="N399" s="25"/>
      <c r="O399" s="53">
        <v>50.5</v>
      </c>
      <c r="P399" s="17">
        <v>6</v>
      </c>
      <c r="Q399" s="26" t="s">
        <v>4912</v>
      </c>
      <c r="R399" s="24" t="s">
        <v>36</v>
      </c>
      <c r="S399" s="26" t="s">
        <v>37</v>
      </c>
      <c r="T399" s="16" t="s">
        <v>3476</v>
      </c>
      <c r="U399" s="18">
        <v>303</v>
      </c>
    </row>
    <row r="400" spans="1:21" ht="15.75" x14ac:dyDescent="0.25">
      <c r="A400" s="24">
        <f>CADASTROS!$B$380</f>
        <v>378</v>
      </c>
      <c r="B400" s="15" t="str">
        <f>CADASTROS!$C$380</f>
        <v>Maria Aparecida Leoncio Pires</v>
      </c>
      <c r="C400" s="25"/>
      <c r="D400" s="35">
        <f>PLANILHA_COLHEITA_DIÁRIA!$I$619</f>
        <v>0</v>
      </c>
      <c r="E400" s="17">
        <v>6</v>
      </c>
      <c r="F400" s="26" t="str">
        <f>CADASTROS!$E$380</f>
        <v>Cx. Econômica</v>
      </c>
      <c r="G400" s="24">
        <f>CADASTROS!$F$380</f>
        <v>949</v>
      </c>
      <c r="H400" s="26" t="str">
        <f>CADASTROS!$G$380</f>
        <v>023</v>
      </c>
      <c r="I400" s="16" t="str">
        <f>CADASTROS!$H$380</f>
        <v>00024118-0</v>
      </c>
      <c r="J400" s="18">
        <f t="shared" si="17"/>
        <v>0</v>
      </c>
      <c r="L400" s="24">
        <v>1729</v>
      </c>
      <c r="M400" s="15" t="s">
        <v>4913</v>
      </c>
      <c r="N400" s="25"/>
      <c r="O400" s="41">
        <v>25</v>
      </c>
      <c r="P400" s="17">
        <v>6</v>
      </c>
      <c r="Q400" s="26" t="s">
        <v>4912</v>
      </c>
      <c r="R400" s="24" t="s">
        <v>36</v>
      </c>
      <c r="S400" s="26" t="s">
        <v>37</v>
      </c>
      <c r="T400" s="16" t="s">
        <v>3520</v>
      </c>
      <c r="U400" s="18">
        <v>150</v>
      </c>
    </row>
    <row r="401" spans="1:21" ht="15.75" x14ac:dyDescent="0.25">
      <c r="A401" s="24">
        <f>CADASTROS!$B$381</f>
        <v>379</v>
      </c>
      <c r="B401" s="15" t="str">
        <f>CADASTROS!$C$381</f>
        <v>Noelma Oliveira Santana</v>
      </c>
      <c r="C401" s="25"/>
      <c r="D401" s="35">
        <f>PLANILHA_COLHEITA_DIÁRIA!$I$620</f>
        <v>0</v>
      </c>
      <c r="E401" s="17">
        <v>6</v>
      </c>
      <c r="F401" s="26" t="str">
        <f>CADASTROS!$E$381</f>
        <v>Cx. Econômica</v>
      </c>
      <c r="G401" s="24">
        <f>CADASTROS!$F$381</f>
        <v>949</v>
      </c>
      <c r="H401" s="26" t="str">
        <f>CADASTROS!$G$381</f>
        <v>023</v>
      </c>
      <c r="I401" s="16" t="str">
        <f>CADASTROS!$H$381</f>
        <v>00007240-0</v>
      </c>
      <c r="J401" s="18">
        <f t="shared" si="17"/>
        <v>0</v>
      </c>
      <c r="L401" s="24">
        <v>1746</v>
      </c>
      <c r="M401" s="15" t="s">
        <v>3551</v>
      </c>
      <c r="N401" s="25"/>
      <c r="O401" s="41">
        <v>56</v>
      </c>
      <c r="P401" s="17">
        <v>6</v>
      </c>
      <c r="Q401" s="26" t="s">
        <v>4912</v>
      </c>
      <c r="R401" s="24" t="s">
        <v>36</v>
      </c>
      <c r="S401" s="26" t="s">
        <v>37</v>
      </c>
      <c r="T401" s="16" t="s">
        <v>3552</v>
      </c>
      <c r="U401" s="18">
        <v>336</v>
      </c>
    </row>
    <row r="402" spans="1:21" ht="15.75" x14ac:dyDescent="0.25">
      <c r="A402" s="24">
        <f>CADASTROS!$B$382</f>
        <v>380</v>
      </c>
      <c r="B402" s="15" t="str">
        <f>CADASTROS!$C$382</f>
        <v>Bruno Moreira da Silva</v>
      </c>
      <c r="C402" s="25"/>
      <c r="D402" s="35">
        <f>PLANILHA_COLHEITA_DIÁRIA!$I$621</f>
        <v>0</v>
      </c>
      <c r="E402" s="17">
        <v>6</v>
      </c>
      <c r="F402" s="26" t="str">
        <f>CADASTROS!$E$382</f>
        <v>Cx. Econômica</v>
      </c>
      <c r="G402" s="24">
        <f>CADASTROS!$F$382</f>
        <v>3617</v>
      </c>
      <c r="H402" s="26" t="str">
        <f>CADASTROS!$G$382</f>
        <v>013</v>
      </c>
      <c r="I402" s="16" t="str">
        <f>CADASTROS!$H$382</f>
        <v>00019873-5</v>
      </c>
      <c r="J402" s="18">
        <f t="shared" si="17"/>
        <v>0</v>
      </c>
      <c r="L402" s="24">
        <v>1749</v>
      </c>
      <c r="M402" s="15" t="s">
        <v>3558</v>
      </c>
      <c r="N402" s="25"/>
      <c r="O402" s="41">
        <v>29</v>
      </c>
      <c r="P402" s="17">
        <v>6</v>
      </c>
      <c r="Q402" s="26" t="s">
        <v>4912</v>
      </c>
      <c r="R402" s="24" t="s">
        <v>36</v>
      </c>
      <c r="S402" s="26" t="s">
        <v>37</v>
      </c>
      <c r="T402" s="16" t="s">
        <v>3559</v>
      </c>
      <c r="U402" s="18">
        <v>174</v>
      </c>
    </row>
    <row r="403" spans="1:21" ht="15.75" x14ac:dyDescent="0.25">
      <c r="A403" s="24">
        <f>CADASTROS!$B$383</f>
        <v>381</v>
      </c>
      <c r="B403" s="15" t="str">
        <f>CADASTROS!$C$383</f>
        <v>Juarez de Souza</v>
      </c>
      <c r="C403" s="25"/>
      <c r="D403" s="35">
        <f>PLANILHA_COLHEITA_DIÁRIA!$I$622</f>
        <v>0</v>
      </c>
      <c r="E403" s="17">
        <v>6</v>
      </c>
      <c r="F403" s="26" t="str">
        <f>CADASTROS!$E$383</f>
        <v>Cx. Econômica</v>
      </c>
      <c r="G403" s="24">
        <f>CADASTROS!$F$383</f>
        <v>949</v>
      </c>
      <c r="H403" s="26" t="str">
        <f>CADASTROS!$G$383</f>
        <v>013</v>
      </c>
      <c r="I403" s="16" t="str">
        <f>CADASTROS!$H$383</f>
        <v>00070599-5</v>
      </c>
      <c r="J403" s="18">
        <f t="shared" si="17"/>
        <v>0</v>
      </c>
      <c r="L403" s="24">
        <v>1759</v>
      </c>
      <c r="M403" s="15" t="s">
        <v>3579</v>
      </c>
      <c r="N403" s="25"/>
      <c r="O403" s="41">
        <v>59</v>
      </c>
      <c r="P403" s="17">
        <v>6</v>
      </c>
      <c r="Q403" s="26" t="s">
        <v>4912</v>
      </c>
      <c r="R403" s="24" t="s">
        <v>3580</v>
      </c>
      <c r="S403" s="26" t="s">
        <v>22</v>
      </c>
      <c r="T403" s="16" t="s">
        <v>3581</v>
      </c>
      <c r="U403" s="18">
        <v>354</v>
      </c>
    </row>
    <row r="404" spans="1:21" ht="15.75" x14ac:dyDescent="0.25">
      <c r="A404" s="24">
        <f>CADASTROS!$B$384</f>
        <v>382</v>
      </c>
      <c r="B404" s="15" t="str">
        <f>CADASTROS!$C$384</f>
        <v>Elvis Alves dos Santos</v>
      </c>
      <c r="C404" s="25"/>
      <c r="D404" s="35">
        <f>PLANILHA_COLHEITA_DIÁRIA!$I$623</f>
        <v>0</v>
      </c>
      <c r="E404" s="17">
        <v>6</v>
      </c>
      <c r="F404" s="26" t="str">
        <f>CADASTROS!$E$384</f>
        <v>Banco do Brasil</v>
      </c>
      <c r="G404" s="24" t="str">
        <f>CADASTROS!$F$384</f>
        <v>2760-X</v>
      </c>
      <c r="H404" s="26" t="str">
        <f>CADASTROS!$G$384</f>
        <v>poup</v>
      </c>
      <c r="I404" s="16" t="str">
        <f>CADASTROS!$H$384</f>
        <v>14.992-6</v>
      </c>
      <c r="J404" s="18">
        <f t="shared" si="17"/>
        <v>0</v>
      </c>
      <c r="L404" s="24">
        <v>1781</v>
      </c>
      <c r="M404" s="15" t="s">
        <v>3628</v>
      </c>
      <c r="N404" s="25"/>
      <c r="O404" s="41">
        <v>109</v>
      </c>
      <c r="P404" s="17">
        <v>6</v>
      </c>
      <c r="Q404" s="26" t="s">
        <v>4912</v>
      </c>
      <c r="R404" s="24" t="s">
        <v>670</v>
      </c>
      <c r="S404" s="26" t="s">
        <v>37</v>
      </c>
      <c r="T404" s="16" t="s">
        <v>2956</v>
      </c>
      <c r="U404" s="18">
        <v>654</v>
      </c>
    </row>
    <row r="405" spans="1:21" ht="15.75" x14ac:dyDescent="0.25">
      <c r="A405" s="24">
        <f>CADASTROS!$B$385</f>
        <v>383</v>
      </c>
      <c r="B405" s="15" t="str">
        <f>CADASTROS!$C$385</f>
        <v>Simone Melo Silva</v>
      </c>
      <c r="C405" s="25"/>
      <c r="D405" s="35">
        <f>PLANILHA_COLHEITA_DIÁRIA!$I$624</f>
        <v>0</v>
      </c>
      <c r="E405" s="17">
        <v>6</v>
      </c>
      <c r="F405" s="26" t="str">
        <f>CADASTROS!$E$385</f>
        <v>Cx. Econômica</v>
      </c>
      <c r="G405" s="24">
        <f>CADASTROS!$F$385</f>
        <v>949</v>
      </c>
      <c r="H405" s="26" t="str">
        <f>CADASTROS!$G$385</f>
        <v>023</v>
      </c>
      <c r="I405" s="16" t="str">
        <f>CADASTROS!$H$385</f>
        <v>00015856-8</v>
      </c>
      <c r="J405" s="18">
        <f t="shared" si="17"/>
        <v>0</v>
      </c>
      <c r="L405" s="24">
        <v>1792</v>
      </c>
      <c r="M405" s="15" t="s">
        <v>3652</v>
      </c>
      <c r="N405" s="25"/>
      <c r="O405" s="53">
        <v>28</v>
      </c>
      <c r="P405" s="17">
        <v>6</v>
      </c>
      <c r="Q405" s="26" t="s">
        <v>4912</v>
      </c>
      <c r="R405" s="24" t="s">
        <v>36</v>
      </c>
      <c r="S405" s="26" t="s">
        <v>1944</v>
      </c>
      <c r="T405" s="16" t="s">
        <v>3653</v>
      </c>
      <c r="U405" s="18">
        <v>168</v>
      </c>
    </row>
    <row r="406" spans="1:21" ht="15.75" x14ac:dyDescent="0.25">
      <c r="A406" s="24">
        <f>CADASTROS!$B$386</f>
        <v>384</v>
      </c>
      <c r="B406" s="15" t="str">
        <f>CADASTROS!$C$386</f>
        <v>Marivalda Oliveira Santana</v>
      </c>
      <c r="C406" s="25"/>
      <c r="D406" s="35">
        <f>PLANILHA_COLHEITA_DIÁRIA!$I$625</f>
        <v>0</v>
      </c>
      <c r="E406" s="17">
        <v>6</v>
      </c>
      <c r="F406" s="26" t="str">
        <f>CADASTROS!$E$386</f>
        <v>Cx. Econômica</v>
      </c>
      <c r="G406" s="24">
        <f>CADASTROS!$F$386</f>
        <v>949</v>
      </c>
      <c r="H406" s="26" t="str">
        <f>CADASTROS!$G$386</f>
        <v>013</v>
      </c>
      <c r="I406" s="16" t="str">
        <f>CADASTROS!$H$386</f>
        <v>00063978-0</v>
      </c>
      <c r="J406" s="18">
        <f t="shared" si="17"/>
        <v>0</v>
      </c>
      <c r="L406" s="24">
        <v>1800</v>
      </c>
      <c r="M406" s="15" t="s">
        <v>4914</v>
      </c>
      <c r="N406" s="25"/>
      <c r="O406" s="41">
        <v>38</v>
      </c>
      <c r="P406" s="17">
        <v>6</v>
      </c>
      <c r="Q406" s="26" t="s">
        <v>4912</v>
      </c>
      <c r="R406" s="24" t="s">
        <v>36</v>
      </c>
      <c r="S406" s="26" t="s">
        <v>37</v>
      </c>
      <c r="T406" s="16" t="s">
        <v>3671</v>
      </c>
      <c r="U406" s="18">
        <v>228</v>
      </c>
    </row>
    <row r="407" spans="1:21" ht="15.75" x14ac:dyDescent="0.25">
      <c r="A407" s="24">
        <f>CADASTROS!$B$387</f>
        <v>385</v>
      </c>
      <c r="B407" s="15" t="str">
        <f>CADASTROS!$C$387</f>
        <v>Jandira de Jesus Pires</v>
      </c>
      <c r="C407" s="25"/>
      <c r="D407" s="52">
        <f>PLANILHA_COLHEITA_DIÁRIA!$I$626</f>
        <v>0</v>
      </c>
      <c r="E407" s="17">
        <v>6</v>
      </c>
      <c r="F407" s="26" t="str">
        <f>CADASTROS!$E$387</f>
        <v>Cx. Econômica</v>
      </c>
      <c r="G407" s="24">
        <f>CADASTROS!$F$387</f>
        <v>949</v>
      </c>
      <c r="H407" s="26" t="str">
        <f>CADASTROS!$G$387</f>
        <v>023</v>
      </c>
      <c r="I407" s="16" t="str">
        <f>CADASTROS!$H$387</f>
        <v>00007361-9</v>
      </c>
      <c r="J407" s="18">
        <f t="shared" si="17"/>
        <v>0</v>
      </c>
      <c r="L407" s="24">
        <v>1824</v>
      </c>
      <c r="M407" s="15" t="s">
        <v>3717</v>
      </c>
      <c r="N407" s="25"/>
      <c r="O407" s="53">
        <v>52.5</v>
      </c>
      <c r="P407" s="17">
        <v>6</v>
      </c>
      <c r="Q407" s="26" t="s">
        <v>4912</v>
      </c>
      <c r="R407" s="24" t="s">
        <v>36</v>
      </c>
      <c r="S407" s="26" t="s">
        <v>37</v>
      </c>
      <c r="T407" s="16" t="s">
        <v>3718</v>
      </c>
      <c r="U407" s="18">
        <v>315</v>
      </c>
    </row>
    <row r="408" spans="1:21" ht="15.75" x14ac:dyDescent="0.25">
      <c r="A408" s="24">
        <f>CADASTROS!$B$388</f>
        <v>386</v>
      </c>
      <c r="B408" s="15" t="str">
        <f>CADASTROS!$C$388</f>
        <v>Ildete Silva Inacio</v>
      </c>
      <c r="C408" s="25"/>
      <c r="D408" s="35">
        <f>PLANILHA_COLHEITA_DIÁRIA!$I$627</f>
        <v>0</v>
      </c>
      <c r="E408" s="17">
        <v>6</v>
      </c>
      <c r="F408" s="26" t="str">
        <f>CADASTROS!$E$388</f>
        <v>Cx. Econômica</v>
      </c>
      <c r="G408" s="24">
        <f>CADASTROS!$F$388</f>
        <v>4818</v>
      </c>
      <c r="H408" s="26">
        <f>CADASTROS!$G$388</f>
        <v>1288</v>
      </c>
      <c r="I408" s="16" t="str">
        <f>CADASTROS!$H$388</f>
        <v>960432855-2</v>
      </c>
      <c r="J408" s="18">
        <f t="shared" si="17"/>
        <v>0</v>
      </c>
      <c r="L408" s="24">
        <v>1845</v>
      </c>
      <c r="M408" s="15" t="s">
        <v>4915</v>
      </c>
      <c r="N408" s="25"/>
      <c r="O408" s="53">
        <v>101.5</v>
      </c>
      <c r="P408" s="17">
        <v>6</v>
      </c>
      <c r="Q408" s="26" t="s">
        <v>4912</v>
      </c>
      <c r="R408" s="24" t="s">
        <v>36</v>
      </c>
      <c r="S408" s="26" t="s">
        <v>37</v>
      </c>
      <c r="T408" s="16" t="s">
        <v>3392</v>
      </c>
      <c r="U408" s="18">
        <v>609</v>
      </c>
    </row>
    <row r="409" spans="1:21" ht="15.75" x14ac:dyDescent="0.25">
      <c r="A409" s="24">
        <f>CADASTROS!$B$389</f>
        <v>387</v>
      </c>
      <c r="B409" s="15" t="str">
        <f>CADASTROS!$C$389</f>
        <v>Jaíne Inácio da Silva</v>
      </c>
      <c r="C409" s="25"/>
      <c r="D409" s="35">
        <f>PLANILHA_COLHEITA_DIÁRIA!$I$628</f>
        <v>0</v>
      </c>
      <c r="E409" s="17">
        <v>6</v>
      </c>
      <c r="F409" s="26" t="str">
        <f>CADASTROS!$E$389</f>
        <v>Cx. Econômica</v>
      </c>
      <c r="G409" s="24">
        <f>CADASTROS!$F$389</f>
        <v>4818</v>
      </c>
      <c r="H409" s="26" t="str">
        <f>CADASTROS!$G$389</f>
        <v>013</v>
      </c>
      <c r="I409" s="16" t="str">
        <f>CADASTROS!$H$389</f>
        <v>00009393-9</v>
      </c>
      <c r="J409" s="18">
        <f t="shared" si="17"/>
        <v>0</v>
      </c>
      <c r="L409" s="24">
        <v>1849</v>
      </c>
      <c r="M409" s="15" t="s">
        <v>4916</v>
      </c>
      <c r="N409" s="25"/>
      <c r="O409" s="53">
        <v>11</v>
      </c>
      <c r="P409" s="17">
        <v>6</v>
      </c>
      <c r="Q409" s="26" t="s">
        <v>4912</v>
      </c>
      <c r="R409" s="24" t="s">
        <v>36</v>
      </c>
      <c r="S409" s="26" t="s">
        <v>37</v>
      </c>
      <c r="T409" s="16" t="s">
        <v>3765</v>
      </c>
      <c r="U409" s="18">
        <v>66</v>
      </c>
    </row>
    <row r="410" spans="1:21" ht="15.75" x14ac:dyDescent="0.25">
      <c r="A410" s="24">
        <f>CADASTROS!$B$390</f>
        <v>388</v>
      </c>
      <c r="B410" s="15" t="str">
        <f>CADASTROS!$C$390</f>
        <v>Ivone Oliveira da Silva</v>
      </c>
      <c r="C410" s="25"/>
      <c r="D410" s="35">
        <f>PLANILHA_COLHEITA_DIÁRIA!$I$629</f>
        <v>0</v>
      </c>
      <c r="E410" s="17">
        <v>6</v>
      </c>
      <c r="F410" s="26" t="str">
        <f>CADASTROS!$E$390</f>
        <v>Bradesco</v>
      </c>
      <c r="G410" s="24" t="str">
        <f>CADASTROS!$F$390</f>
        <v>3616-1</v>
      </c>
      <c r="H410" s="26" t="str">
        <f>CADASTROS!$G$390</f>
        <v>c/corr</v>
      </c>
      <c r="I410" s="16" t="str">
        <f>CADASTROS!$H$390</f>
        <v>0006028-3</v>
      </c>
      <c r="J410" s="18">
        <f t="shared" si="17"/>
        <v>0</v>
      </c>
      <c r="L410" s="24">
        <v>1857</v>
      </c>
      <c r="M410" s="15" t="s">
        <v>4917</v>
      </c>
      <c r="N410" s="25"/>
      <c r="O410" s="53">
        <v>5</v>
      </c>
      <c r="P410" s="17">
        <v>6</v>
      </c>
      <c r="Q410" s="26" t="s">
        <v>4912</v>
      </c>
      <c r="R410" s="24" t="s">
        <v>36</v>
      </c>
      <c r="S410" s="26" t="s">
        <v>22</v>
      </c>
      <c r="T410" s="16" t="s">
        <v>3763</v>
      </c>
      <c r="U410" s="18">
        <v>30</v>
      </c>
    </row>
    <row r="411" spans="1:21" ht="15.75" x14ac:dyDescent="0.25">
      <c r="A411" s="24">
        <f>CADASTROS!$B$391</f>
        <v>389</v>
      </c>
      <c r="B411" s="15" t="str">
        <f>CADASTROS!$C$391</f>
        <v>Evanilson Silva Barbosa</v>
      </c>
      <c r="C411" s="25"/>
      <c r="D411" s="35">
        <f>PLANILHA_COLHEITA_DIÁRIA!$I$630</f>
        <v>0</v>
      </c>
      <c r="E411" s="17">
        <v>6</v>
      </c>
      <c r="F411" s="26" t="str">
        <f>CADASTROS!$E$391</f>
        <v>Cx. Econômica</v>
      </c>
      <c r="G411" s="24">
        <f>CADASTROS!$F$391</f>
        <v>4814</v>
      </c>
      <c r="H411" s="26" t="str">
        <f>CADASTROS!$G$391</f>
        <v>013</v>
      </c>
      <c r="I411" s="16" t="str">
        <f>CADASTROS!$H$391</f>
        <v>00009854-0</v>
      </c>
      <c r="J411" s="18">
        <f t="shared" si="17"/>
        <v>0</v>
      </c>
      <c r="L411" s="24">
        <v>1862</v>
      </c>
      <c r="M411" s="15" t="s">
        <v>3786</v>
      </c>
      <c r="N411" s="25"/>
      <c r="O411" s="53">
        <v>160.5</v>
      </c>
      <c r="P411" s="17">
        <v>6</v>
      </c>
      <c r="Q411" s="26" t="s">
        <v>4912</v>
      </c>
      <c r="R411" s="24" t="s">
        <v>670</v>
      </c>
      <c r="S411" s="26" t="s">
        <v>37</v>
      </c>
      <c r="T411" s="16" t="s">
        <v>3787</v>
      </c>
      <c r="U411" s="18">
        <v>963</v>
      </c>
    </row>
    <row r="412" spans="1:21" ht="15.75" x14ac:dyDescent="0.25">
      <c r="A412" s="24">
        <f>CADASTROS!$B$392</f>
        <v>390</v>
      </c>
      <c r="B412" s="15" t="str">
        <f>CADASTROS!$C$392</f>
        <v>Luis Carlos dos Santos</v>
      </c>
      <c r="C412" s="25"/>
      <c r="D412" s="35">
        <f>PLANILHA_COLHEITA_DIÁRIA!$I$631</f>
        <v>0</v>
      </c>
      <c r="E412" s="17">
        <v>6</v>
      </c>
      <c r="F412" s="26" t="str">
        <f>CADASTROS!$E$392</f>
        <v>Banco do Brasil</v>
      </c>
      <c r="G412" s="24" t="str">
        <f>CADASTROS!$F$392</f>
        <v>2760-X</v>
      </c>
      <c r="H412" s="26" t="str">
        <f>CADASTROS!$G$392</f>
        <v>poup</v>
      </c>
      <c r="I412" s="16" t="str">
        <f>CADASTROS!$H$392</f>
        <v>14.016-3</v>
      </c>
      <c r="J412" s="18">
        <f t="shared" si="17"/>
        <v>0</v>
      </c>
      <c r="L412" s="24">
        <v>1876</v>
      </c>
      <c r="M412" s="15" t="s">
        <v>3817</v>
      </c>
      <c r="N412" s="25"/>
      <c r="O412" s="53">
        <v>30</v>
      </c>
      <c r="P412" s="17">
        <v>6</v>
      </c>
      <c r="Q412" s="26" t="s">
        <v>4918</v>
      </c>
      <c r="R412" s="24" t="s">
        <v>36</v>
      </c>
      <c r="S412" s="26" t="s">
        <v>22</v>
      </c>
      <c r="T412" s="16" t="s">
        <v>3818</v>
      </c>
      <c r="U412" s="18">
        <v>180</v>
      </c>
    </row>
    <row r="413" spans="1:21" ht="15.75" x14ac:dyDescent="0.25">
      <c r="A413" s="24">
        <f>CADASTROS!$B$393</f>
        <v>391</v>
      </c>
      <c r="B413" s="15" t="str">
        <f>CADASTROS!$C$393</f>
        <v>Vanderleia Moreira da Silva</v>
      </c>
      <c r="C413" s="25"/>
      <c r="D413" s="35">
        <f>PLANILHA_COLHEITA_DIÁRIA!$I$632</f>
        <v>0</v>
      </c>
      <c r="E413" s="17">
        <v>6</v>
      </c>
      <c r="F413" s="26" t="str">
        <f>CADASTROS!$E$393</f>
        <v>Cx. Econômica</v>
      </c>
      <c r="G413" s="24">
        <f>CADASTROS!$F$393</f>
        <v>949</v>
      </c>
      <c r="H413" s="26" t="str">
        <f>CADASTROS!$G$393</f>
        <v>013</v>
      </c>
      <c r="I413" s="16" t="str">
        <f>CADASTROS!$H$393</f>
        <v>00086871-1</v>
      </c>
      <c r="J413" s="18">
        <f t="shared" si="17"/>
        <v>0</v>
      </c>
      <c r="L413" s="24">
        <f>CADASTROS!$B$1587</f>
        <v>1585</v>
      </c>
      <c r="M413" s="15" t="str">
        <f>CADASTROS!$C$1587</f>
        <v>Alane Dias de Oliveira</v>
      </c>
      <c r="N413" s="25"/>
      <c r="O413" s="53">
        <f>PLANILHA_COLHEITA_DIÁRIA!$I$2390</f>
        <v>7.5</v>
      </c>
      <c r="P413" s="17">
        <v>6</v>
      </c>
      <c r="Q413" s="26" t="str">
        <f>CADASTROS!$E$1587</f>
        <v>Cx. Econômica</v>
      </c>
      <c r="R413" s="24">
        <f>CADASTROS!$F$1587</f>
        <v>4825</v>
      </c>
      <c r="S413" s="26">
        <f>CADASTROS!$G$1587</f>
        <v>13</v>
      </c>
      <c r="T413" s="16" t="str">
        <f>CADASTROS!$H$1587</f>
        <v>00023779-3</v>
      </c>
      <c r="U413" s="18">
        <f t="shared" ref="U413" si="20">O413*P413</f>
        <v>45</v>
      </c>
    </row>
    <row r="414" spans="1:21" ht="19.5" x14ac:dyDescent="0.25">
      <c r="A414" s="24">
        <f>CADASTROS!$B$394</f>
        <v>392</v>
      </c>
      <c r="B414" s="15" t="str">
        <f>CADASTROS!$C$394</f>
        <v>Evanilce Bispo dos Santos</v>
      </c>
      <c r="C414" s="25"/>
      <c r="D414" s="35">
        <f>PLANILHA_COLHEITA_DIÁRIA!$I$633</f>
        <v>0</v>
      </c>
      <c r="E414" s="17">
        <v>6</v>
      </c>
      <c r="F414" s="26" t="str">
        <f>CADASTROS!$E$394</f>
        <v>Cx. Econômica</v>
      </c>
      <c r="G414" s="24">
        <f>CADASTROS!$F$394</f>
        <v>949</v>
      </c>
      <c r="H414" s="26" t="str">
        <f>CADASTROS!$G$394</f>
        <v>013</v>
      </c>
      <c r="I414" s="16" t="str">
        <f>CADASTROS!$H$394</f>
        <v>00059649-5</v>
      </c>
      <c r="J414" s="18">
        <f t="shared" si="17"/>
        <v>0</v>
      </c>
      <c r="L414" s="73"/>
      <c r="M414" s="74"/>
      <c r="N414" s="75"/>
      <c r="O414" s="98"/>
      <c r="P414" s="76">
        <v>6</v>
      </c>
      <c r="Q414" s="77"/>
      <c r="R414" s="73"/>
      <c r="S414" s="77"/>
      <c r="T414" s="78"/>
      <c r="U414" s="79"/>
    </row>
    <row r="415" spans="1:21" ht="21" x14ac:dyDescent="0.35">
      <c r="A415" s="24">
        <f>CADASTROS!$B$395</f>
        <v>393</v>
      </c>
      <c r="B415" s="15" t="str">
        <f>CADASTROS!$C$395</f>
        <v>Etelvina Rodrigues de Souza</v>
      </c>
      <c r="C415" s="25"/>
      <c r="D415" s="35">
        <f>PLANILHA_COLHEITA_DIÁRIA!$I$634</f>
        <v>0</v>
      </c>
      <c r="E415" s="17">
        <v>6</v>
      </c>
      <c r="F415" s="26" t="str">
        <f>CADASTROS!$E$395</f>
        <v>Cx. Econômica</v>
      </c>
      <c r="G415" s="24">
        <f>CADASTROS!$F$395</f>
        <v>949</v>
      </c>
      <c r="H415" s="26" t="str">
        <f>CADASTROS!$G$395</f>
        <v>023</v>
      </c>
      <c r="I415" s="16" t="str">
        <f>CADASTROS!$H$395</f>
        <v>00007107-1</v>
      </c>
      <c r="J415" s="18">
        <f t="shared" si="17"/>
        <v>0</v>
      </c>
      <c r="L415" s="81"/>
      <c r="M415" s="82"/>
      <c r="N415" s="83"/>
      <c r="O415" s="83"/>
      <c r="P415" s="76">
        <v>6</v>
      </c>
      <c r="Q415" s="84"/>
      <c r="R415" s="81"/>
      <c r="S415" s="84"/>
      <c r="T415" s="85"/>
      <c r="U415" s="86"/>
    </row>
    <row r="416" spans="1:21" ht="21" x14ac:dyDescent="0.35">
      <c r="A416" s="24">
        <f>CADASTROS!$B$396</f>
        <v>394</v>
      </c>
      <c r="B416" s="15" t="str">
        <f>CADASTROS!$C$396</f>
        <v>José Rodrigues de Souza</v>
      </c>
      <c r="C416" s="25"/>
      <c r="D416" s="35">
        <f>PLANILHA_COLHEITA_DIÁRIA!$I$635</f>
        <v>0</v>
      </c>
      <c r="E416" s="17">
        <v>6</v>
      </c>
      <c r="F416" s="26" t="str">
        <f>CADASTROS!$E$396</f>
        <v>Cx. Econômica</v>
      </c>
      <c r="G416" s="24">
        <f>CADASTROS!$F$396</f>
        <v>299</v>
      </c>
      <c r="H416" s="26" t="str">
        <f>CADASTROS!$G$396</f>
        <v>013</v>
      </c>
      <c r="I416" s="16" t="str">
        <f>CADASTROS!$H$396</f>
        <v>00034243-1</v>
      </c>
      <c r="J416" s="18">
        <f t="shared" si="17"/>
        <v>0</v>
      </c>
      <c r="L416" s="81"/>
      <c r="M416" s="82"/>
      <c r="N416" s="83"/>
      <c r="O416" s="83"/>
      <c r="P416" s="76">
        <v>6</v>
      </c>
      <c r="Q416" s="84"/>
      <c r="R416" s="81"/>
      <c r="S416" s="84"/>
      <c r="T416" s="85"/>
      <c r="U416" s="86"/>
    </row>
    <row r="417" spans="1:21" ht="21" x14ac:dyDescent="0.35">
      <c r="A417" s="24">
        <f>CADASTROS!$B$397</f>
        <v>395</v>
      </c>
      <c r="B417" s="15" t="str">
        <f>CADASTROS!$C$397</f>
        <v>Alberto Souza da Rocha</v>
      </c>
      <c r="C417" s="25"/>
      <c r="D417" s="35">
        <f>PLANILHA_COLHEITA_DIÁRIA!$I$636</f>
        <v>0</v>
      </c>
      <c r="E417" s="17">
        <v>6</v>
      </c>
      <c r="F417" s="26" t="str">
        <f>CADASTROS!$E$397</f>
        <v>Banco do Brasil</v>
      </c>
      <c r="G417" s="24" t="str">
        <f>CADASTROS!$F$397</f>
        <v>6683-4</v>
      </c>
      <c r="H417" s="26" t="str">
        <f>CADASTROS!$G$397</f>
        <v>poup</v>
      </c>
      <c r="I417" s="16" t="str">
        <f>CADASTROS!$H$397</f>
        <v>198.264-8</v>
      </c>
      <c r="J417" s="18">
        <f t="shared" si="17"/>
        <v>0</v>
      </c>
      <c r="L417" s="81"/>
      <c r="M417" s="82"/>
      <c r="N417" s="83"/>
      <c r="O417" s="83"/>
      <c r="P417" s="76">
        <v>6</v>
      </c>
      <c r="Q417" s="84"/>
      <c r="R417" s="81"/>
      <c r="S417" s="84"/>
      <c r="T417" s="85"/>
      <c r="U417" s="86"/>
    </row>
    <row r="418" spans="1:21" ht="21" x14ac:dyDescent="0.35">
      <c r="A418" s="24">
        <f>CADASTROS!$B$398</f>
        <v>396</v>
      </c>
      <c r="B418" s="15" t="str">
        <f>CADASTROS!$C$398</f>
        <v>Simone de Jesus Brito</v>
      </c>
      <c r="C418" s="25"/>
      <c r="D418" s="35">
        <f>PLANILHA_COLHEITA_DIÁRIA!$I$653</f>
        <v>0</v>
      </c>
      <c r="E418" s="17">
        <v>6</v>
      </c>
      <c r="F418" s="26" t="str">
        <f>CADASTROS!$E$398</f>
        <v>Cx. Econômica</v>
      </c>
      <c r="G418" s="24">
        <f>CADASTROS!$F$398</f>
        <v>949</v>
      </c>
      <c r="H418" s="26" t="str">
        <f>CADASTROS!$G$398</f>
        <v>023</v>
      </c>
      <c r="I418" s="16" t="str">
        <f>CADASTROS!$H$398</f>
        <v>00014887-2</v>
      </c>
      <c r="J418" s="18">
        <f t="shared" si="17"/>
        <v>0</v>
      </c>
      <c r="L418" s="81"/>
      <c r="M418" s="82"/>
      <c r="N418" s="83"/>
      <c r="O418" s="83"/>
      <c r="P418" s="76">
        <v>6</v>
      </c>
      <c r="Q418" s="84"/>
      <c r="R418" s="81"/>
      <c r="S418" s="84"/>
      <c r="T418" s="85"/>
      <c r="U418" s="86"/>
    </row>
    <row r="419" spans="1:21" ht="21" x14ac:dyDescent="0.35">
      <c r="A419" s="24">
        <f>CADASTROS!$B$399</f>
        <v>397</v>
      </c>
      <c r="B419" s="15" t="str">
        <f>CADASTROS!$C$399</f>
        <v>Gilderlan Moreira Souza</v>
      </c>
      <c r="C419" s="25"/>
      <c r="D419" s="35">
        <f>PLANILHA_COLHEITA_DIÁRIA!$I$654</f>
        <v>0</v>
      </c>
      <c r="E419" s="17">
        <v>6</v>
      </c>
      <c r="F419" s="26" t="str">
        <f>CADASTROS!$E$399</f>
        <v>Cx. Econômica</v>
      </c>
      <c r="G419" s="24">
        <f>CADASTROS!$F$399</f>
        <v>4818</v>
      </c>
      <c r="H419" s="26" t="str">
        <f>CADASTROS!$G$399</f>
        <v>013</v>
      </c>
      <c r="I419" s="16" t="str">
        <f>CADASTROS!$H$399</f>
        <v>00002223-3</v>
      </c>
      <c r="J419" s="18">
        <f t="shared" si="17"/>
        <v>0</v>
      </c>
      <c r="L419" s="81"/>
      <c r="M419" s="82"/>
      <c r="N419" s="83"/>
      <c r="O419" s="83"/>
      <c r="P419" s="76">
        <v>6</v>
      </c>
      <c r="Q419" s="84"/>
      <c r="R419" s="81"/>
      <c r="S419" s="84"/>
      <c r="T419" s="85"/>
      <c r="U419" s="86"/>
    </row>
    <row r="420" spans="1:21" ht="21" x14ac:dyDescent="0.35">
      <c r="A420" s="24">
        <f>CADASTROS!$B$400</f>
        <v>398</v>
      </c>
      <c r="B420" s="15" t="str">
        <f>CADASTROS!$C$400</f>
        <v>Eliene Lomes da Silva</v>
      </c>
      <c r="C420" s="25"/>
      <c r="D420" s="35">
        <f>PLANILHA_COLHEITA_DIÁRIA!$I$655</f>
        <v>0</v>
      </c>
      <c r="E420" s="17">
        <v>6</v>
      </c>
      <c r="F420" s="26" t="str">
        <f>CADASTROS!$E$400</f>
        <v>Cx. Econômica</v>
      </c>
      <c r="G420" s="24">
        <f>CADASTROS!$F$400</f>
        <v>4818</v>
      </c>
      <c r="H420" s="26" t="str">
        <f>CADASTROS!$G$400</f>
        <v>013</v>
      </c>
      <c r="I420" s="16" t="str">
        <f>CADASTROS!$H$400</f>
        <v>00008751-3</v>
      </c>
      <c r="J420" s="18">
        <f t="shared" si="17"/>
        <v>0</v>
      </c>
      <c r="L420" s="81"/>
      <c r="M420" s="82"/>
      <c r="N420" s="83"/>
      <c r="O420" s="83"/>
      <c r="P420" s="76">
        <v>6</v>
      </c>
      <c r="Q420" s="84"/>
      <c r="R420" s="81"/>
      <c r="S420" s="84"/>
      <c r="T420" s="85"/>
      <c r="U420" s="86"/>
    </row>
    <row r="421" spans="1:21" ht="19.5" x14ac:dyDescent="0.25">
      <c r="A421" s="24">
        <f>CADASTROS!$B$401</f>
        <v>399</v>
      </c>
      <c r="B421" s="15" t="str">
        <f>CADASTROS!$C$401</f>
        <v>Cleia Silva Santos</v>
      </c>
      <c r="C421" s="25"/>
      <c r="D421" s="35">
        <f>PLANILHA_COLHEITA_DIÁRIA!$I$656</f>
        <v>0</v>
      </c>
      <c r="E421" s="17">
        <v>6</v>
      </c>
      <c r="F421" s="26">
        <f>CADASTROS!$E$401</f>
        <v>0</v>
      </c>
      <c r="G421" s="24">
        <f>CADASTROS!$F$401</f>
        <v>0</v>
      </c>
      <c r="H421" s="26">
        <f>CADASTROS!$G$401</f>
        <v>0</v>
      </c>
      <c r="I421" s="16">
        <f>CADASTROS!$H$401</f>
        <v>0</v>
      </c>
      <c r="J421" s="18">
        <f t="shared" si="17"/>
        <v>0</v>
      </c>
      <c r="L421" s="73"/>
      <c r="M421" s="74"/>
      <c r="N421" s="75"/>
      <c r="O421" s="97"/>
      <c r="P421" s="76">
        <v>6</v>
      </c>
      <c r="Q421" s="77"/>
      <c r="R421" s="73"/>
      <c r="S421" s="77"/>
      <c r="T421" s="78"/>
      <c r="U421" s="79"/>
    </row>
    <row r="422" spans="1:21" ht="21" x14ac:dyDescent="0.35">
      <c r="A422" s="24">
        <f>CADASTROS!$B$402</f>
        <v>400</v>
      </c>
      <c r="B422" s="15" t="str">
        <f>CADASTROS!$C$402</f>
        <v>Maria Rodrigues de Sousa</v>
      </c>
      <c r="C422" s="25"/>
      <c r="D422" s="35">
        <f>PLANILHA_COLHEITA_DIÁRIA!$I$657</f>
        <v>0</v>
      </c>
      <c r="E422" s="17">
        <v>6</v>
      </c>
      <c r="F422" s="26" t="str">
        <f>CADASTROS!$E$402</f>
        <v>Cx. Econômica</v>
      </c>
      <c r="G422" s="24">
        <f>CADASTROS!$F$402</f>
        <v>949</v>
      </c>
      <c r="H422" s="26" t="str">
        <f>CADASTROS!$G$402</f>
        <v>023</v>
      </c>
      <c r="I422" s="16" t="str">
        <f>CADASTROS!$H$402</f>
        <v>00006481-4</v>
      </c>
      <c r="J422" s="18">
        <f t="shared" si="17"/>
        <v>0</v>
      </c>
      <c r="L422" s="81"/>
      <c r="M422" s="82"/>
      <c r="N422" s="83"/>
      <c r="O422" s="83"/>
      <c r="P422" s="76">
        <v>6</v>
      </c>
      <c r="Q422" s="84"/>
      <c r="R422" s="81"/>
      <c r="S422" s="84"/>
      <c r="T422" s="85"/>
      <c r="U422" s="86"/>
    </row>
    <row r="423" spans="1:21" ht="21" x14ac:dyDescent="0.35">
      <c r="A423" s="24">
        <f>CADASTROS!$B$403</f>
        <v>401</v>
      </c>
      <c r="B423" s="15" t="str">
        <f>CADASTROS!$C$403</f>
        <v>Inácio Antônio C Cavalcante</v>
      </c>
      <c r="C423" s="25"/>
      <c r="D423" s="35">
        <f>PLANILHA_COLHEITA_DIÁRIA!$I$658</f>
        <v>0</v>
      </c>
      <c r="E423" s="17">
        <v>6</v>
      </c>
      <c r="F423" s="26">
        <f>CADASTROS!$E$403</f>
        <v>0</v>
      </c>
      <c r="G423" s="24">
        <f>CADASTROS!$F$403</f>
        <v>0</v>
      </c>
      <c r="H423" s="26">
        <f>CADASTROS!$G$403</f>
        <v>0</v>
      </c>
      <c r="I423" s="16">
        <f>CADASTROS!$H$403</f>
        <v>0</v>
      </c>
      <c r="J423" s="18">
        <f t="shared" si="17"/>
        <v>0</v>
      </c>
      <c r="L423" s="81"/>
      <c r="M423" s="82"/>
      <c r="N423" s="83"/>
      <c r="O423" s="83"/>
      <c r="P423" s="76">
        <v>6</v>
      </c>
      <c r="Q423" s="84"/>
      <c r="R423" s="81"/>
      <c r="S423" s="84"/>
      <c r="T423" s="85"/>
      <c r="U423" s="86"/>
    </row>
    <row r="424" spans="1:21" ht="21" x14ac:dyDescent="0.35">
      <c r="A424" s="24">
        <f>CADASTROS!$B$404</f>
        <v>402</v>
      </c>
      <c r="B424" s="15" t="str">
        <f>CADASTROS!$C$404</f>
        <v>Jane Cleide Brandão Oliveira</v>
      </c>
      <c r="C424" s="25"/>
      <c r="D424" s="35">
        <f>PLANILHA_COLHEITA_DIÁRIA!$I$659</f>
        <v>0</v>
      </c>
      <c r="E424" s="17">
        <v>6</v>
      </c>
      <c r="F424" s="26" t="str">
        <f>CADASTROS!$E$404</f>
        <v>Cx. Econômica</v>
      </c>
      <c r="G424" s="24">
        <f>CADASTROS!$F$404</f>
        <v>4825</v>
      </c>
      <c r="H424" s="26" t="str">
        <f>CADASTROS!$G$404</f>
        <v>013</v>
      </c>
      <c r="I424" s="16" t="str">
        <f>CADASTROS!$H$404</f>
        <v>00005838-4</v>
      </c>
      <c r="J424" s="18">
        <f t="shared" si="17"/>
        <v>0</v>
      </c>
      <c r="L424" s="81"/>
      <c r="M424" s="82"/>
      <c r="N424" s="83"/>
      <c r="O424" s="83"/>
      <c r="P424" s="76">
        <v>6</v>
      </c>
      <c r="Q424" s="84"/>
      <c r="R424" s="81"/>
      <c r="S424" s="84"/>
      <c r="T424" s="85"/>
      <c r="U424" s="86"/>
    </row>
    <row r="425" spans="1:21" ht="21" x14ac:dyDescent="0.35">
      <c r="A425" s="24">
        <f>CADASTROS!$B$405</f>
        <v>403</v>
      </c>
      <c r="B425" s="15" t="str">
        <f>CADASTROS!$C$405</f>
        <v>Sandreane N Soares</v>
      </c>
      <c r="C425" s="25"/>
      <c r="D425" s="52">
        <f>PLANILHA_COLHEITA_DIÁRIA!$I$660</f>
        <v>0</v>
      </c>
      <c r="E425" s="17">
        <v>6</v>
      </c>
      <c r="F425" s="26" t="str">
        <f>CADASTROS!$E$405</f>
        <v>Cx. Econômica</v>
      </c>
      <c r="G425" s="24">
        <f>CADASTROS!$F$405</f>
        <v>949</v>
      </c>
      <c r="H425" s="26" t="str">
        <f>CADASTROS!$G$405</f>
        <v>023</v>
      </c>
      <c r="I425" s="16" t="str">
        <f>CADASTROS!$H$405</f>
        <v>00012508-2</v>
      </c>
      <c r="J425" s="18">
        <f t="shared" si="17"/>
        <v>0</v>
      </c>
      <c r="L425" s="81"/>
      <c r="M425" s="82"/>
      <c r="N425" s="83"/>
      <c r="O425" s="83"/>
      <c r="P425" s="76">
        <v>6</v>
      </c>
      <c r="Q425" s="84"/>
      <c r="R425" s="81"/>
      <c r="S425" s="84"/>
      <c r="T425" s="85"/>
      <c r="U425" s="86"/>
    </row>
    <row r="426" spans="1:21" ht="21" x14ac:dyDescent="0.35">
      <c r="A426" s="24">
        <f>CADASTROS!$B$406</f>
        <v>404</v>
      </c>
      <c r="B426" s="15" t="str">
        <f>CADASTROS!$C$406</f>
        <v>Vanuza Machado Farias</v>
      </c>
      <c r="C426" s="25"/>
      <c r="D426" s="25">
        <f>PLANILHA_COLHEITA_DIÁRIA!$I$661</f>
        <v>0</v>
      </c>
      <c r="E426" s="17">
        <v>6</v>
      </c>
      <c r="F426" s="26" t="str">
        <f>CADASTROS!$E$406</f>
        <v>Cx. Econômica</v>
      </c>
      <c r="G426" s="24">
        <f>CADASTROS!$F$406</f>
        <v>949</v>
      </c>
      <c r="H426" s="26" t="str">
        <f>CADASTROS!$G$406</f>
        <v>023</v>
      </c>
      <c r="I426" s="16" t="str">
        <f>CADASTROS!$H$406</f>
        <v>00020430-6</v>
      </c>
      <c r="J426" s="18">
        <f t="shared" si="17"/>
        <v>0</v>
      </c>
      <c r="L426" s="81"/>
      <c r="M426" s="82"/>
      <c r="N426" s="83"/>
      <c r="O426" s="83"/>
      <c r="P426" s="76">
        <v>6</v>
      </c>
      <c r="Q426" s="84"/>
      <c r="R426" s="81"/>
      <c r="S426" s="84"/>
      <c r="T426" s="85"/>
      <c r="U426" s="86"/>
    </row>
    <row r="427" spans="1:21" ht="15.75" x14ac:dyDescent="0.25">
      <c r="B427" s="220"/>
      <c r="C427" s="220"/>
      <c r="D427" s="12">
        <f>SUM(D382:D426)</f>
        <v>91</v>
      </c>
      <c r="E427" s="12"/>
      <c r="F427" s="225"/>
      <c r="G427" s="226"/>
      <c r="H427" s="226"/>
      <c r="I427" s="227"/>
      <c r="J427" s="14">
        <f>SUM(J382:J426)</f>
        <v>546</v>
      </c>
      <c r="L427" s="95">
        <f>CADASTROS!$B$275</f>
        <v>273</v>
      </c>
      <c r="M427" s="96" t="str">
        <f>CADASTROS!$C$275</f>
        <v>Elton Conceição dos Santos</v>
      </c>
      <c r="N427" s="41"/>
      <c r="O427" s="41">
        <f>PLANILHA_COLHEITA_DIÁRIA!$I$449</f>
        <v>39</v>
      </c>
      <c r="P427" s="17">
        <v>6</v>
      </c>
      <c r="Q427" s="26" t="str">
        <f>CADASTROS!$E$275</f>
        <v>Bradesco</v>
      </c>
      <c r="R427" s="24">
        <f>CADASTROS!$F$275</f>
        <v>3899</v>
      </c>
      <c r="S427" s="26" t="str">
        <f>CADASTROS!$G$275</f>
        <v>poup</v>
      </c>
      <c r="T427" s="16" t="str">
        <f>CADASTROS!$H$275</f>
        <v>0395914-7</v>
      </c>
      <c r="U427" s="18">
        <f t="shared" ref="U427" si="21">O427*P427</f>
        <v>234</v>
      </c>
    </row>
    <row r="428" spans="1:21" ht="23.25" x14ac:dyDescent="0.35">
      <c r="L428" s="44"/>
      <c r="M428" s="199"/>
      <c r="N428" s="199"/>
      <c r="O428" s="45">
        <f>SUM(O383:O427)</f>
        <v>1682</v>
      </c>
      <c r="P428" s="45"/>
      <c r="Q428" s="200" t="s">
        <v>4869</v>
      </c>
      <c r="R428" s="201"/>
      <c r="S428" s="201"/>
      <c r="T428" s="202"/>
      <c r="U428" s="46">
        <f>SUM(U383:U427)</f>
        <v>10092</v>
      </c>
    </row>
    <row r="430" spans="1:21" ht="15.75" x14ac:dyDescent="0.25">
      <c r="A430" s="213" t="s">
        <v>4816</v>
      </c>
      <c r="B430" s="213"/>
      <c r="C430" s="213"/>
      <c r="D430" s="213"/>
      <c r="E430" s="213"/>
      <c r="F430" s="213"/>
      <c r="G430" s="213"/>
      <c r="H430" s="213"/>
      <c r="I430" s="213"/>
      <c r="J430" s="213"/>
    </row>
    <row r="431" spans="1:21" ht="16.5" thickBot="1" x14ac:dyDescent="0.3">
      <c r="A431" s="214" t="s">
        <v>4843</v>
      </c>
      <c r="B431" s="214"/>
      <c r="C431" s="214"/>
      <c r="D431" s="214"/>
      <c r="E431" s="214"/>
      <c r="F431" s="214"/>
      <c r="G431" s="214"/>
      <c r="H431" s="214"/>
      <c r="I431" s="214"/>
      <c r="J431" s="214"/>
    </row>
    <row r="432" spans="1:21" ht="17.25" thickTop="1" thickBot="1" x14ac:dyDescent="0.3">
      <c r="A432" s="215" t="s">
        <v>4844</v>
      </c>
      <c r="B432" s="215"/>
      <c r="C432" s="215"/>
      <c r="D432" s="215"/>
      <c r="E432" s="215"/>
      <c r="F432" s="215"/>
      <c r="G432" s="215"/>
      <c r="H432" s="215"/>
      <c r="I432" s="215"/>
      <c r="J432" s="215"/>
    </row>
    <row r="433" spans="1:10" ht="20.100000000000001" customHeight="1" x14ac:dyDescent="0.25">
      <c r="A433" s="19" t="s">
        <v>4846</v>
      </c>
      <c r="B433" s="216" t="s">
        <v>1</v>
      </c>
      <c r="C433" s="221" t="s">
        <v>2</v>
      </c>
      <c r="D433" s="223" t="s">
        <v>4847</v>
      </c>
      <c r="E433" s="20" t="s">
        <v>4848</v>
      </c>
      <c r="F433" s="216" t="s">
        <v>3</v>
      </c>
      <c r="G433" s="216" t="s">
        <v>4</v>
      </c>
      <c r="H433" s="216" t="s">
        <v>5</v>
      </c>
      <c r="I433" s="216" t="s">
        <v>6</v>
      </c>
      <c r="J433" s="218" t="s">
        <v>4849</v>
      </c>
    </row>
    <row r="434" spans="1:10" ht="20.100000000000001" customHeight="1" thickBot="1" x14ac:dyDescent="0.3">
      <c r="A434" s="21" t="s">
        <v>4850</v>
      </c>
      <c r="B434" s="217"/>
      <c r="C434" s="222"/>
      <c r="D434" s="224"/>
      <c r="E434" s="161" t="s">
        <v>4851</v>
      </c>
      <c r="F434" s="217"/>
      <c r="G434" s="217"/>
      <c r="H434" s="217"/>
      <c r="I434" s="217"/>
      <c r="J434" s="219"/>
    </row>
    <row r="435" spans="1:10" ht="15.75" x14ac:dyDescent="0.25">
      <c r="A435" s="24">
        <f>CADASTROS!$B$407</f>
        <v>405</v>
      </c>
      <c r="B435" s="15" t="str">
        <f>CADASTROS!$C$407</f>
        <v>Jeane Soares Santos</v>
      </c>
      <c r="C435" s="25"/>
      <c r="D435" s="25">
        <f>PLANILHA_COLHEITA_DIÁRIA!$I$662</f>
        <v>0</v>
      </c>
      <c r="E435" s="17">
        <v>6</v>
      </c>
      <c r="F435" s="26" t="str">
        <f>CADASTROS!$E$407</f>
        <v>Sincoob</v>
      </c>
      <c r="G435" s="24">
        <f>CADASTROS!$F$407</f>
        <v>1</v>
      </c>
      <c r="H435" s="26">
        <f>CADASTROS!$G$407</f>
        <v>0</v>
      </c>
      <c r="I435" s="16">
        <f>CADASTROS!$H$407</f>
        <v>618540776</v>
      </c>
      <c r="J435" s="18">
        <f t="shared" ref="J435:J479" si="22">D435*E435</f>
        <v>0</v>
      </c>
    </row>
    <row r="436" spans="1:10" ht="15.75" x14ac:dyDescent="0.25">
      <c r="A436" s="24">
        <f>CADASTROS!$B$408</f>
        <v>406</v>
      </c>
      <c r="B436" s="15" t="str">
        <f>CADASTROS!$C$408</f>
        <v>Guiomar S Santos</v>
      </c>
      <c r="C436" s="25"/>
      <c r="D436" s="25">
        <f>PLANILHA_COLHEITA_DIÁRIA!$I$663</f>
        <v>0</v>
      </c>
      <c r="E436" s="17">
        <v>6</v>
      </c>
      <c r="F436" s="26">
        <f>CADASTROS!$E$408</f>
        <v>0</v>
      </c>
      <c r="G436" s="24">
        <f>CADASTROS!$F$408</f>
        <v>0</v>
      </c>
      <c r="H436" s="26">
        <f>CADASTROS!$G$408</f>
        <v>0</v>
      </c>
      <c r="I436" s="16">
        <f>CADASTROS!$H$408</f>
        <v>0</v>
      </c>
      <c r="J436" s="18">
        <f t="shared" si="22"/>
        <v>0</v>
      </c>
    </row>
    <row r="437" spans="1:10" ht="15.75" x14ac:dyDescent="0.25">
      <c r="A437" s="24">
        <f>CADASTROS!$B$409</f>
        <v>407</v>
      </c>
      <c r="B437" s="15" t="str">
        <f>CADASTROS!$C$409</f>
        <v>Nondas E Conceição</v>
      </c>
      <c r="C437" s="25"/>
      <c r="D437" s="35">
        <f>PLANILHA_COLHEITA_DIÁRIA!$I$664</f>
        <v>0</v>
      </c>
      <c r="E437" s="17">
        <v>6</v>
      </c>
      <c r="F437" s="26">
        <f>CADASTROS!$E$409</f>
        <v>0</v>
      </c>
      <c r="G437" s="24">
        <f>CADASTROS!$F$409</f>
        <v>0</v>
      </c>
      <c r="H437" s="26">
        <f>CADASTROS!$G$409</f>
        <v>0</v>
      </c>
      <c r="I437" s="16">
        <f>CADASTROS!$H$409</f>
        <v>0</v>
      </c>
      <c r="J437" s="18">
        <f t="shared" si="22"/>
        <v>0</v>
      </c>
    </row>
    <row r="438" spans="1:10" ht="15.75" x14ac:dyDescent="0.25">
      <c r="A438" s="24">
        <f>CADASTROS!$B$410</f>
        <v>408</v>
      </c>
      <c r="B438" s="15" t="str">
        <f>CADASTROS!$C$410</f>
        <v>Jailson S Oliveira</v>
      </c>
      <c r="C438" s="25"/>
      <c r="D438" s="35">
        <f>PLANILHA_COLHEITA_DIÁRIA!$I$665</f>
        <v>0</v>
      </c>
      <c r="E438" s="17">
        <v>6</v>
      </c>
      <c r="F438" s="26">
        <f>CADASTROS!$E$410</f>
        <v>0</v>
      </c>
      <c r="G438" s="24">
        <f>CADASTROS!$F$410</f>
        <v>0</v>
      </c>
      <c r="H438" s="26">
        <f>CADASTROS!$G$410</f>
        <v>0</v>
      </c>
      <c r="I438" s="16">
        <f>CADASTROS!$H$410</f>
        <v>0</v>
      </c>
      <c r="J438" s="18">
        <f t="shared" si="22"/>
        <v>0</v>
      </c>
    </row>
    <row r="439" spans="1:10" ht="15.75" x14ac:dyDescent="0.25">
      <c r="A439" s="24">
        <f>CADASTROS!$B$411</f>
        <v>409</v>
      </c>
      <c r="B439" s="15" t="str">
        <f>CADASTROS!$C$411</f>
        <v>Sílvio F de Oliveira</v>
      </c>
      <c r="C439" s="25"/>
      <c r="D439" s="35">
        <f>PLANILHA_COLHEITA_DIÁRIA!$I$666</f>
        <v>0</v>
      </c>
      <c r="E439" s="17">
        <v>6</v>
      </c>
      <c r="F439" s="26">
        <f>CADASTROS!$E$411</f>
        <v>0</v>
      </c>
      <c r="G439" s="24">
        <f>CADASTROS!$F$411</f>
        <v>0</v>
      </c>
      <c r="H439" s="26">
        <f>CADASTROS!$G$411</f>
        <v>0</v>
      </c>
      <c r="I439" s="16">
        <f>CADASTROS!$H$411</f>
        <v>0</v>
      </c>
      <c r="J439" s="18">
        <f t="shared" si="22"/>
        <v>0</v>
      </c>
    </row>
    <row r="440" spans="1:10" ht="15.75" x14ac:dyDescent="0.25">
      <c r="A440" s="24">
        <f>CADASTROS!$B$412</f>
        <v>410</v>
      </c>
      <c r="B440" s="15" t="str">
        <f>CADASTROS!$C$412</f>
        <v>Ires Pereira de Souza</v>
      </c>
      <c r="C440" s="25"/>
      <c r="D440" s="35">
        <f>PLANILHA_COLHEITA_DIÁRIA!$I$667</f>
        <v>0</v>
      </c>
      <c r="E440" s="17">
        <v>6</v>
      </c>
      <c r="F440" s="26" t="str">
        <f>CADASTROS!$E$412</f>
        <v>Cx. Econômica</v>
      </c>
      <c r="G440" s="24">
        <f>CADASTROS!$F$412</f>
        <v>949</v>
      </c>
      <c r="H440" s="26" t="str">
        <f>CADASTROS!$G$412</f>
        <v>023</v>
      </c>
      <c r="I440" s="16" t="str">
        <f>CADASTROS!$H$412</f>
        <v>00023901-0</v>
      </c>
      <c r="J440" s="18">
        <f t="shared" si="22"/>
        <v>0</v>
      </c>
    </row>
    <row r="441" spans="1:10" ht="15.75" x14ac:dyDescent="0.25">
      <c r="A441" s="24">
        <f>CADASTROS!$B$413</f>
        <v>411</v>
      </c>
      <c r="B441" s="15" t="str">
        <f>CADASTROS!$C$413</f>
        <v>Monica Santos de Sena</v>
      </c>
      <c r="C441" s="25"/>
      <c r="D441" s="35">
        <f>PLANILHA_COLHEITA_DIÁRIA!$I$668</f>
        <v>0</v>
      </c>
      <c r="E441" s="17">
        <v>6</v>
      </c>
      <c r="F441" s="26" t="str">
        <f>CADASTROS!$E$413</f>
        <v>Cx. Econômica</v>
      </c>
      <c r="G441" s="24">
        <f>CADASTROS!$F$413</f>
        <v>949</v>
      </c>
      <c r="H441" s="26" t="str">
        <f>CADASTROS!$G$413</f>
        <v>013</v>
      </c>
      <c r="I441" s="16" t="str">
        <f>CADASTROS!$H$413</f>
        <v>00021690-0</v>
      </c>
      <c r="J441" s="18">
        <f t="shared" si="22"/>
        <v>0</v>
      </c>
    </row>
    <row r="442" spans="1:10" ht="15.75" x14ac:dyDescent="0.25">
      <c r="A442" s="24">
        <f>CADASTROS!$B$414</f>
        <v>412</v>
      </c>
      <c r="B442" s="15" t="str">
        <f>CADASTROS!$C$414</f>
        <v>Edenilson F de Souza</v>
      </c>
      <c r="C442" s="25"/>
      <c r="D442" s="41">
        <f>PLANILHA_COLHEITA_DIÁRIA!$I$669</f>
        <v>0</v>
      </c>
      <c r="E442" s="17">
        <v>6</v>
      </c>
      <c r="F442" s="26">
        <f>CADASTROS!$E$414</f>
        <v>0</v>
      </c>
      <c r="G442" s="24">
        <f>CADASTROS!$F$414</f>
        <v>0</v>
      </c>
      <c r="H442" s="26">
        <f>CADASTROS!$G$414</f>
        <v>0</v>
      </c>
      <c r="I442" s="16">
        <f>CADASTROS!$H$414</f>
        <v>0</v>
      </c>
      <c r="J442" s="18">
        <f t="shared" si="22"/>
        <v>0</v>
      </c>
    </row>
    <row r="443" spans="1:10" ht="15.75" x14ac:dyDescent="0.25">
      <c r="A443" s="24">
        <f>CADASTROS!$B$415</f>
        <v>413</v>
      </c>
      <c r="B443" s="15" t="str">
        <f>CADASTROS!$C$415</f>
        <v>Ariosmar Souza Almeida</v>
      </c>
      <c r="C443" s="25"/>
      <c r="D443" s="35">
        <f>PLANILHA_COLHEITA_DIÁRIA!$I$670</f>
        <v>0</v>
      </c>
      <c r="E443" s="17">
        <v>6</v>
      </c>
      <c r="F443" s="26">
        <f>CADASTROS!$E$415</f>
        <v>0</v>
      </c>
      <c r="G443" s="24">
        <f>CADASTROS!$F$415</f>
        <v>0</v>
      </c>
      <c r="H443" s="26">
        <f>CADASTROS!$G$415</f>
        <v>0</v>
      </c>
      <c r="I443" s="16">
        <f>CADASTROS!$H$415</f>
        <v>0</v>
      </c>
      <c r="J443" s="18">
        <f t="shared" si="22"/>
        <v>0</v>
      </c>
    </row>
    <row r="444" spans="1:10" ht="15.75" x14ac:dyDescent="0.25">
      <c r="A444" s="24">
        <f>CADASTROS!$B$416</f>
        <v>414</v>
      </c>
      <c r="B444" s="15" t="str">
        <f>CADASTROS!$C$416</f>
        <v>Janice Dantas Moura</v>
      </c>
      <c r="C444" s="25"/>
      <c r="D444" s="35">
        <f>PLANILHA_COLHEITA_DIÁRIA!$I$671</f>
        <v>0</v>
      </c>
      <c r="E444" s="17">
        <v>6</v>
      </c>
      <c r="F444" s="26" t="str">
        <f>CADASTROS!$E$416</f>
        <v>Cx. Econômica</v>
      </c>
      <c r="G444" s="24">
        <f>CADASTROS!$F$416</f>
        <v>4818</v>
      </c>
      <c r="H444" s="26">
        <f>CADASTROS!$G$416</f>
        <v>0</v>
      </c>
      <c r="I444" s="16" t="str">
        <f>CADASTROS!$H$416</f>
        <v>000858062214-8</v>
      </c>
      <c r="J444" s="18">
        <f t="shared" si="22"/>
        <v>0</v>
      </c>
    </row>
    <row r="445" spans="1:10" ht="15.75" x14ac:dyDescent="0.25">
      <c r="A445" s="24">
        <f>CADASTROS!$B$417</f>
        <v>415</v>
      </c>
      <c r="B445" s="15" t="str">
        <f>CADASTROS!$C$417</f>
        <v>Ana Paula Ferreira dos Santos</v>
      </c>
      <c r="C445" s="25"/>
      <c r="D445" s="35">
        <f>PLANILHA_COLHEITA_DIÁRIA!$I$672</f>
        <v>0</v>
      </c>
      <c r="E445" s="17">
        <v>6</v>
      </c>
      <c r="F445" s="26" t="str">
        <f>CADASTROS!$E$417</f>
        <v>Cx. Econômica</v>
      </c>
      <c r="G445" s="24">
        <f>CADASTROS!$F$417</f>
        <v>4818</v>
      </c>
      <c r="H445" s="26" t="str">
        <f>CADASTROS!$G$417</f>
        <v>023</v>
      </c>
      <c r="I445" s="16" t="str">
        <f>CADASTROS!$H$417</f>
        <v>00001000-3</v>
      </c>
      <c r="J445" s="18">
        <f t="shared" si="22"/>
        <v>0</v>
      </c>
    </row>
    <row r="446" spans="1:10" ht="15.75" x14ac:dyDescent="0.25">
      <c r="A446" s="24">
        <f>CADASTROS!$B$418</f>
        <v>416</v>
      </c>
      <c r="B446" s="15" t="str">
        <f>CADASTROS!$C$418</f>
        <v>Janileide Oliveira Silva</v>
      </c>
      <c r="C446" s="25"/>
      <c r="D446" s="35">
        <f>PLANILHA_COLHEITA_DIÁRIA!$I$673</f>
        <v>0</v>
      </c>
      <c r="E446" s="17">
        <v>6</v>
      </c>
      <c r="F446" s="26" t="str">
        <f>CADASTROS!$E$418</f>
        <v>Cx. Econômica</v>
      </c>
      <c r="G446" s="24">
        <f>CADASTROS!$F$418</f>
        <v>4818</v>
      </c>
      <c r="H446" s="26">
        <f>CADASTROS!$G$418</f>
        <v>1288</v>
      </c>
      <c r="I446" s="16" t="str">
        <f>CADASTROS!$H$418</f>
        <v>804942438-1</v>
      </c>
      <c r="J446" s="18">
        <f t="shared" si="22"/>
        <v>0</v>
      </c>
    </row>
    <row r="447" spans="1:10" ht="15.75" x14ac:dyDescent="0.25">
      <c r="A447" s="24">
        <f>CADASTROS!$B$419</f>
        <v>417</v>
      </c>
      <c r="B447" s="15" t="str">
        <f>CADASTROS!$C$419</f>
        <v>Eunice Ferreira de Jesus</v>
      </c>
      <c r="C447" s="25"/>
      <c r="D447" s="35">
        <f>PLANILHA_COLHEITA_DIÁRIA!$I$674</f>
        <v>0</v>
      </c>
      <c r="E447" s="17">
        <v>6</v>
      </c>
      <c r="F447" s="26" t="str">
        <f>CADASTROS!$E$419</f>
        <v>Bradesco</v>
      </c>
      <c r="G447" s="24" t="str">
        <f>CADASTROS!$F$419</f>
        <v>3616-1</v>
      </c>
      <c r="H447" s="26" t="str">
        <f>CADASTROS!$G$419</f>
        <v>c/corr</v>
      </c>
      <c r="I447" s="16" t="str">
        <f>CADASTROS!$H$419</f>
        <v>0003881-4</v>
      </c>
      <c r="J447" s="18">
        <f t="shared" si="22"/>
        <v>0</v>
      </c>
    </row>
    <row r="448" spans="1:10" ht="15.75" x14ac:dyDescent="0.25">
      <c r="A448" s="24">
        <f>CADASTROS!$B$420</f>
        <v>418</v>
      </c>
      <c r="B448" s="15" t="str">
        <f>CADASTROS!$C$420</f>
        <v>Antônio Conceição da Costa</v>
      </c>
      <c r="C448" s="25"/>
      <c r="D448" s="35">
        <f>PLANILHA_COLHEITA_DIÁRIA!$I$675</f>
        <v>0</v>
      </c>
      <c r="E448" s="17">
        <v>6</v>
      </c>
      <c r="F448" s="26">
        <f>CADASTROS!$E$420</f>
        <v>0</v>
      </c>
      <c r="G448" s="24">
        <f>CADASTROS!$F$420</f>
        <v>0</v>
      </c>
      <c r="H448" s="26">
        <f>CADASTROS!$G$420</f>
        <v>0</v>
      </c>
      <c r="I448" s="16">
        <f>CADASTROS!$H$420</f>
        <v>0</v>
      </c>
      <c r="J448" s="18">
        <f t="shared" si="22"/>
        <v>0</v>
      </c>
    </row>
    <row r="449" spans="1:10" ht="15.75" x14ac:dyDescent="0.25">
      <c r="A449" s="24">
        <f>CADASTROS!$B$421</f>
        <v>419</v>
      </c>
      <c r="B449" s="15" t="str">
        <f>CADASTROS!$C$421</f>
        <v>Maria Núbia Fernandes da Silva</v>
      </c>
      <c r="C449" s="25"/>
      <c r="D449" s="35">
        <f>PLANILHA_COLHEITA_DIÁRIA!$I$676</f>
        <v>9</v>
      </c>
      <c r="E449" s="17">
        <v>6</v>
      </c>
      <c r="F449" s="26" t="str">
        <f>CADASTROS!$E$421</f>
        <v>Cx. Econômica</v>
      </c>
      <c r="G449" s="24">
        <f>CADASTROS!$F$421</f>
        <v>780</v>
      </c>
      <c r="H449" s="26" t="str">
        <f>CADASTROS!$G$421</f>
        <v>023</v>
      </c>
      <c r="I449" s="16" t="str">
        <f>CADASTROS!$H$421</f>
        <v>00012471-1</v>
      </c>
      <c r="J449" s="18">
        <f t="shared" si="22"/>
        <v>54</v>
      </c>
    </row>
    <row r="450" spans="1:10" ht="15.75" x14ac:dyDescent="0.25">
      <c r="A450" s="24">
        <f>CADASTROS!$B$422</f>
        <v>420</v>
      </c>
      <c r="B450" s="15" t="str">
        <f>CADASTROS!$C$422</f>
        <v>Silene F da Silva</v>
      </c>
      <c r="C450" s="25"/>
      <c r="D450" s="35">
        <f>PLANILHA_COLHEITA_DIÁRIA!$I$677</f>
        <v>0</v>
      </c>
      <c r="E450" s="17">
        <v>6</v>
      </c>
      <c r="F450" s="26" t="str">
        <f>CADASTROS!$E$422</f>
        <v>Cx. Econômica</v>
      </c>
      <c r="G450" s="24">
        <f>CADASTROS!$F$422</f>
        <v>780</v>
      </c>
      <c r="H450" s="26" t="str">
        <f>CADASTROS!$G$422</f>
        <v>013</v>
      </c>
      <c r="I450" s="16" t="str">
        <f>CADASTROS!$H$422</f>
        <v>00009126-3</v>
      </c>
      <c r="J450" s="18">
        <f t="shared" si="22"/>
        <v>0</v>
      </c>
    </row>
    <row r="451" spans="1:10" ht="15.75" x14ac:dyDescent="0.25">
      <c r="A451" s="24">
        <f>CADASTROS!$B$423</f>
        <v>421</v>
      </c>
      <c r="B451" s="15" t="str">
        <f>CADASTROS!$C$423</f>
        <v>Marivalda</v>
      </c>
      <c r="C451" s="25"/>
      <c r="D451" s="41">
        <f>PLANILHA_COLHEITA_DIÁRIA!$I$678</f>
        <v>0</v>
      </c>
      <c r="E451" s="17">
        <v>6</v>
      </c>
      <c r="F451" s="26">
        <f>CADASTROS!$E$423</f>
        <v>0</v>
      </c>
      <c r="G451" s="24">
        <f>CADASTROS!$F$423</f>
        <v>0</v>
      </c>
      <c r="H451" s="26">
        <f>CADASTROS!$G$423</f>
        <v>0</v>
      </c>
      <c r="I451" s="16">
        <f>CADASTROS!$H$423</f>
        <v>0</v>
      </c>
      <c r="J451" s="18">
        <f t="shared" si="22"/>
        <v>0</v>
      </c>
    </row>
    <row r="452" spans="1:10" ht="15.75" x14ac:dyDescent="0.25">
      <c r="A452" s="24">
        <f>CADASTROS!$B$424</f>
        <v>422</v>
      </c>
      <c r="B452" s="15" t="str">
        <f>CADASTROS!$C$424</f>
        <v>Etevaldo B de Oliveira</v>
      </c>
      <c r="C452" s="25"/>
      <c r="D452" s="35">
        <f>PLANILHA_COLHEITA_DIÁRIA!$I$679</f>
        <v>0</v>
      </c>
      <c r="E452" s="17">
        <v>6</v>
      </c>
      <c r="F452" s="26" t="str">
        <f>CADASTROS!$E$424</f>
        <v>Bradesco</v>
      </c>
      <c r="G452" s="24" t="str">
        <f>CADASTROS!$F$424</f>
        <v>3801-6</v>
      </c>
      <c r="H452" s="26" t="str">
        <f>CADASTROS!$G$424</f>
        <v>c/corr</v>
      </c>
      <c r="I452" s="16" t="str">
        <f>CADASTROS!$H$424</f>
        <v>0523137-0</v>
      </c>
      <c r="J452" s="18">
        <f t="shared" si="22"/>
        <v>0</v>
      </c>
    </row>
    <row r="453" spans="1:10" ht="15.75" x14ac:dyDescent="0.25">
      <c r="A453" s="24">
        <f>CADASTROS!$B$425</f>
        <v>423</v>
      </c>
      <c r="B453" s="15" t="str">
        <f>CADASTROS!$C$425</f>
        <v>Lindinalva Oliveira Souza</v>
      </c>
      <c r="C453" s="25"/>
      <c r="D453" s="35">
        <f>PLANILHA_COLHEITA_DIÁRIA!$I$696</f>
        <v>0</v>
      </c>
      <c r="E453" s="17">
        <v>6</v>
      </c>
      <c r="F453" s="26" t="str">
        <f>CADASTROS!$E$425</f>
        <v>Banco do Brasil</v>
      </c>
      <c r="G453" s="24" t="str">
        <f>CADASTROS!$F$425</f>
        <v>0904-0</v>
      </c>
      <c r="H453" s="26" t="str">
        <f>CADASTROS!$G$425</f>
        <v>poup</v>
      </c>
      <c r="I453" s="16" t="str">
        <f>CADASTROS!$H$425</f>
        <v>55.775-7</v>
      </c>
      <c r="J453" s="18">
        <f t="shared" si="22"/>
        <v>0</v>
      </c>
    </row>
    <row r="454" spans="1:10" ht="15.75" x14ac:dyDescent="0.25">
      <c r="A454" s="24">
        <f>CADASTROS!$B$426</f>
        <v>424</v>
      </c>
      <c r="B454" s="15" t="str">
        <f>CADASTROS!$C$426</f>
        <v>Santa Maria de Morais</v>
      </c>
      <c r="C454" s="25"/>
      <c r="D454" s="41">
        <f>PLANILHA_COLHEITA_DIÁRIA!$I$697</f>
        <v>0</v>
      </c>
      <c r="E454" s="17">
        <v>6</v>
      </c>
      <c r="F454" s="26" t="str">
        <f>CADASTROS!$E$426</f>
        <v>Cx. Econômica</v>
      </c>
      <c r="G454" s="24">
        <f>CADASTROS!$F$426</f>
        <v>949</v>
      </c>
      <c r="H454" s="26">
        <f>CADASTROS!$G$426</f>
        <v>23</v>
      </c>
      <c r="I454" s="16" t="str">
        <f>CADASTROS!$H$426</f>
        <v>00008882-9</v>
      </c>
      <c r="J454" s="18">
        <f t="shared" si="22"/>
        <v>0</v>
      </c>
    </row>
    <row r="455" spans="1:10" ht="15.75" x14ac:dyDescent="0.25">
      <c r="A455" s="24">
        <f>CADASTROS!$B$427</f>
        <v>425</v>
      </c>
      <c r="B455" s="15" t="str">
        <f>CADASTROS!$C$427</f>
        <v>Edva Reis dos Santos</v>
      </c>
      <c r="C455" s="25"/>
      <c r="D455" s="35">
        <f>PLANILHA_COLHEITA_DIÁRIA!$I$698</f>
        <v>0</v>
      </c>
      <c r="E455" s="17">
        <v>6</v>
      </c>
      <c r="F455" s="26" t="str">
        <f>CADASTROS!$E$427</f>
        <v>Cx. Econômica</v>
      </c>
      <c r="G455" s="24">
        <f>CADASTROS!$F$427</f>
        <v>949</v>
      </c>
      <c r="H455" s="26">
        <f>CADASTROS!$G$427</f>
        <v>23</v>
      </c>
      <c r="I455" s="16" t="str">
        <f>CADASTROS!$H$427</f>
        <v>00007242-6</v>
      </c>
      <c r="J455" s="18">
        <f t="shared" si="22"/>
        <v>0</v>
      </c>
    </row>
    <row r="456" spans="1:10" ht="15.75" x14ac:dyDescent="0.25">
      <c r="A456" s="24">
        <f>CADASTROS!$B$428</f>
        <v>426</v>
      </c>
      <c r="B456" s="15" t="str">
        <f>CADASTROS!$C$428</f>
        <v>Paulo Ferreira dos Santos</v>
      </c>
      <c r="C456" s="25"/>
      <c r="D456" s="35">
        <f>PLANILHA_COLHEITA_DIÁRIA!$I$699</f>
        <v>0</v>
      </c>
      <c r="E456" s="17">
        <v>6</v>
      </c>
      <c r="F456" s="26" t="str">
        <f>CADASTROS!$E$428</f>
        <v>Cx. Econômica</v>
      </c>
      <c r="G456" s="24">
        <f>CADASTROS!$F$428</f>
        <v>4818</v>
      </c>
      <c r="H456" s="26">
        <f>CADASTROS!$G$428</f>
        <v>13</v>
      </c>
      <c r="I456" s="16" t="str">
        <f>CADASTROS!$H$428</f>
        <v>00007925-1</v>
      </c>
      <c r="J456" s="18">
        <f t="shared" si="22"/>
        <v>0</v>
      </c>
    </row>
    <row r="457" spans="1:10" ht="15.75" x14ac:dyDescent="0.25">
      <c r="A457" s="24">
        <f>CADASTROS!$B$429</f>
        <v>427</v>
      </c>
      <c r="B457" s="15" t="str">
        <f>CADASTROS!$C$429</f>
        <v>Luzineide Pires de Souza</v>
      </c>
      <c r="C457" s="25"/>
      <c r="D457" s="35">
        <f>PLANILHA_COLHEITA_DIÁRIA!$I$700</f>
        <v>0</v>
      </c>
      <c r="E457" s="17">
        <v>6</v>
      </c>
      <c r="F457" s="26" t="str">
        <f>CADASTROS!$E$429</f>
        <v>Cx. Econômica</v>
      </c>
      <c r="G457" s="24">
        <f>CADASTROS!$F$429</f>
        <v>949</v>
      </c>
      <c r="H457" s="26">
        <f>CADASTROS!$G$429</f>
        <v>23</v>
      </c>
      <c r="I457" s="16" t="str">
        <f>CADASTROS!$H$429</f>
        <v>00028208-0</v>
      </c>
      <c r="J457" s="18">
        <f t="shared" si="22"/>
        <v>0</v>
      </c>
    </row>
    <row r="458" spans="1:10" ht="15.75" x14ac:dyDescent="0.25">
      <c r="A458" s="24">
        <f>CADASTROS!$B$430</f>
        <v>428</v>
      </c>
      <c r="B458" s="15" t="str">
        <f>CADASTROS!$C$430</f>
        <v>Aline Damasceno Silva</v>
      </c>
      <c r="C458" s="25"/>
      <c r="D458" s="35">
        <f>PLANILHA_COLHEITA_DIÁRIA!$I$701</f>
        <v>0</v>
      </c>
      <c r="E458" s="17">
        <v>6</v>
      </c>
      <c r="F458" s="26" t="str">
        <f>CADASTROS!$E$430</f>
        <v>Cx. Econômica</v>
      </c>
      <c r="G458" s="24">
        <f>CADASTROS!$F$430</f>
        <v>949</v>
      </c>
      <c r="H458" s="26">
        <f>CADASTROS!$G$430</f>
        <v>13</v>
      </c>
      <c r="I458" s="16" t="str">
        <f>CADASTROS!$H$430</f>
        <v>00033489-0</v>
      </c>
      <c r="J458" s="18">
        <f t="shared" si="22"/>
        <v>0</v>
      </c>
    </row>
    <row r="459" spans="1:10" ht="15.75" x14ac:dyDescent="0.25">
      <c r="A459" s="24">
        <f>CADASTROS!$B$431</f>
        <v>429</v>
      </c>
      <c r="B459" s="15" t="str">
        <f>CADASTROS!$C$431</f>
        <v>Jocelma Costa dos Santos</v>
      </c>
      <c r="C459" s="25"/>
      <c r="D459" s="35">
        <f>PLANILHA_COLHEITA_DIÁRIA!$I$702</f>
        <v>0</v>
      </c>
      <c r="E459" s="17">
        <v>6</v>
      </c>
      <c r="F459" s="26" t="str">
        <f>CADASTROS!$E$431</f>
        <v>Cx. Econômica</v>
      </c>
      <c r="G459" s="24">
        <f>CADASTROS!$F$431</f>
        <v>949</v>
      </c>
      <c r="H459" s="26">
        <f>CADASTROS!$G$431</f>
        <v>23</v>
      </c>
      <c r="I459" s="16" t="str">
        <f>CADASTROS!$H$431</f>
        <v>00002554-7</v>
      </c>
      <c r="J459" s="18">
        <f t="shared" si="22"/>
        <v>0</v>
      </c>
    </row>
    <row r="460" spans="1:10" ht="15.75" x14ac:dyDescent="0.25">
      <c r="A460" s="24">
        <f>CADASTROS!$B$432</f>
        <v>430</v>
      </c>
      <c r="B460" s="15" t="str">
        <f>CADASTROS!$C$432</f>
        <v>Maria José R Oliveira</v>
      </c>
      <c r="C460" s="25"/>
      <c r="D460" s="35">
        <f>PLANILHA_COLHEITA_DIÁRIA!$I$703</f>
        <v>0</v>
      </c>
      <c r="E460" s="17">
        <v>6</v>
      </c>
      <c r="F460" s="26" t="str">
        <f>CADASTROS!$E$432</f>
        <v>Banco do Brasil</v>
      </c>
      <c r="G460" s="24" t="str">
        <f>CADASTROS!$F$432</f>
        <v>2760-X</v>
      </c>
      <c r="H460" s="26" t="str">
        <f>CADASTROS!$G$432</f>
        <v>poup</v>
      </c>
      <c r="I460" s="16" t="str">
        <f>CADASTROS!$H$432</f>
        <v>13.787-1</v>
      </c>
      <c r="J460" s="18">
        <f t="shared" si="22"/>
        <v>0</v>
      </c>
    </row>
    <row r="461" spans="1:10" ht="15.75" x14ac:dyDescent="0.25">
      <c r="A461" s="24">
        <f>CADASTROS!$B$433</f>
        <v>431</v>
      </c>
      <c r="B461" s="15" t="str">
        <f>CADASTROS!$C$433</f>
        <v>Maria da Conceição Silva</v>
      </c>
      <c r="C461" s="25"/>
      <c r="D461" s="35">
        <f>PLANILHA_COLHEITA_DIÁRIA!$I$704</f>
        <v>0</v>
      </c>
      <c r="E461" s="17">
        <v>6</v>
      </c>
      <c r="F461" s="26" t="str">
        <f>CADASTROS!$E$433</f>
        <v>Cx. Econômica</v>
      </c>
      <c r="G461" s="24">
        <f>CADASTROS!$F$433</f>
        <v>4818</v>
      </c>
      <c r="H461" s="26">
        <f>CADASTROS!$G$433</f>
        <v>0</v>
      </c>
      <c r="I461" s="16" t="str">
        <f>CADASTROS!$H$433</f>
        <v>000859662303-3</v>
      </c>
      <c r="J461" s="18">
        <f t="shared" si="22"/>
        <v>0</v>
      </c>
    </row>
    <row r="462" spans="1:10" ht="15.75" x14ac:dyDescent="0.25">
      <c r="A462" s="24">
        <f>CADASTROS!$B$434</f>
        <v>432</v>
      </c>
      <c r="B462" s="15" t="str">
        <f>CADASTROS!$C$434</f>
        <v>Samar Bonifácio de Souza</v>
      </c>
      <c r="C462" s="25"/>
      <c r="D462" s="35">
        <f>PLANILHA_COLHEITA_DIÁRIA!$I$705</f>
        <v>0</v>
      </c>
      <c r="E462" s="17">
        <v>6</v>
      </c>
      <c r="F462" s="26" t="str">
        <f>CADASTROS!$E$434</f>
        <v>Cx. Econômica</v>
      </c>
      <c r="G462" s="24">
        <f>CADASTROS!$F$434</f>
        <v>4825</v>
      </c>
      <c r="H462" s="26" t="str">
        <f>CADASTROS!$G$434</f>
        <v>013</v>
      </c>
      <c r="I462" s="16" t="str">
        <f>CADASTROS!$H$434</f>
        <v>00011220-6</v>
      </c>
      <c r="J462" s="18">
        <f t="shared" si="22"/>
        <v>0</v>
      </c>
    </row>
    <row r="463" spans="1:10" ht="15.75" x14ac:dyDescent="0.25">
      <c r="A463" s="24">
        <f>CADASTROS!$B$435</f>
        <v>433</v>
      </c>
      <c r="B463" s="15" t="str">
        <f>CADASTROS!$C$435</f>
        <v>Ednalva Moreira da Silva</v>
      </c>
      <c r="C463" s="25"/>
      <c r="D463" s="35">
        <f>PLANILHA_COLHEITA_DIÁRIA!$I$706</f>
        <v>0</v>
      </c>
      <c r="E463" s="17">
        <v>6</v>
      </c>
      <c r="F463" s="26" t="str">
        <f>CADASTROS!$E$435</f>
        <v>Cx. Econômica</v>
      </c>
      <c r="G463" s="24">
        <f>CADASTROS!$F$435</f>
        <v>4825</v>
      </c>
      <c r="H463" s="26" t="str">
        <f>CADASTROS!$G$435</f>
        <v>013</v>
      </c>
      <c r="I463" s="16" t="str">
        <f>CADASTROS!$H$435</f>
        <v>860460796-8</v>
      </c>
      <c r="J463" s="18">
        <f t="shared" si="22"/>
        <v>0</v>
      </c>
    </row>
    <row r="464" spans="1:10" ht="15.75" x14ac:dyDescent="0.25">
      <c r="A464" s="24">
        <f>CADASTROS!$B$436</f>
        <v>434</v>
      </c>
      <c r="B464" s="15" t="str">
        <f>CADASTROS!$C$436</f>
        <v>Alexandra Mariano Lima</v>
      </c>
      <c r="C464" s="25"/>
      <c r="D464" s="52">
        <f>PLANILHA_COLHEITA_DIÁRIA!$I$707</f>
        <v>0</v>
      </c>
      <c r="E464" s="17">
        <v>6</v>
      </c>
      <c r="F464" s="26" t="str">
        <f>CADASTROS!$E$436</f>
        <v>Cx. Econômica</v>
      </c>
      <c r="G464" s="24">
        <f>CADASTROS!$F$436</f>
        <v>4825</v>
      </c>
      <c r="H464" s="26" t="str">
        <f>CADASTROS!$G$436</f>
        <v>013</v>
      </c>
      <c r="I464" s="16" t="str">
        <f>CADASTROS!$H$436</f>
        <v>00008297-8</v>
      </c>
      <c r="J464" s="18">
        <f t="shared" si="22"/>
        <v>0</v>
      </c>
    </row>
    <row r="465" spans="1:10" ht="15.75" x14ac:dyDescent="0.25">
      <c r="A465" s="24">
        <f>CADASTROS!$B$437</f>
        <v>435</v>
      </c>
      <c r="B465" s="15" t="str">
        <f>CADASTROS!$C$437</f>
        <v>Ednéia Moreira dos Santos</v>
      </c>
      <c r="C465" s="25"/>
      <c r="D465" s="35">
        <f>PLANILHA_COLHEITA_DIÁRIA!$I$708</f>
        <v>0</v>
      </c>
      <c r="E465" s="17">
        <v>6</v>
      </c>
      <c r="F465" s="26" t="str">
        <f>CADASTROS!$E$437</f>
        <v>Cx. Econômica</v>
      </c>
      <c r="G465" s="24">
        <f>CADASTROS!$F$437</f>
        <v>4825</v>
      </c>
      <c r="H465" s="26" t="str">
        <f>CADASTROS!$G$437</f>
        <v>013</v>
      </c>
      <c r="I465" s="16" t="str">
        <f>CADASTROS!$H$437</f>
        <v>00004229-1</v>
      </c>
      <c r="J465" s="18">
        <f t="shared" si="22"/>
        <v>0</v>
      </c>
    </row>
    <row r="466" spans="1:10" ht="15.75" x14ac:dyDescent="0.25">
      <c r="A466" s="24">
        <f>CADASTROS!$B$438</f>
        <v>436</v>
      </c>
      <c r="B466" s="15" t="str">
        <f>CADASTROS!$C$438</f>
        <v>Márcia Pinto Santana</v>
      </c>
      <c r="C466" s="25"/>
      <c r="D466" s="35">
        <f>PLANILHA_COLHEITA_DIÁRIA!$I$709</f>
        <v>0</v>
      </c>
      <c r="E466" s="17">
        <v>6</v>
      </c>
      <c r="F466" s="26" t="str">
        <f>CADASTROS!$E$438</f>
        <v>Cx. Econômica</v>
      </c>
      <c r="G466" s="24">
        <f>CADASTROS!$F$438</f>
        <v>949</v>
      </c>
      <c r="H466" s="26">
        <f>CADASTROS!$G$438</f>
        <v>0</v>
      </c>
      <c r="I466" s="16" t="str">
        <f>CADASTROS!$H$438</f>
        <v>000839007924-9</v>
      </c>
      <c r="J466" s="18">
        <f t="shared" si="22"/>
        <v>0</v>
      </c>
    </row>
    <row r="467" spans="1:10" ht="15.75" x14ac:dyDescent="0.25">
      <c r="A467" s="24">
        <f>CADASTROS!$B$439</f>
        <v>437</v>
      </c>
      <c r="B467" s="15" t="str">
        <f>CADASTROS!$C$439</f>
        <v>Reginaldo S Gonçalves</v>
      </c>
      <c r="C467" s="25"/>
      <c r="D467" s="35">
        <f>PLANILHA_COLHEITA_DIÁRIA!$I$710</f>
        <v>0</v>
      </c>
      <c r="E467" s="17">
        <v>6</v>
      </c>
      <c r="F467" s="26" t="str">
        <f>CADASTROS!$E$439</f>
        <v>Cx. Econômica</v>
      </c>
      <c r="G467" s="24">
        <f>CADASTROS!$F$439</f>
        <v>4825</v>
      </c>
      <c r="H467" s="26" t="str">
        <f>CADASTROS!$G$439</f>
        <v>013</v>
      </c>
      <c r="I467" s="16" t="str">
        <f>CADASTROS!$H$439</f>
        <v>00012583-9</v>
      </c>
      <c r="J467" s="18">
        <f t="shared" si="22"/>
        <v>0</v>
      </c>
    </row>
    <row r="468" spans="1:10" ht="15.75" x14ac:dyDescent="0.25">
      <c r="A468" s="24">
        <f>CADASTROS!$B$440</f>
        <v>438</v>
      </c>
      <c r="B468" s="15" t="str">
        <f>CADASTROS!$C$440</f>
        <v>Anacelia A dos Santos</v>
      </c>
      <c r="C468" s="25"/>
      <c r="D468" s="35">
        <f>PLANILHA_COLHEITA_DIÁRIA!$I$711</f>
        <v>0</v>
      </c>
      <c r="E468" s="17">
        <v>6</v>
      </c>
      <c r="F468" s="26" t="str">
        <f>CADASTROS!$E$440</f>
        <v>Bradesco</v>
      </c>
      <c r="G468" s="24" t="str">
        <f>CADASTROS!$F$440</f>
        <v>3801-6</v>
      </c>
      <c r="H468" s="26" t="str">
        <f>CADASTROS!$G$440</f>
        <v>c/corr</v>
      </c>
      <c r="I468" s="16" t="str">
        <f>CADASTROS!$H$440</f>
        <v>061422-0</v>
      </c>
      <c r="J468" s="18">
        <f t="shared" si="22"/>
        <v>0</v>
      </c>
    </row>
    <row r="469" spans="1:10" ht="15.75" x14ac:dyDescent="0.25">
      <c r="A469" s="24">
        <f>CADASTROS!$B$441</f>
        <v>439</v>
      </c>
      <c r="B469" s="15" t="str">
        <f>CADASTROS!$C$441</f>
        <v>Elizangela Amaral</v>
      </c>
      <c r="C469" s="25"/>
      <c r="D469" s="35">
        <f>PLANILHA_COLHEITA_DIÁRIA!$I$712</f>
        <v>0</v>
      </c>
      <c r="E469" s="17">
        <v>6</v>
      </c>
      <c r="F469" s="26" t="str">
        <f>CADASTROS!$E$441</f>
        <v>Cx. Econômica</v>
      </c>
      <c r="G469" s="24">
        <f>CADASTROS!$F$441</f>
        <v>780</v>
      </c>
      <c r="H469" s="26" t="str">
        <f>CADASTROS!$G$441</f>
        <v>023</v>
      </c>
      <c r="I469" s="16" t="str">
        <f>CADASTROS!$H$441</f>
        <v>00011534-8</v>
      </c>
      <c r="J469" s="18">
        <f t="shared" si="22"/>
        <v>0</v>
      </c>
    </row>
    <row r="470" spans="1:10" ht="15.75" x14ac:dyDescent="0.25">
      <c r="A470" s="24">
        <f>CADASTROS!$B$442</f>
        <v>440</v>
      </c>
      <c r="B470" s="15" t="str">
        <f>CADASTROS!$C$442</f>
        <v>Adailza Oliveira Viana</v>
      </c>
      <c r="C470" s="25"/>
      <c r="D470" s="35">
        <f>PLANILHA_COLHEITA_DIÁRIA!$I$713</f>
        <v>0</v>
      </c>
      <c r="E470" s="17">
        <v>6</v>
      </c>
      <c r="F470" s="26" t="str">
        <f>CADASTROS!$E$442</f>
        <v>Cx. Econômica</v>
      </c>
      <c r="G470" s="24">
        <f>CADASTROS!$F$442</f>
        <v>4825</v>
      </c>
      <c r="H470" s="26" t="str">
        <f>CADASTROS!$G$442</f>
        <v>013</v>
      </c>
      <c r="I470" s="16" t="str">
        <f>CADASTROS!$H$442</f>
        <v>00007678-1</v>
      </c>
      <c r="J470" s="18">
        <f t="shared" si="22"/>
        <v>0</v>
      </c>
    </row>
    <row r="471" spans="1:10" ht="15.75" x14ac:dyDescent="0.25">
      <c r="A471" s="24">
        <f>CADASTROS!$B$443</f>
        <v>441</v>
      </c>
      <c r="B471" s="15" t="str">
        <f>CADASTROS!$C$443</f>
        <v>Zilda Santos Gonçalves</v>
      </c>
      <c r="C471" s="25"/>
      <c r="D471" s="35">
        <f>PLANILHA_COLHEITA_DIÁRIA!$I$714</f>
        <v>0</v>
      </c>
      <c r="E471" s="17">
        <v>6</v>
      </c>
      <c r="F471" s="26" t="str">
        <f>CADASTROS!$E$443</f>
        <v>Cx. Econômica</v>
      </c>
      <c r="G471" s="24">
        <f>CADASTROS!$F$443</f>
        <v>4825</v>
      </c>
      <c r="H471" s="26" t="str">
        <f>CADASTROS!$G$443</f>
        <v>013</v>
      </c>
      <c r="I471" s="16" t="str">
        <f>CADASTROS!$H$443</f>
        <v>00013887-6</v>
      </c>
      <c r="J471" s="18">
        <f t="shared" si="22"/>
        <v>0</v>
      </c>
    </row>
    <row r="472" spans="1:10" ht="15.75" x14ac:dyDescent="0.25">
      <c r="A472" s="24">
        <f>CADASTROS!$B$444</f>
        <v>442</v>
      </c>
      <c r="B472" s="15" t="str">
        <f>CADASTROS!$C$444</f>
        <v>Sandra Santos Gonçalves</v>
      </c>
      <c r="C472" s="25"/>
      <c r="D472" s="35">
        <f>PLANILHA_COLHEITA_DIÁRIA!$I$715</f>
        <v>0</v>
      </c>
      <c r="E472" s="17">
        <v>6</v>
      </c>
      <c r="F472" s="26" t="str">
        <f>CADASTROS!$E$444</f>
        <v>Cx. Econômica</v>
      </c>
      <c r="G472" s="24">
        <f>CADASTROS!$F$444</f>
        <v>4825</v>
      </c>
      <c r="H472" s="26" t="str">
        <f>CADASTROS!$G$444</f>
        <v>013</v>
      </c>
      <c r="I472" s="16" t="str">
        <f>CADASTROS!$H$444</f>
        <v>00013884-1</v>
      </c>
      <c r="J472" s="18">
        <f t="shared" si="22"/>
        <v>0</v>
      </c>
    </row>
    <row r="473" spans="1:10" ht="15.75" x14ac:dyDescent="0.25">
      <c r="A473" s="36">
        <f>CADASTROS!$B$445</f>
        <v>443</v>
      </c>
      <c r="B473" s="37" t="str">
        <f>CADASTROS!$C$445</f>
        <v>Damião Teles de Souza</v>
      </c>
      <c r="C473" s="35"/>
      <c r="D473" s="35">
        <f>PLANILHA_COLHEITA_DIÁRIA!$I$716</f>
        <v>0</v>
      </c>
      <c r="E473" s="17">
        <v>6</v>
      </c>
      <c r="F473" s="38" t="str">
        <f>CADASTROS!$E$445</f>
        <v>Cx. Econômica</v>
      </c>
      <c r="G473" s="36">
        <f>CADASTROS!$F$445</f>
        <v>4825</v>
      </c>
      <c r="H473" s="38" t="str">
        <f>CADASTROS!$G$445</f>
        <v>013</v>
      </c>
      <c r="I473" s="39" t="str">
        <f>CADASTROS!$H$445</f>
        <v>00005713-2</v>
      </c>
      <c r="J473" s="18">
        <f t="shared" si="22"/>
        <v>0</v>
      </c>
    </row>
    <row r="474" spans="1:10" ht="15.75" x14ac:dyDescent="0.25">
      <c r="A474" s="24">
        <f>CADASTROS!$B$446</f>
        <v>444</v>
      </c>
      <c r="B474" s="15" t="str">
        <f>CADASTROS!$C$446</f>
        <v>Vanderlei P de Souza</v>
      </c>
      <c r="C474" s="25"/>
      <c r="D474" s="35">
        <f>PLANILHA_COLHEITA_DIÁRIA!$I$717</f>
        <v>0</v>
      </c>
      <c r="E474" s="17">
        <v>6</v>
      </c>
      <c r="F474" s="26" t="str">
        <f>CADASTROS!$E$446</f>
        <v>Bradesco</v>
      </c>
      <c r="G474" s="24" t="str">
        <f>CADASTROS!$F$446</f>
        <v>3801-6</v>
      </c>
      <c r="H474" s="26" t="str">
        <f>CADASTROS!$G$446</f>
        <v>c/corr</v>
      </c>
      <c r="I474" s="16" t="str">
        <f>CADASTROS!$H$446</f>
        <v>0001805-8</v>
      </c>
      <c r="J474" s="18">
        <f t="shared" si="22"/>
        <v>0</v>
      </c>
    </row>
    <row r="475" spans="1:10" ht="15.75" x14ac:dyDescent="0.25">
      <c r="A475" s="24">
        <f>CADASTROS!$B$447</f>
        <v>445</v>
      </c>
      <c r="B475" s="15" t="str">
        <f>CADASTROS!$C$447</f>
        <v>Gisélia A. Barros</v>
      </c>
      <c r="C475" s="25"/>
      <c r="D475" s="35">
        <f>PLANILHA_COLHEITA_DIÁRIA!$I$718</f>
        <v>0</v>
      </c>
      <c r="E475" s="17">
        <v>6</v>
      </c>
      <c r="F475" s="26" t="str">
        <f>CADASTROS!$E$447</f>
        <v>Banco do Brasil</v>
      </c>
      <c r="G475" s="24" t="str">
        <f>CADASTROS!$F$447</f>
        <v>2760-X</v>
      </c>
      <c r="H475" s="26" t="str">
        <f>CADASTROS!$G$447</f>
        <v>C/poup</v>
      </c>
      <c r="I475" s="16" t="str">
        <f>CADASTROS!$H$447</f>
        <v>17.338-X</v>
      </c>
      <c r="J475" s="18">
        <f t="shared" si="22"/>
        <v>0</v>
      </c>
    </row>
    <row r="476" spans="1:10" ht="15.75" x14ac:dyDescent="0.25">
      <c r="A476" s="24">
        <f>CADASTROS!$B$448</f>
        <v>446</v>
      </c>
      <c r="B476" s="15" t="str">
        <f>CADASTROS!$C$448</f>
        <v>Juliana S Santos</v>
      </c>
      <c r="C476" s="25"/>
      <c r="D476" s="35">
        <f>PLANILHA_COLHEITA_DIÁRIA!$I$719</f>
        <v>0</v>
      </c>
      <c r="E476" s="17">
        <v>6</v>
      </c>
      <c r="F476" s="26" t="str">
        <f>CADASTROS!$E$448</f>
        <v>Sincoob</v>
      </c>
      <c r="G476" s="24">
        <f>CADASTROS!$F$448</f>
        <v>3025</v>
      </c>
      <c r="H476" s="26">
        <f>CADASTROS!$G$448</f>
        <v>0</v>
      </c>
      <c r="I476" s="16" t="str">
        <f>CADASTROS!$H$448</f>
        <v>101996-1</v>
      </c>
      <c r="J476" s="18">
        <f t="shared" si="22"/>
        <v>0</v>
      </c>
    </row>
    <row r="477" spans="1:10" ht="15.75" x14ac:dyDescent="0.25">
      <c r="A477" s="24">
        <f>CADASTROS!$B$449</f>
        <v>447</v>
      </c>
      <c r="B477" s="15" t="str">
        <f>CADASTROS!$C$449</f>
        <v>Arão Pinheiro de Barros</v>
      </c>
      <c r="C477" s="25"/>
      <c r="D477" s="35">
        <f>PLANILHA_COLHEITA_DIÁRIA!$I$720</f>
        <v>0</v>
      </c>
      <c r="E477" s="17">
        <v>6</v>
      </c>
      <c r="F477" s="26" t="str">
        <f>CADASTROS!$E$449</f>
        <v>Cx. Econômica</v>
      </c>
      <c r="G477" s="24">
        <f>CADASTROS!$F$449</f>
        <v>4818</v>
      </c>
      <c r="H477" s="26">
        <f>CADASTROS!$G$449</f>
        <v>13</v>
      </c>
      <c r="I477" s="16" t="str">
        <f>CADASTROS!$H$449</f>
        <v>00005587-5</v>
      </c>
      <c r="J477" s="18">
        <f t="shared" si="22"/>
        <v>0</v>
      </c>
    </row>
    <row r="478" spans="1:10" ht="15.75" x14ac:dyDescent="0.25">
      <c r="A478" s="24">
        <f>CADASTROS!$B$450</f>
        <v>448</v>
      </c>
      <c r="B478" s="15" t="str">
        <f>CADASTROS!$C$450</f>
        <v>Jandirleide Maria da Silva</v>
      </c>
      <c r="C478" s="25"/>
      <c r="D478" s="35">
        <f>PLANILHA_COLHEITA_DIÁRIA!$I$721</f>
        <v>0</v>
      </c>
      <c r="E478" s="17">
        <v>6</v>
      </c>
      <c r="F478" s="26" t="str">
        <f>CADASTROS!$E$450</f>
        <v>Cx. Econômica</v>
      </c>
      <c r="G478" s="24">
        <f>CADASTROS!$F$450</f>
        <v>4825</v>
      </c>
      <c r="H478" s="26" t="str">
        <f>CADASTROS!$G$450</f>
        <v>013</v>
      </c>
      <c r="I478" s="16" t="str">
        <f>CADASTROS!$H$450</f>
        <v>00012388-7</v>
      </c>
      <c r="J478" s="18">
        <f t="shared" si="22"/>
        <v>0</v>
      </c>
    </row>
    <row r="479" spans="1:10" ht="15.75" x14ac:dyDescent="0.25">
      <c r="A479" s="24">
        <f>CADASTROS!$B$451</f>
        <v>449</v>
      </c>
      <c r="B479" s="15" t="str">
        <f>CADASTROS!$C$451</f>
        <v>Manoel João dos Santos</v>
      </c>
      <c r="C479" s="25"/>
      <c r="D479" s="35">
        <f>PLANILHA_COLHEITA_DIÁRIA!$I$722</f>
        <v>0</v>
      </c>
      <c r="E479" s="17">
        <v>6</v>
      </c>
      <c r="F479" s="26" t="str">
        <f>CADASTROS!$E$451</f>
        <v>Cx. Econômica</v>
      </c>
      <c r="G479" s="24">
        <f>CADASTROS!$F$451</f>
        <v>4818</v>
      </c>
      <c r="H479" s="26">
        <f>CADASTROS!$G$451</f>
        <v>13</v>
      </c>
      <c r="I479" s="16" t="str">
        <f>CADASTROS!$H$451</f>
        <v>00009910-4</v>
      </c>
      <c r="J479" s="18">
        <f t="shared" si="22"/>
        <v>0</v>
      </c>
    </row>
    <row r="480" spans="1:10" ht="15.75" x14ac:dyDescent="0.25">
      <c r="B480" s="220"/>
      <c r="C480" s="220"/>
      <c r="D480" s="12">
        <f>SUM(D435:D479)</f>
        <v>9</v>
      </c>
      <c r="E480" s="12"/>
      <c r="F480" s="225"/>
      <c r="G480" s="226"/>
      <c r="H480" s="226"/>
      <c r="I480" s="227"/>
      <c r="J480" s="14">
        <f>SUM(J435:J479)</f>
        <v>54</v>
      </c>
    </row>
    <row r="483" spans="1:10" ht="15.75" x14ac:dyDescent="0.25">
      <c r="A483" s="213" t="s">
        <v>4816</v>
      </c>
      <c r="B483" s="213"/>
      <c r="C483" s="213"/>
      <c r="D483" s="213"/>
      <c r="E483" s="213"/>
      <c r="F483" s="213"/>
      <c r="G483" s="213"/>
      <c r="H483" s="213"/>
      <c r="I483" s="213"/>
      <c r="J483" s="213"/>
    </row>
    <row r="484" spans="1:10" ht="16.5" thickBot="1" x14ac:dyDescent="0.3">
      <c r="A484" s="214" t="s">
        <v>4843</v>
      </c>
      <c r="B484" s="214"/>
      <c r="C484" s="214"/>
      <c r="D484" s="214"/>
      <c r="E484" s="214"/>
      <c r="F484" s="214"/>
      <c r="G484" s="214"/>
      <c r="H484" s="214"/>
      <c r="I484" s="214"/>
      <c r="J484" s="214"/>
    </row>
    <row r="485" spans="1:10" ht="17.25" thickTop="1" thickBot="1" x14ac:dyDescent="0.3">
      <c r="A485" s="215" t="s">
        <v>4844</v>
      </c>
      <c r="B485" s="215"/>
      <c r="C485" s="215"/>
      <c r="D485" s="215"/>
      <c r="E485" s="215"/>
      <c r="F485" s="215"/>
      <c r="G485" s="215"/>
      <c r="H485" s="215"/>
      <c r="I485" s="215"/>
      <c r="J485" s="215"/>
    </row>
    <row r="486" spans="1:10" ht="19.5" customHeight="1" x14ac:dyDescent="0.25">
      <c r="A486" s="19" t="s">
        <v>4846</v>
      </c>
      <c r="B486" s="216" t="s">
        <v>1</v>
      </c>
      <c r="C486" s="221" t="s">
        <v>2</v>
      </c>
      <c r="D486" s="223" t="s">
        <v>4847</v>
      </c>
      <c r="E486" s="20" t="s">
        <v>4848</v>
      </c>
      <c r="F486" s="216" t="s">
        <v>3</v>
      </c>
      <c r="G486" s="216" t="s">
        <v>4</v>
      </c>
      <c r="H486" s="216" t="s">
        <v>5</v>
      </c>
      <c r="I486" s="216" t="s">
        <v>6</v>
      </c>
      <c r="J486" s="218" t="s">
        <v>4849</v>
      </c>
    </row>
    <row r="487" spans="1:10" ht="20.100000000000001" customHeight="1" thickBot="1" x14ac:dyDescent="0.3">
      <c r="A487" s="21" t="s">
        <v>4850</v>
      </c>
      <c r="B487" s="217"/>
      <c r="C487" s="222"/>
      <c r="D487" s="224"/>
      <c r="E487" s="161" t="s">
        <v>4851</v>
      </c>
      <c r="F487" s="217"/>
      <c r="G487" s="217"/>
      <c r="H487" s="217"/>
      <c r="I487" s="217"/>
      <c r="J487" s="219"/>
    </row>
    <row r="488" spans="1:10" ht="15.75" x14ac:dyDescent="0.25">
      <c r="A488" s="24">
        <f>CADASTROS!$B$137</f>
        <v>135</v>
      </c>
      <c r="B488" s="15" t="str">
        <f>CADASTROS!$C$137</f>
        <v>Sirlaine Sousa da Silva</v>
      </c>
      <c r="C488" s="25"/>
      <c r="D488" s="35">
        <f>PLANILHA_COLHEITA_DIÁRIA!$I$224</f>
        <v>0</v>
      </c>
      <c r="E488" s="17">
        <v>6</v>
      </c>
      <c r="F488" s="26" t="str">
        <f>CADASTROS!$E$137</f>
        <v>Cx. Econômica</v>
      </c>
      <c r="G488" s="24">
        <f>CADASTROS!$F$137</f>
        <v>3880</v>
      </c>
      <c r="H488" s="26">
        <f>CADASTROS!$G$137</f>
        <v>1288</v>
      </c>
      <c r="I488" s="16" t="str">
        <f>CADASTROS!$H$137</f>
        <v>976900093-6</v>
      </c>
      <c r="J488" s="18">
        <f t="shared" ref="J488:J532" si="23">D488*E488</f>
        <v>0</v>
      </c>
    </row>
    <row r="489" spans="1:10" ht="15.75" x14ac:dyDescent="0.25">
      <c r="A489" s="24">
        <f>CADASTROS!$B$138</f>
        <v>136</v>
      </c>
      <c r="B489" s="15" t="str">
        <f>CADASTROS!$C$138</f>
        <v>Juliana Costa Silva</v>
      </c>
      <c r="C489" s="25"/>
      <c r="D489" s="52">
        <f>PLANILHA_COLHEITA_DIÁRIA!$I$225</f>
        <v>0</v>
      </c>
      <c r="E489" s="17">
        <v>6</v>
      </c>
      <c r="F489" s="26" t="str">
        <f>CADASTROS!$E$138</f>
        <v>Cx. Econômica</v>
      </c>
      <c r="G489" s="24">
        <f>CADASTROS!$F$138</f>
        <v>3880</v>
      </c>
      <c r="H489" s="26">
        <f>CADASTROS!$G$138</f>
        <v>1288</v>
      </c>
      <c r="I489" s="16" t="str">
        <f>CADASTROS!$H$138</f>
        <v>807029513-7</v>
      </c>
      <c r="J489" s="18">
        <f t="shared" si="23"/>
        <v>0</v>
      </c>
    </row>
    <row r="490" spans="1:10" ht="15.75" x14ac:dyDescent="0.25">
      <c r="A490" s="24">
        <f>CADASTROS!$B$139</f>
        <v>137</v>
      </c>
      <c r="B490" s="15" t="str">
        <f>CADASTROS!$C$139</f>
        <v>Enesio Maria Alves</v>
      </c>
      <c r="C490" s="25"/>
      <c r="D490" s="35">
        <f>PLANILHA_COLHEITA_DIÁRIA!$I$226</f>
        <v>21</v>
      </c>
      <c r="E490" s="17">
        <v>6</v>
      </c>
      <c r="F490" s="26" t="str">
        <f>CADASTROS!$E$139</f>
        <v>Bradesco</v>
      </c>
      <c r="G490" s="24" t="str">
        <f>CADASTROS!$F$139</f>
        <v>3801-6</v>
      </c>
      <c r="H490" s="26">
        <f>CADASTROS!$G$139</f>
        <v>0</v>
      </c>
      <c r="I490" s="16" t="str">
        <f>CADASTROS!$H$139</f>
        <v>0350193-0</v>
      </c>
      <c r="J490" s="18">
        <f t="shared" si="23"/>
        <v>126</v>
      </c>
    </row>
    <row r="491" spans="1:10" ht="15.75" x14ac:dyDescent="0.25">
      <c r="A491" s="24">
        <f>CADASTROS!$B$140</f>
        <v>138</v>
      </c>
      <c r="B491" s="15" t="str">
        <f>CADASTROS!$C$140</f>
        <v>Jurandi Alves de Sousa</v>
      </c>
      <c r="C491" s="25"/>
      <c r="D491" s="35">
        <f>PLANILHA_COLHEITA_DIÁRIA!$I$227</f>
        <v>0</v>
      </c>
      <c r="E491" s="17">
        <v>6</v>
      </c>
      <c r="F491" s="26" t="str">
        <f>CADASTROS!$E$140</f>
        <v>Cx. Econômica</v>
      </c>
      <c r="G491" s="24">
        <f>CADASTROS!$F$140</f>
        <v>4825</v>
      </c>
      <c r="H491" s="26">
        <f>CADASTROS!$G$140</f>
        <v>0</v>
      </c>
      <c r="I491" s="16" t="str">
        <f>CADASTROS!$H$140</f>
        <v>000858060627-4</v>
      </c>
      <c r="J491" s="18">
        <f t="shared" si="23"/>
        <v>0</v>
      </c>
    </row>
    <row r="492" spans="1:10" ht="15.75" x14ac:dyDescent="0.25">
      <c r="A492" s="24">
        <f>CADASTROS!$B$141</f>
        <v>139</v>
      </c>
      <c r="B492" s="15" t="str">
        <f>CADASTROS!$C$141</f>
        <v>Ronaldo da Silva Bispo</v>
      </c>
      <c r="C492" s="25"/>
      <c r="D492" s="35">
        <f>PLANILHA_COLHEITA_DIÁRIA!$I$228</f>
        <v>0</v>
      </c>
      <c r="E492" s="17">
        <v>6</v>
      </c>
      <c r="F492" s="26" t="str">
        <f>CADASTROS!$E$141</f>
        <v>Cx. Econômica</v>
      </c>
      <c r="G492" s="24">
        <f>CADASTROS!$F$141</f>
        <v>4825</v>
      </c>
      <c r="H492" s="26">
        <f>CADASTROS!$G$141</f>
        <v>0</v>
      </c>
      <c r="I492" s="16" t="str">
        <f>CADASTROS!$H$141</f>
        <v>000802529873-4</v>
      </c>
      <c r="J492" s="18">
        <f t="shared" si="23"/>
        <v>0</v>
      </c>
    </row>
    <row r="493" spans="1:10" ht="15.75" x14ac:dyDescent="0.25">
      <c r="A493" s="24">
        <f>CADASTROS!$B$142</f>
        <v>140</v>
      </c>
      <c r="B493" s="15" t="str">
        <f>CADASTROS!$C$142</f>
        <v>Girlene Alves Damasceno</v>
      </c>
      <c r="C493" s="25"/>
      <c r="D493" s="41">
        <f>PLANILHA_COLHEITA_DIÁRIA!$I$229</f>
        <v>0</v>
      </c>
      <c r="E493" s="17">
        <v>6</v>
      </c>
      <c r="F493" s="26" t="str">
        <f>CADASTROS!$E$142</f>
        <v>Bradesco</v>
      </c>
      <c r="G493" s="24" t="str">
        <f>CADASTROS!$F$142</f>
        <v>7615-5</v>
      </c>
      <c r="H493" s="26">
        <f>CADASTROS!$G$142</f>
        <v>0</v>
      </c>
      <c r="I493" s="16" t="str">
        <f>CADASTROS!$H$142</f>
        <v>0341404-3</v>
      </c>
      <c r="J493" s="18">
        <f t="shared" si="23"/>
        <v>0</v>
      </c>
    </row>
    <row r="494" spans="1:10" ht="15.75" x14ac:dyDescent="0.25">
      <c r="A494" s="24">
        <f>CADASTROS!$B$143</f>
        <v>141</v>
      </c>
      <c r="B494" s="15" t="str">
        <f>CADASTROS!$C$143</f>
        <v>Eliana Santos Matos</v>
      </c>
      <c r="C494" s="25"/>
      <c r="D494" s="35">
        <f>PLANILHA_COLHEITA_DIÁRIA!$I$230</f>
        <v>0</v>
      </c>
      <c r="E494" s="17">
        <v>6</v>
      </c>
      <c r="F494" s="26" t="str">
        <f>CADASTROS!$E$143</f>
        <v>Cx. Econômica</v>
      </c>
      <c r="G494" s="24">
        <f>CADASTROS!$F$143</f>
        <v>4818</v>
      </c>
      <c r="H494" s="26">
        <f>CADASTROS!$G$143</f>
        <v>0</v>
      </c>
      <c r="I494" s="16" t="str">
        <f>CADASTROS!$H$143</f>
        <v>000839007604-5</v>
      </c>
      <c r="J494" s="18">
        <f t="shared" si="23"/>
        <v>0</v>
      </c>
    </row>
    <row r="495" spans="1:10" ht="15.75" x14ac:dyDescent="0.25">
      <c r="A495" s="24">
        <f>CADASTROS!$B$144</f>
        <v>142</v>
      </c>
      <c r="B495" s="15" t="str">
        <f>CADASTROS!$C$144</f>
        <v>Miralva de Souza Andrade</v>
      </c>
      <c r="C495" s="25"/>
      <c r="D495" s="35">
        <f>PLANILHA_COLHEITA_DIÁRIA!$I$231</f>
        <v>0</v>
      </c>
      <c r="E495" s="17">
        <v>6</v>
      </c>
      <c r="F495" s="26" t="str">
        <f>CADASTROS!$E$144</f>
        <v>Cx. Econômica</v>
      </c>
      <c r="G495" s="24">
        <f>CADASTROS!$F$144</f>
        <v>4818</v>
      </c>
      <c r="H495" s="26">
        <f>CADASTROS!$G$144</f>
        <v>0</v>
      </c>
      <c r="I495" s="16" t="str">
        <f>CADASTROS!$H$144</f>
        <v>000838081242-3</v>
      </c>
      <c r="J495" s="18">
        <f t="shared" si="23"/>
        <v>0</v>
      </c>
    </row>
    <row r="496" spans="1:10" ht="15.75" x14ac:dyDescent="0.25">
      <c r="A496" s="24">
        <f>CADASTROS!$B$145</f>
        <v>143</v>
      </c>
      <c r="B496" s="15" t="str">
        <f>CADASTROS!$C$145</f>
        <v>Cleuza Souza Nascimento</v>
      </c>
      <c r="C496" s="25"/>
      <c r="D496" s="35">
        <f>PLANILHA_COLHEITA_DIÁRIA!$I$232</f>
        <v>0</v>
      </c>
      <c r="E496" s="17">
        <v>6</v>
      </c>
      <c r="F496" s="26" t="str">
        <f>CADASTROS!$E$145</f>
        <v>Banco do Brasil</v>
      </c>
      <c r="G496" s="24" t="str">
        <f>CADASTROS!$F$145</f>
        <v>2760-X</v>
      </c>
      <c r="H496" s="26" t="str">
        <f>CADASTROS!$G$145</f>
        <v>c/ corr</v>
      </c>
      <c r="I496" s="16" t="str">
        <f>CADASTROS!$H$145</f>
        <v>23.696-9</v>
      </c>
      <c r="J496" s="18">
        <f t="shared" si="23"/>
        <v>0</v>
      </c>
    </row>
    <row r="497" spans="1:10" ht="15.75" x14ac:dyDescent="0.25">
      <c r="A497" s="24">
        <f>CADASTROS!$B$146</f>
        <v>144</v>
      </c>
      <c r="B497" s="15" t="str">
        <f>CADASTROS!$C$146</f>
        <v>Dalton de Oliveira de Souza</v>
      </c>
      <c r="C497" s="25"/>
      <c r="D497" s="41">
        <f>PLANILHA_COLHEITA_DIÁRIA!$I$233</f>
        <v>0</v>
      </c>
      <c r="E497" s="17">
        <v>6</v>
      </c>
      <c r="F497" s="26" t="str">
        <f>CADASTROS!$E$146</f>
        <v>Cx. Econômica</v>
      </c>
      <c r="G497" s="24">
        <f>CADASTROS!$F$146</f>
        <v>783</v>
      </c>
      <c r="H497" s="26">
        <f>CADASTROS!$G$146</f>
        <v>13</v>
      </c>
      <c r="I497" s="16" t="str">
        <f>CADASTROS!$H$146</f>
        <v>00156507-9</v>
      </c>
      <c r="J497" s="18">
        <f t="shared" si="23"/>
        <v>0</v>
      </c>
    </row>
    <row r="498" spans="1:10" ht="15.75" x14ac:dyDescent="0.25">
      <c r="A498" s="24">
        <f>CADASTROS!$B$147</f>
        <v>145</v>
      </c>
      <c r="B498" s="15" t="str">
        <f>CADASTROS!$C$147</f>
        <v>Vanilde Goncalves da Silva</v>
      </c>
      <c r="C498" s="25"/>
      <c r="D498" s="41">
        <f>PLANILHA_COLHEITA_DIÁRIA!$I$234</f>
        <v>0</v>
      </c>
      <c r="E498" s="17">
        <v>6</v>
      </c>
      <c r="F498" s="26" t="str">
        <f>CADASTROS!$E$147</f>
        <v>Banco do Brasil</v>
      </c>
      <c r="G498" s="24" t="str">
        <f>CADASTROS!$F$147</f>
        <v>2760-X</v>
      </c>
      <c r="H498" s="26" t="str">
        <f>CADASTROS!$G$147</f>
        <v>poup</v>
      </c>
      <c r="I498" s="16" t="str">
        <f>CADASTROS!$H$147</f>
        <v>15.080-0</v>
      </c>
      <c r="J498" s="18">
        <f t="shared" si="23"/>
        <v>0</v>
      </c>
    </row>
    <row r="499" spans="1:10" ht="15.75" x14ac:dyDescent="0.25">
      <c r="A499" s="24">
        <f>CADASTROS!$B$148</f>
        <v>146</v>
      </c>
      <c r="B499" s="15" t="str">
        <f>CADASTROS!$C$148</f>
        <v>Marcos Cesar Santos de Araújo</v>
      </c>
      <c r="C499" s="25"/>
      <c r="D499" s="35">
        <f>PLANILHA_COLHEITA_DIÁRIA!$I$235</f>
        <v>35</v>
      </c>
      <c r="E499" s="17">
        <v>6</v>
      </c>
      <c r="F499" s="26" t="str">
        <f>CADASTROS!$E$148</f>
        <v>Cx. Econômica</v>
      </c>
      <c r="G499" s="24">
        <f>CADASTROS!$F$148</f>
        <v>4818</v>
      </c>
      <c r="H499" s="26">
        <f>CADASTROS!$G$148</f>
        <v>13</v>
      </c>
      <c r="I499" s="16" t="str">
        <f>CADASTROS!$H$148</f>
        <v>00007978-2</v>
      </c>
      <c r="J499" s="18">
        <f t="shared" si="23"/>
        <v>210</v>
      </c>
    </row>
    <row r="500" spans="1:10" ht="15.75" x14ac:dyDescent="0.25">
      <c r="A500" s="24">
        <f>CADASTROS!$B$149</f>
        <v>147</v>
      </c>
      <c r="B500" s="15" t="str">
        <f>CADASTROS!$C$149</f>
        <v>Jaciana Oliveira de Souza</v>
      </c>
      <c r="C500" s="25"/>
      <c r="D500" s="41">
        <f>PLANILHA_COLHEITA_DIÁRIA!$I$236</f>
        <v>0</v>
      </c>
      <c r="E500" s="17">
        <v>6</v>
      </c>
      <c r="F500" s="26" t="str">
        <f>CADASTROS!$E$149</f>
        <v>Bradesco</v>
      </c>
      <c r="G500" s="24" t="str">
        <f>CADASTROS!$F$149</f>
        <v>3801-6</v>
      </c>
      <c r="H500" s="26" t="str">
        <f>CADASTROS!$G$149</f>
        <v>c/ corr</v>
      </c>
      <c r="I500" s="16" t="str">
        <f>CADASTROS!$H$149</f>
        <v>0006967-1</v>
      </c>
      <c r="J500" s="18">
        <f t="shared" si="23"/>
        <v>0</v>
      </c>
    </row>
    <row r="501" spans="1:10" ht="15.75" x14ac:dyDescent="0.25">
      <c r="A501" s="24">
        <f>CADASTROS!$B$150</f>
        <v>148</v>
      </c>
      <c r="B501" s="15" t="str">
        <f>CADASTROS!$C$150</f>
        <v>Eduarda Pires Brandão</v>
      </c>
      <c r="C501" s="25"/>
      <c r="D501" s="25">
        <f>PLANILHA_COLHEITA_DIÁRIA!$I$237</f>
        <v>0</v>
      </c>
      <c r="E501" s="17">
        <v>6</v>
      </c>
      <c r="F501" s="26" t="str">
        <f>CADASTROS!$E$150</f>
        <v>Cx. Econômica</v>
      </c>
      <c r="G501" s="24">
        <f>CADASTROS!$F$150</f>
        <v>3880</v>
      </c>
      <c r="H501" s="26">
        <f>CADASTROS!$G$150</f>
        <v>1288</v>
      </c>
      <c r="I501" s="16" t="str">
        <f>CADASTROS!$H$150</f>
        <v>736859092-2</v>
      </c>
      <c r="J501" s="18">
        <f t="shared" si="23"/>
        <v>0</v>
      </c>
    </row>
    <row r="502" spans="1:10" ht="15.75" x14ac:dyDescent="0.25">
      <c r="A502" s="24">
        <f>CADASTROS!$B$151</f>
        <v>149</v>
      </c>
      <c r="B502" s="15" t="str">
        <f>CADASTROS!$C$151</f>
        <v>Elisangela Bispo da Silva</v>
      </c>
      <c r="C502" s="25"/>
      <c r="D502" s="25">
        <f>PLANILHA_COLHEITA_DIÁRIA!$I$238</f>
        <v>0</v>
      </c>
      <c r="E502" s="17">
        <v>6</v>
      </c>
      <c r="F502" s="26" t="str">
        <f>CADASTROS!$E$151</f>
        <v>Cx. Econômica</v>
      </c>
      <c r="G502" s="24">
        <f>CADASTROS!$F$151</f>
        <v>4818</v>
      </c>
      <c r="H502" s="26">
        <f>CADASTROS!$G$151</f>
        <v>0</v>
      </c>
      <c r="I502" s="16" t="str">
        <f>CADASTROS!$H$151</f>
        <v>000762609905-3</v>
      </c>
      <c r="J502" s="18">
        <f t="shared" si="23"/>
        <v>0</v>
      </c>
    </row>
    <row r="503" spans="1:10" ht="15.75" x14ac:dyDescent="0.25">
      <c r="A503" s="24">
        <f>CADASTROS!$B$152</f>
        <v>150</v>
      </c>
      <c r="B503" s="15" t="str">
        <f>CADASTROS!$C$152</f>
        <v>Robson Miranda Santos</v>
      </c>
      <c r="C503" s="25"/>
      <c r="D503" s="25">
        <f>PLANILHA_COLHEITA_DIÁRIA!$I$239</f>
        <v>0</v>
      </c>
      <c r="E503" s="17">
        <v>6</v>
      </c>
      <c r="F503" s="26" t="str">
        <f>CADASTROS!$E$152</f>
        <v>Cx. Econômica</v>
      </c>
      <c r="G503" s="24">
        <f>CADASTROS!$F$152</f>
        <v>949</v>
      </c>
      <c r="H503" s="26">
        <f>CADASTROS!$G$152</f>
        <v>13</v>
      </c>
      <c r="I503" s="16" t="str">
        <f>CADASTROS!$H$152</f>
        <v>00028737-9</v>
      </c>
      <c r="J503" s="18">
        <f t="shared" si="23"/>
        <v>0</v>
      </c>
    </row>
    <row r="504" spans="1:10" ht="15.75" x14ac:dyDescent="0.25">
      <c r="A504" s="24">
        <f>CADASTROS!$B$153</f>
        <v>151</v>
      </c>
      <c r="B504" s="15" t="str">
        <f>CADASTROS!$C$153</f>
        <v>Rita de Cássia Lisboa da Silva</v>
      </c>
      <c r="C504" s="25"/>
      <c r="D504" s="25">
        <f>PLANILHA_COLHEITA_DIÁRIA!$I$240</f>
        <v>0</v>
      </c>
      <c r="E504" s="17">
        <v>6</v>
      </c>
      <c r="F504" s="26" t="str">
        <f>CADASTROS!$E$153</f>
        <v>Banco do Brasil</v>
      </c>
      <c r="G504" s="24" t="str">
        <f>CADASTROS!$F$153</f>
        <v>2760-X</v>
      </c>
      <c r="H504" s="26" t="str">
        <f>CADASTROS!$G$153</f>
        <v>poup</v>
      </c>
      <c r="I504" s="16" t="str">
        <f>CADASTROS!$H$153</f>
        <v>21.289-x</v>
      </c>
      <c r="J504" s="18">
        <f t="shared" si="23"/>
        <v>0</v>
      </c>
    </row>
    <row r="505" spans="1:10" ht="15.75" x14ac:dyDescent="0.25">
      <c r="A505" s="24">
        <f>CADASTROS!$B$154</f>
        <v>152</v>
      </c>
      <c r="B505" s="15" t="str">
        <f>CADASTROS!$C$154</f>
        <v>Eliene Oliveira Moraes</v>
      </c>
      <c r="C505" s="25"/>
      <c r="D505" s="25">
        <f>PLANILHA_COLHEITA_DIÁRIA!$I$241</f>
        <v>0</v>
      </c>
      <c r="E505" s="17">
        <v>6</v>
      </c>
      <c r="F505" s="26" t="str">
        <f>CADASTROS!$E$154</f>
        <v>Cx. Econômica</v>
      </c>
      <c r="G505" s="24">
        <f>CADASTROS!$F$154</f>
        <v>949</v>
      </c>
      <c r="H505" s="26">
        <f>CADASTROS!$G$154</f>
        <v>13</v>
      </c>
      <c r="I505" s="16" t="str">
        <f>CADASTROS!$H$154</f>
        <v>00087590-4</v>
      </c>
      <c r="J505" s="18">
        <f t="shared" si="23"/>
        <v>0</v>
      </c>
    </row>
    <row r="506" spans="1:10" ht="15.75" x14ac:dyDescent="0.25">
      <c r="A506" s="24">
        <f>CADASTROS!$B$155</f>
        <v>153</v>
      </c>
      <c r="B506" s="15" t="str">
        <f>CADASTROS!$C$155</f>
        <v>Elias Dantas Moura</v>
      </c>
      <c r="C506" s="25"/>
      <c r="D506" s="42">
        <f>PLANILHA_COLHEITA_DIÁRIA!$I$242</f>
        <v>0</v>
      </c>
      <c r="E506" s="17">
        <v>6</v>
      </c>
      <c r="F506" s="26" t="str">
        <f>CADASTROS!$E$155</f>
        <v>Cx. Econômica</v>
      </c>
      <c r="G506" s="24">
        <f>CADASTROS!$F$155</f>
        <v>949</v>
      </c>
      <c r="H506" s="26">
        <f>CADASTROS!$G$155</f>
        <v>0</v>
      </c>
      <c r="I506" s="16" t="str">
        <f>CADASTROS!$H$155</f>
        <v>000796035761-8</v>
      </c>
      <c r="J506" s="18">
        <f t="shared" si="23"/>
        <v>0</v>
      </c>
    </row>
    <row r="507" spans="1:10" ht="15.75" x14ac:dyDescent="0.25">
      <c r="A507" s="24">
        <f>CADASTROS!$B$156</f>
        <v>154</v>
      </c>
      <c r="B507" s="15" t="str">
        <f>CADASTROS!$C$156</f>
        <v>José Santos Souza</v>
      </c>
      <c r="C507" s="25"/>
      <c r="D507" s="25">
        <f>PLANILHA_COLHEITA_DIÁRIA!$I$243</f>
        <v>0</v>
      </c>
      <c r="E507" s="17">
        <v>6</v>
      </c>
      <c r="F507" s="26" t="str">
        <f>CADASTROS!$E$156</f>
        <v>Banco do Brasil</v>
      </c>
      <c r="G507" s="24" t="str">
        <f>CADASTROS!$F$156</f>
        <v>2760-X</v>
      </c>
      <c r="H507" s="26">
        <f>CADASTROS!$G$156</f>
        <v>0</v>
      </c>
      <c r="I507" s="16" t="str">
        <f>CADASTROS!$H$156</f>
        <v>20.579-6</v>
      </c>
      <c r="J507" s="18">
        <f t="shared" si="23"/>
        <v>0</v>
      </c>
    </row>
    <row r="508" spans="1:10" ht="15.75" x14ac:dyDescent="0.25">
      <c r="A508" s="24">
        <f>CADASTROS!$B$157</f>
        <v>155</v>
      </c>
      <c r="B508" s="15" t="str">
        <f>CADASTROS!$C$157</f>
        <v>Ailton Souza Pereira</v>
      </c>
      <c r="C508" s="25"/>
      <c r="D508" s="25">
        <f>PLANILHA_COLHEITA_DIÁRIA!$I$244</f>
        <v>0</v>
      </c>
      <c r="E508" s="17">
        <v>6</v>
      </c>
      <c r="F508" s="26" t="str">
        <f>CADASTROS!$E$157</f>
        <v>Bradesco</v>
      </c>
      <c r="G508" s="24" t="str">
        <f>CADASTROS!$F$157</f>
        <v>2041-9</v>
      </c>
      <c r="H508" s="26" t="str">
        <f>CADASTROS!$G$157</f>
        <v>poup</v>
      </c>
      <c r="I508" s="16" t="str">
        <f>CADASTROS!$H$157</f>
        <v>0020514-1</v>
      </c>
      <c r="J508" s="18">
        <f t="shared" si="23"/>
        <v>0</v>
      </c>
    </row>
    <row r="509" spans="1:10" ht="15.75" x14ac:dyDescent="0.25">
      <c r="A509" s="24">
        <f>CADASTROS!$B$158</f>
        <v>156</v>
      </c>
      <c r="B509" s="15" t="str">
        <f>CADASTROS!$C$158</f>
        <v>Elielma da Silva Nunes</v>
      </c>
      <c r="C509" s="25"/>
      <c r="D509" s="25">
        <f>PLANILHA_COLHEITA_DIÁRIA!$I$245</f>
        <v>0</v>
      </c>
      <c r="E509" s="17">
        <v>6</v>
      </c>
      <c r="F509" s="26" t="str">
        <f>CADASTROS!$E$158</f>
        <v>Cx. Econômica</v>
      </c>
      <c r="G509" s="24">
        <f>CADASTROS!$F$158</f>
        <v>4818</v>
      </c>
      <c r="H509" s="26">
        <f>CADASTROS!$G$158</f>
        <v>13</v>
      </c>
      <c r="I509" s="16" t="str">
        <f>CADASTROS!$H$158</f>
        <v>00014798-2</v>
      </c>
      <c r="J509" s="18">
        <f t="shared" si="23"/>
        <v>0</v>
      </c>
    </row>
    <row r="510" spans="1:10" ht="15.75" x14ac:dyDescent="0.25">
      <c r="A510" s="24">
        <f>CADASTROS!$B$159</f>
        <v>157</v>
      </c>
      <c r="B510" s="15" t="str">
        <f>CADASTROS!$C$159</f>
        <v>Jurandir Silva Oliveira</v>
      </c>
      <c r="C510" s="25"/>
      <c r="D510" s="25">
        <f>PLANILHA_COLHEITA_DIÁRIA!$I$246</f>
        <v>28.5</v>
      </c>
      <c r="E510" s="17">
        <v>6</v>
      </c>
      <c r="F510" s="26" t="str">
        <f>CADASTROS!$E$159</f>
        <v>Bradesco</v>
      </c>
      <c r="G510" s="24" t="str">
        <f>CADASTROS!$F$159</f>
        <v>3801-6</v>
      </c>
      <c r="H510" s="26" t="str">
        <f>CADASTROS!$G$159</f>
        <v>poup</v>
      </c>
      <c r="I510" s="16" t="str">
        <f>CADASTROS!$H$159</f>
        <v>0006823-3</v>
      </c>
      <c r="J510" s="18">
        <f t="shared" si="23"/>
        <v>171</v>
      </c>
    </row>
    <row r="511" spans="1:10" ht="15.75" x14ac:dyDescent="0.25">
      <c r="A511" s="24">
        <f>CADASTROS!$B$160</f>
        <v>158</v>
      </c>
      <c r="B511" s="15" t="str">
        <f>CADASTROS!$C$160</f>
        <v>Luziene Silva de Souza</v>
      </c>
      <c r="C511" s="25"/>
      <c r="D511" s="25">
        <f>PLANILHA_COLHEITA_DIÁRIA!$I$265</f>
        <v>0</v>
      </c>
      <c r="E511" s="17">
        <v>6</v>
      </c>
      <c r="F511" s="26" t="str">
        <f>CADASTROS!$E$160</f>
        <v>Cx. Econômica</v>
      </c>
      <c r="G511" s="24">
        <f>CADASTROS!$F$160</f>
        <v>4825</v>
      </c>
      <c r="H511" s="26">
        <f>CADASTROS!$G$160</f>
        <v>13</v>
      </c>
      <c r="I511" s="16" t="str">
        <f>CADASTROS!$H$160</f>
        <v>000796525302-0</v>
      </c>
      <c r="J511" s="18">
        <f t="shared" si="23"/>
        <v>0</v>
      </c>
    </row>
    <row r="512" spans="1:10" ht="15.75" x14ac:dyDescent="0.25">
      <c r="A512" s="24">
        <f>CADASTROS!$B$161</f>
        <v>159</v>
      </c>
      <c r="B512" s="15" t="str">
        <f>CADASTROS!$C$161</f>
        <v>Natiele do Espírito Santo</v>
      </c>
      <c r="C512" s="25"/>
      <c r="D512" s="25">
        <f>PLANILHA_COLHEITA_DIÁRIA!$I$266</f>
        <v>0</v>
      </c>
      <c r="E512" s="17">
        <v>6</v>
      </c>
      <c r="F512" s="26" t="str">
        <f>CADASTROS!$E$161</f>
        <v>Cx. Econômica</v>
      </c>
      <c r="G512" s="24">
        <f>CADASTROS!$F$161</f>
        <v>4601</v>
      </c>
      <c r="H512" s="26">
        <f>CADASTROS!$G$161</f>
        <v>0</v>
      </c>
      <c r="I512" s="16" t="str">
        <f>CADASTROS!$H$161</f>
        <v>000792802703-9</v>
      </c>
      <c r="J512" s="18">
        <f t="shared" si="23"/>
        <v>0</v>
      </c>
    </row>
    <row r="513" spans="1:10" ht="15.75" x14ac:dyDescent="0.25">
      <c r="A513" s="24">
        <f>CADASTROS!$B$162</f>
        <v>160</v>
      </c>
      <c r="B513" s="15" t="str">
        <f>CADASTROS!$C$162</f>
        <v>Elizabete Santos da Cruz</v>
      </c>
      <c r="C513" s="25"/>
      <c r="D513" s="25">
        <f>PLANILHA_COLHEITA_DIÁRIA!$I$267</f>
        <v>0</v>
      </c>
      <c r="E513" s="17">
        <v>6</v>
      </c>
      <c r="F513" s="26" t="str">
        <f>CADASTROS!$E$162</f>
        <v>Bradesco</v>
      </c>
      <c r="G513" s="24">
        <f>CADASTROS!$F$162</f>
        <v>7526</v>
      </c>
      <c r="H513" s="26">
        <f>CADASTROS!$G$162</f>
        <v>0</v>
      </c>
      <c r="I513" s="16" t="str">
        <f>CADASTROS!$H$162</f>
        <v>612277-9</v>
      </c>
      <c r="J513" s="18">
        <f t="shared" si="23"/>
        <v>0</v>
      </c>
    </row>
    <row r="514" spans="1:10" ht="15.75" x14ac:dyDescent="0.25">
      <c r="A514" s="24">
        <f>CADASTROS!$B$163</f>
        <v>161</v>
      </c>
      <c r="B514" s="15" t="str">
        <f>CADASTROS!$C$163</f>
        <v>Valdinei Araújo Gomes</v>
      </c>
      <c r="C514" s="25"/>
      <c r="D514" s="41">
        <f>PLANILHA_COLHEITA_DIÁRIA!$I$268</f>
        <v>0</v>
      </c>
      <c r="E514" s="17">
        <v>6</v>
      </c>
      <c r="F514" s="26" t="str">
        <f>CADASTROS!$E$163</f>
        <v>Banco do Brasil</v>
      </c>
      <c r="G514" s="24" t="str">
        <f>CADASTROS!$F$163</f>
        <v>2760-X</v>
      </c>
      <c r="H514" s="26" t="str">
        <f>CADASTROS!$G$163</f>
        <v>poup</v>
      </c>
      <c r="I514" s="16" t="str">
        <f>CADASTROS!$H$163</f>
        <v>23.565-2</v>
      </c>
      <c r="J514" s="18">
        <f t="shared" si="23"/>
        <v>0</v>
      </c>
    </row>
    <row r="515" spans="1:10" ht="15.75" x14ac:dyDescent="0.25">
      <c r="A515" s="24">
        <f>CADASTROS!$B$164</f>
        <v>162</v>
      </c>
      <c r="B515" s="15" t="str">
        <f>CADASTROS!$C$164</f>
        <v>Noelma Novais Carvalho</v>
      </c>
      <c r="C515" s="25"/>
      <c r="D515" s="25">
        <f>PLANILHA_COLHEITA_DIÁRIA!$I$269</f>
        <v>0</v>
      </c>
      <c r="E515" s="17">
        <v>6</v>
      </c>
      <c r="F515" s="26" t="str">
        <f>CADASTROS!$E$164</f>
        <v>Bradesco</v>
      </c>
      <c r="G515" s="24">
        <f>CADASTROS!$F$164</f>
        <v>3737</v>
      </c>
      <c r="H515" s="26">
        <f>CADASTROS!$G$164</f>
        <v>0</v>
      </c>
      <c r="I515" s="16" t="str">
        <f>CADASTROS!$H$164</f>
        <v>710340-9</v>
      </c>
      <c r="J515" s="18">
        <f t="shared" si="23"/>
        <v>0</v>
      </c>
    </row>
    <row r="516" spans="1:10" ht="15.75" x14ac:dyDescent="0.25">
      <c r="A516" s="24">
        <f>CADASTROS!$B$165</f>
        <v>163</v>
      </c>
      <c r="B516" s="15" t="str">
        <f>CADASTROS!$C$165</f>
        <v>Evando Oliveira Medrado</v>
      </c>
      <c r="C516" s="25"/>
      <c r="D516" s="25">
        <f>PLANILHA_COLHEITA_DIÁRIA!$I$270</f>
        <v>0</v>
      </c>
      <c r="E516" s="17">
        <v>6</v>
      </c>
      <c r="F516" s="26" t="str">
        <f>CADASTROS!$E$165</f>
        <v>Banco do Brasil</v>
      </c>
      <c r="G516" s="24" t="str">
        <f>CADASTROS!$F$165</f>
        <v>260-X</v>
      </c>
      <c r="H516" s="26">
        <f>CADASTROS!$G$165</f>
        <v>0</v>
      </c>
      <c r="I516" s="16" t="str">
        <f>CADASTROS!$H$165</f>
        <v>24.162-8</v>
      </c>
      <c r="J516" s="18">
        <f t="shared" si="23"/>
        <v>0</v>
      </c>
    </row>
    <row r="517" spans="1:10" ht="15.75" x14ac:dyDescent="0.25">
      <c r="A517" s="24">
        <f>CADASTROS!$B$166</f>
        <v>164</v>
      </c>
      <c r="B517" s="15" t="str">
        <f>CADASTROS!$C$166</f>
        <v>Gilberto de Souza Viana</v>
      </c>
      <c r="C517" s="25"/>
      <c r="D517" s="41">
        <f>PLANILHA_COLHEITA_DIÁRIA!$I$271</f>
        <v>0</v>
      </c>
      <c r="E517" s="17">
        <v>6</v>
      </c>
      <c r="F517" s="26" t="str">
        <f>CADASTROS!$E$166</f>
        <v>Bradesco</v>
      </c>
      <c r="G517" s="24" t="str">
        <f>CADASTROS!$F$166</f>
        <v>0112-0</v>
      </c>
      <c r="H517" s="26" t="str">
        <f>CADASTROS!$G$166</f>
        <v>poup</v>
      </c>
      <c r="I517" s="16" t="str">
        <f>CADASTROS!$H$166</f>
        <v>0003081-3</v>
      </c>
      <c r="J517" s="18">
        <f t="shared" si="23"/>
        <v>0</v>
      </c>
    </row>
    <row r="518" spans="1:10" ht="15.75" x14ac:dyDescent="0.25">
      <c r="A518" s="24">
        <f>CADASTROS!$B$167</f>
        <v>165</v>
      </c>
      <c r="B518" s="15" t="str">
        <f>CADASTROS!$C$167</f>
        <v>Gilberto Carlos Sousa Santana</v>
      </c>
      <c r="C518" s="25"/>
      <c r="D518" s="25">
        <f>PLANILHA_COLHEITA_DIÁRIA!$I$272</f>
        <v>0</v>
      </c>
      <c r="E518" s="17">
        <v>6</v>
      </c>
      <c r="F518" s="26" t="str">
        <f>CADASTROS!$E$167</f>
        <v>Cx. Econômica</v>
      </c>
      <c r="G518" s="24">
        <f>CADASTROS!$F$167</f>
        <v>783</v>
      </c>
      <c r="H518" s="26">
        <f>CADASTROS!$G$167</f>
        <v>13</v>
      </c>
      <c r="I518" s="16" t="str">
        <f>CADASTROS!$H$167</f>
        <v>00149509-7</v>
      </c>
      <c r="J518" s="18">
        <f t="shared" si="23"/>
        <v>0</v>
      </c>
    </row>
    <row r="519" spans="1:10" ht="15.75" x14ac:dyDescent="0.25">
      <c r="A519" s="24">
        <f>CADASTROS!$B$168</f>
        <v>166</v>
      </c>
      <c r="B519" s="15" t="str">
        <f>CADASTROS!$C$168</f>
        <v>José Antônio Silva de Oliveira</v>
      </c>
      <c r="C519" s="25"/>
      <c r="D519" s="25">
        <f>PLANILHA_COLHEITA_DIÁRIA!$I$273</f>
        <v>0</v>
      </c>
      <c r="E519" s="17">
        <v>6</v>
      </c>
      <c r="F519" s="26" t="str">
        <f>CADASTROS!$E$168</f>
        <v>Cx. Econômica</v>
      </c>
      <c r="G519" s="24">
        <f>CADASTROS!$F$168</f>
        <v>3880</v>
      </c>
      <c r="H519" s="26">
        <f>CADASTROS!$G$168</f>
        <v>0</v>
      </c>
      <c r="I519" s="16" t="str">
        <f>CADASTROS!$H$168</f>
        <v>000976892402-6</v>
      </c>
      <c r="J519" s="18">
        <f t="shared" si="23"/>
        <v>0</v>
      </c>
    </row>
    <row r="520" spans="1:10" ht="15.75" x14ac:dyDescent="0.25">
      <c r="A520" s="24">
        <f>CADASTROS!$B$169</f>
        <v>167</v>
      </c>
      <c r="B520" s="15" t="str">
        <f>CADASTROS!$C$169</f>
        <v>Edvaldo Brito da Silva</v>
      </c>
      <c r="C520" s="25"/>
      <c r="D520" s="25">
        <f>PLANILHA_COLHEITA_DIÁRIA!$I$274</f>
        <v>0</v>
      </c>
      <c r="E520" s="17">
        <v>6</v>
      </c>
      <c r="F520" s="26" t="str">
        <f>CADASTROS!$E$169</f>
        <v>Cx. Econômica</v>
      </c>
      <c r="G520" s="24">
        <f>CADASTROS!$F$169</f>
        <v>4818</v>
      </c>
      <c r="H520" s="26">
        <f>CADASTROS!$G$169</f>
        <v>0</v>
      </c>
      <c r="I520" s="16" t="str">
        <f>CADASTROS!$H$169</f>
        <v>000754626166-0</v>
      </c>
      <c r="J520" s="18">
        <f t="shared" si="23"/>
        <v>0</v>
      </c>
    </row>
    <row r="521" spans="1:10" ht="15.75" x14ac:dyDescent="0.25">
      <c r="A521" s="24">
        <f>CADASTROS!$B$170</f>
        <v>168</v>
      </c>
      <c r="B521" s="15" t="str">
        <f>CADASTROS!$C$170</f>
        <v>Jéssica Santos Costa</v>
      </c>
      <c r="C521" s="25"/>
      <c r="D521" s="25">
        <f>PLANILHA_COLHEITA_DIÁRIA!$I$275</f>
        <v>0</v>
      </c>
      <c r="E521" s="17">
        <v>6</v>
      </c>
      <c r="F521" s="26" t="str">
        <f>CADASTROS!$E$170</f>
        <v>Cx. Econômica</v>
      </c>
      <c r="G521" s="24">
        <f>CADASTROS!$F$170</f>
        <v>4818</v>
      </c>
      <c r="H521" s="26">
        <f>CADASTROS!$G$170</f>
        <v>0</v>
      </c>
      <c r="I521" s="16" t="str">
        <f>CADASTROS!$H$170</f>
        <v>000858861696-1</v>
      </c>
      <c r="J521" s="18">
        <f t="shared" si="23"/>
        <v>0</v>
      </c>
    </row>
    <row r="522" spans="1:10" ht="15.75" x14ac:dyDescent="0.25">
      <c r="A522" s="24">
        <f>CADASTROS!$B$171</f>
        <v>169</v>
      </c>
      <c r="B522" s="15" t="str">
        <f>CADASTROS!$C$171</f>
        <v>Eunice Jesus Santos</v>
      </c>
      <c r="C522" s="25"/>
      <c r="D522" s="41">
        <f>PLANILHA_COLHEITA_DIÁRIA!$I$276</f>
        <v>0</v>
      </c>
      <c r="E522" s="17">
        <v>6</v>
      </c>
      <c r="F522" s="26" t="str">
        <f>CADASTROS!$E$171</f>
        <v>Banco do Brasil</v>
      </c>
      <c r="G522" s="24" t="str">
        <f>CADASTROS!$F$171</f>
        <v>1099-5</v>
      </c>
      <c r="H522" s="26" t="str">
        <f>CADASTROS!$G$171</f>
        <v>poup</v>
      </c>
      <c r="I522" s="16" t="str">
        <f>CADASTROS!$H$171</f>
        <v>26.784-8</v>
      </c>
      <c r="J522" s="18">
        <f t="shared" si="23"/>
        <v>0</v>
      </c>
    </row>
    <row r="523" spans="1:10" ht="15.75" x14ac:dyDescent="0.25">
      <c r="A523" s="24">
        <f>CADASTROS!$B$172</f>
        <v>170</v>
      </c>
      <c r="B523" s="15" t="str">
        <f>CADASTROS!$C$172</f>
        <v>Flávio de Sousa Santos</v>
      </c>
      <c r="C523" s="25"/>
      <c r="D523" s="25">
        <f>PLANILHA_COLHEITA_DIÁRIA!$I$277</f>
        <v>0</v>
      </c>
      <c r="E523" s="17">
        <v>6</v>
      </c>
      <c r="F523" s="26" t="str">
        <f>CADASTROS!$E$172</f>
        <v>Cx. Econômica</v>
      </c>
      <c r="G523" s="24">
        <f>CADASTROS!$F$172</f>
        <v>4601</v>
      </c>
      <c r="H523" s="26">
        <f>CADASTROS!$G$172</f>
        <v>13</v>
      </c>
      <c r="I523" s="16" t="str">
        <f>CADASTROS!$H$172</f>
        <v>00010178-8</v>
      </c>
      <c r="J523" s="18">
        <f t="shared" si="23"/>
        <v>0</v>
      </c>
    </row>
    <row r="524" spans="1:10" ht="15.75" x14ac:dyDescent="0.25">
      <c r="A524" s="24">
        <f>CADASTROS!$B$173</f>
        <v>171</v>
      </c>
      <c r="B524" s="15" t="str">
        <f>CADASTROS!$C$173</f>
        <v>Paulo Cesar dos Santos</v>
      </c>
      <c r="C524" s="25"/>
      <c r="D524" s="25">
        <f>PLANILHA_COLHEITA_DIÁRIA!$I$278</f>
        <v>0</v>
      </c>
      <c r="E524" s="17">
        <v>6</v>
      </c>
      <c r="F524" s="26" t="str">
        <f>CADASTROS!$E$173</f>
        <v>Cx. Econômica</v>
      </c>
      <c r="G524" s="24">
        <f>CADASTROS!$F$173</f>
        <v>4825</v>
      </c>
      <c r="H524" s="26">
        <f>CADASTROS!$G$173</f>
        <v>0</v>
      </c>
      <c r="I524" s="16" t="str">
        <f>CADASTROS!$H$173</f>
        <v>000866690714-0</v>
      </c>
      <c r="J524" s="18">
        <f t="shared" si="23"/>
        <v>0</v>
      </c>
    </row>
    <row r="525" spans="1:10" ht="15.75" x14ac:dyDescent="0.25">
      <c r="A525" s="24">
        <f>CADASTROS!$B$174</f>
        <v>172</v>
      </c>
      <c r="B525" s="15" t="str">
        <f>CADASTROS!$C$174</f>
        <v>Adailton Sabino da Silva</v>
      </c>
      <c r="C525" s="25"/>
      <c r="D525" s="25">
        <f>PLANILHA_COLHEITA_DIÁRIA!$I$279</f>
        <v>22.5</v>
      </c>
      <c r="E525" s="17">
        <v>6</v>
      </c>
      <c r="F525" s="26" t="str">
        <f>CADASTROS!$E$174</f>
        <v>Bradesco</v>
      </c>
      <c r="G525" s="24">
        <f>CADASTROS!$F$174</f>
        <v>7802</v>
      </c>
      <c r="H525" s="26" t="str">
        <f>CADASTROS!$G$174</f>
        <v>poup</v>
      </c>
      <c r="I525" s="16" t="str">
        <f>CADASTROS!$H$174</f>
        <v>0237917-1</v>
      </c>
      <c r="J525" s="18">
        <f t="shared" si="23"/>
        <v>135</v>
      </c>
    </row>
    <row r="526" spans="1:10" ht="15.75" x14ac:dyDescent="0.25">
      <c r="A526" s="24">
        <f>CADASTROS!$B$175</f>
        <v>173</v>
      </c>
      <c r="B526" s="15" t="str">
        <f>CADASTROS!$C$175</f>
        <v>Laelson Sateles Neves</v>
      </c>
      <c r="C526" s="25"/>
      <c r="D526" s="25">
        <f>PLANILHA_COLHEITA_DIÁRIA!$I$280</f>
        <v>0</v>
      </c>
      <c r="E526" s="17">
        <v>6</v>
      </c>
      <c r="F526" s="26" t="str">
        <f>CADASTROS!$E$175</f>
        <v>Cx. Econômica</v>
      </c>
      <c r="G526" s="24">
        <f>CADASTROS!$F$175</f>
        <v>780</v>
      </c>
      <c r="H526" s="26">
        <f>CADASTROS!$G$175</f>
        <v>1288</v>
      </c>
      <c r="I526" s="16" t="str">
        <f>CADASTROS!$H$175</f>
        <v>860216297-7</v>
      </c>
      <c r="J526" s="18">
        <f t="shared" si="23"/>
        <v>0</v>
      </c>
    </row>
    <row r="527" spans="1:10" ht="15.75" x14ac:dyDescent="0.25">
      <c r="A527" s="24">
        <f>CADASTROS!$B$176</f>
        <v>174</v>
      </c>
      <c r="B527" s="15" t="str">
        <f>CADASTROS!$C$176</f>
        <v>Vivaldo Bispo de Almeida</v>
      </c>
      <c r="C527" s="25"/>
      <c r="D527" s="25">
        <f>PLANILHA_COLHEITA_DIÁRIA!$I$281</f>
        <v>0</v>
      </c>
      <c r="E527" s="17">
        <v>6</v>
      </c>
      <c r="F527" s="26" t="str">
        <f>CADASTROS!$E$176</f>
        <v>Cx. Econômica</v>
      </c>
      <c r="G527" s="24">
        <f>CADASTROS!$F$176</f>
        <v>4825</v>
      </c>
      <c r="H527" s="26">
        <f>CADASTROS!$G$176</f>
        <v>1288</v>
      </c>
      <c r="I527" s="16" t="str">
        <f>CADASTROS!$H$176</f>
        <v>850020733-5</v>
      </c>
      <c r="J527" s="18">
        <f t="shared" si="23"/>
        <v>0</v>
      </c>
    </row>
    <row r="528" spans="1:10" ht="15.75" x14ac:dyDescent="0.25">
      <c r="A528" s="24">
        <f>CADASTROS!$B$177</f>
        <v>175</v>
      </c>
      <c r="B528" s="15" t="str">
        <f>CADASTROS!$C$177</f>
        <v>Antônio C Costa</v>
      </c>
      <c r="C528" s="25"/>
      <c r="D528" s="25">
        <f>PLANILHA_COLHEITA_DIÁRIA!$I$282</f>
        <v>0</v>
      </c>
      <c r="E528" s="17">
        <v>6</v>
      </c>
      <c r="F528" s="26">
        <f>CADASTROS!$E$177</f>
        <v>0</v>
      </c>
      <c r="G528" s="24">
        <f>CADASTROS!$F$177</f>
        <v>0</v>
      </c>
      <c r="H528" s="26">
        <f>CADASTROS!$G$177</f>
        <v>0</v>
      </c>
      <c r="I528" s="16">
        <f>CADASTROS!$H$177</f>
        <v>0</v>
      </c>
      <c r="J528" s="18">
        <f t="shared" si="23"/>
        <v>0</v>
      </c>
    </row>
    <row r="529" spans="1:10" ht="15.75" x14ac:dyDescent="0.25">
      <c r="A529" s="24">
        <f>CADASTROS!$B$178</f>
        <v>176</v>
      </c>
      <c r="B529" s="15" t="str">
        <f>CADASTROS!$C$178</f>
        <v>Gleide Brito da Silva</v>
      </c>
      <c r="C529" s="25"/>
      <c r="D529" s="41">
        <f>PLANILHA_COLHEITA_DIÁRIA!$I$283</f>
        <v>64</v>
      </c>
      <c r="E529" s="17">
        <v>6</v>
      </c>
      <c r="F529" s="26" t="str">
        <f>CADASTROS!$E$178</f>
        <v>Cx. Econômica</v>
      </c>
      <c r="G529" s="24">
        <f>CADASTROS!$F$178</f>
        <v>949</v>
      </c>
      <c r="H529" s="26">
        <f>CADASTROS!$G$178</f>
        <v>1288</v>
      </c>
      <c r="I529" s="16" t="str">
        <f>CADASTROS!$H$178</f>
        <v>837154504-3</v>
      </c>
      <c r="J529" s="18">
        <f t="shared" si="23"/>
        <v>384</v>
      </c>
    </row>
    <row r="530" spans="1:10" ht="15.75" x14ac:dyDescent="0.25">
      <c r="A530" s="24">
        <f>CADASTROS!$B$179</f>
        <v>177</v>
      </c>
      <c r="B530" s="15" t="str">
        <f>CADASTROS!$C$179</f>
        <v>Sandra Miranda de Souza</v>
      </c>
      <c r="C530" s="25"/>
      <c r="D530" s="25">
        <f>PLANILHA_COLHEITA_DIÁRIA!$I$284</f>
        <v>0</v>
      </c>
      <c r="E530" s="17">
        <v>6</v>
      </c>
      <c r="F530" s="26" t="str">
        <f>CADASTROS!$E$179</f>
        <v>Cx. Econômica</v>
      </c>
      <c r="G530" s="24">
        <f>CADASTROS!$F$179</f>
        <v>4601</v>
      </c>
      <c r="H530" s="26">
        <f>CADASTROS!$G$179</f>
        <v>13</v>
      </c>
      <c r="I530" s="16" t="str">
        <f>CADASTROS!$H$179</f>
        <v>00003091-0</v>
      </c>
      <c r="J530" s="18">
        <f t="shared" si="23"/>
        <v>0</v>
      </c>
    </row>
    <row r="531" spans="1:10" ht="15.75" x14ac:dyDescent="0.25">
      <c r="A531" s="24">
        <f>CADASTROS!$B$180</f>
        <v>178</v>
      </c>
      <c r="B531" s="15" t="str">
        <f>CADASTROS!$C$180</f>
        <v>Maridete Lino dos Santos</v>
      </c>
      <c r="C531" s="25"/>
      <c r="D531" s="25">
        <f>PLANILHA_COLHEITA_DIÁRIA!$I$285</f>
        <v>0</v>
      </c>
      <c r="E531" s="17">
        <v>6</v>
      </c>
      <c r="F531" s="26" t="str">
        <f>CADASTROS!$E$180</f>
        <v>Cx. Econômica</v>
      </c>
      <c r="G531" s="24">
        <f>CADASTROS!$F$180</f>
        <v>4825</v>
      </c>
      <c r="H531" s="26">
        <f>CADASTROS!$G$180</f>
        <v>13</v>
      </c>
      <c r="I531" s="16" t="str">
        <f>CADASTROS!$H$180</f>
        <v>00001083-7</v>
      </c>
      <c r="J531" s="18">
        <f t="shared" si="23"/>
        <v>0</v>
      </c>
    </row>
    <row r="532" spans="1:10" ht="15.75" x14ac:dyDescent="0.25">
      <c r="A532" s="24">
        <f>CADASTROS!$B$181</f>
        <v>179</v>
      </c>
      <c r="B532" s="15" t="str">
        <f>CADASTROS!$C$181</f>
        <v>Nedian Hilário Rodrigues</v>
      </c>
      <c r="C532" s="25"/>
      <c r="D532" s="25">
        <f>PLANILHA_COLHEITA_DIÁRIA!$I$286</f>
        <v>0</v>
      </c>
      <c r="E532" s="17">
        <v>6</v>
      </c>
      <c r="F532" s="26" t="str">
        <f>CADASTROS!$E$181</f>
        <v>Cx. Econômica</v>
      </c>
      <c r="G532" s="24">
        <f>CADASTROS!$F$181</f>
        <v>4825</v>
      </c>
      <c r="H532" s="26">
        <f>CADASTROS!$G$181</f>
        <v>13</v>
      </c>
      <c r="I532" s="16" t="str">
        <f>CADASTROS!$H$181</f>
        <v>00018208-5</v>
      </c>
      <c r="J532" s="18">
        <f t="shared" si="23"/>
        <v>0</v>
      </c>
    </row>
    <row r="533" spans="1:10" ht="15.75" x14ac:dyDescent="0.25">
      <c r="B533" s="220"/>
      <c r="C533" s="220"/>
      <c r="D533" s="12">
        <f>SUM(D488:D532)</f>
        <v>171</v>
      </c>
      <c r="E533" s="12"/>
      <c r="F533" s="225"/>
      <c r="G533" s="226"/>
      <c r="H533" s="226"/>
      <c r="I533" s="227"/>
      <c r="J533" s="14">
        <f>SUM(J488:J532)</f>
        <v>1026</v>
      </c>
    </row>
    <row r="536" spans="1:10" ht="15.75" x14ac:dyDescent="0.25">
      <c r="A536" s="213" t="s">
        <v>4816</v>
      </c>
      <c r="B536" s="213"/>
      <c r="C536" s="213"/>
      <c r="D536" s="213"/>
      <c r="E536" s="213"/>
      <c r="F536" s="213"/>
      <c r="G536" s="213"/>
      <c r="H536" s="213"/>
      <c r="I536" s="213"/>
      <c r="J536" s="213"/>
    </row>
    <row r="537" spans="1:10" ht="16.5" thickBot="1" x14ac:dyDescent="0.3">
      <c r="A537" s="214" t="s">
        <v>4843</v>
      </c>
      <c r="B537" s="214"/>
      <c r="C537" s="214"/>
      <c r="D537" s="214"/>
      <c r="E537" s="214"/>
      <c r="F537" s="214"/>
      <c r="G537" s="214"/>
      <c r="H537" s="214"/>
      <c r="I537" s="214"/>
      <c r="J537" s="214"/>
    </row>
    <row r="538" spans="1:10" ht="17.25" thickTop="1" thickBot="1" x14ac:dyDescent="0.3">
      <c r="A538" s="215" t="s">
        <v>4844</v>
      </c>
      <c r="B538" s="215"/>
      <c r="C538" s="215"/>
      <c r="D538" s="215"/>
      <c r="E538" s="215"/>
      <c r="F538" s="215"/>
      <c r="G538" s="215"/>
      <c r="H538" s="215"/>
      <c r="I538" s="215"/>
      <c r="J538" s="215"/>
    </row>
    <row r="539" spans="1:10" ht="19.5" customHeight="1" x14ac:dyDescent="0.25">
      <c r="A539" s="19" t="s">
        <v>4846</v>
      </c>
      <c r="B539" s="216" t="s">
        <v>1</v>
      </c>
      <c r="C539" s="221" t="s">
        <v>2</v>
      </c>
      <c r="D539" s="223" t="s">
        <v>4847</v>
      </c>
      <c r="E539" s="20" t="s">
        <v>4848</v>
      </c>
      <c r="F539" s="216" t="s">
        <v>3</v>
      </c>
      <c r="G539" s="216" t="s">
        <v>4</v>
      </c>
      <c r="H539" s="216" t="s">
        <v>5</v>
      </c>
      <c r="I539" s="216" t="s">
        <v>6</v>
      </c>
      <c r="J539" s="218" t="s">
        <v>4849</v>
      </c>
    </row>
    <row r="540" spans="1:10" ht="20.100000000000001" customHeight="1" thickBot="1" x14ac:dyDescent="0.3">
      <c r="A540" s="21" t="s">
        <v>4850</v>
      </c>
      <c r="B540" s="217"/>
      <c r="C540" s="222"/>
      <c r="D540" s="224"/>
      <c r="E540" s="161" t="s">
        <v>4851</v>
      </c>
      <c r="F540" s="217"/>
      <c r="G540" s="217"/>
      <c r="H540" s="217"/>
      <c r="I540" s="217"/>
      <c r="J540" s="219"/>
    </row>
    <row r="541" spans="1:10" ht="15.75" x14ac:dyDescent="0.25">
      <c r="A541" s="24">
        <f>CADASTROS!$B$452</f>
        <v>450</v>
      </c>
      <c r="B541" s="15" t="str">
        <f>CADASTROS!$C$452</f>
        <v>João de Jesus Santos</v>
      </c>
      <c r="C541" s="25"/>
      <c r="D541" s="25">
        <f>PLANILHA_COLHEITA_DIÁRIA!$I$739</f>
        <v>0</v>
      </c>
      <c r="E541" s="17">
        <v>6</v>
      </c>
      <c r="F541" s="26" t="str">
        <f>CADASTROS!$E$452</f>
        <v>Cx. Econômica</v>
      </c>
      <c r="G541" s="24">
        <f>CADASTROS!$F$452</f>
        <v>780</v>
      </c>
      <c r="H541" s="26" t="str">
        <f>CADASTROS!$G$452</f>
        <v>013</v>
      </c>
      <c r="I541" s="16" t="str">
        <f>CADASTROS!$H$452</f>
        <v>00003652-1</v>
      </c>
      <c r="J541" s="18">
        <f t="shared" ref="J541:J585" si="24">D541*E541</f>
        <v>0</v>
      </c>
    </row>
    <row r="542" spans="1:10" ht="15.75" x14ac:dyDescent="0.25">
      <c r="A542" s="24">
        <f>CADASTROS!$B$453</f>
        <v>451</v>
      </c>
      <c r="B542" s="15" t="str">
        <f>CADASTROS!$C$453</f>
        <v>Luana Marques da Silva</v>
      </c>
      <c r="C542" s="25"/>
      <c r="D542" s="25">
        <f>PLANILHA_COLHEITA_DIÁRIA!$I$740</f>
        <v>0</v>
      </c>
      <c r="E542" s="17">
        <v>6</v>
      </c>
      <c r="F542" s="26" t="str">
        <f>CADASTROS!$E$453</f>
        <v>Cx. Econômica</v>
      </c>
      <c r="G542" s="24">
        <f>CADASTROS!$F$453</f>
        <v>4825</v>
      </c>
      <c r="H542" s="26">
        <f>CADASTROS!$G$453</f>
        <v>13</v>
      </c>
      <c r="I542" s="16" t="str">
        <f>CADASTROS!$H$453</f>
        <v>00008399-0</v>
      </c>
      <c r="J542" s="18">
        <f t="shared" si="24"/>
        <v>0</v>
      </c>
    </row>
    <row r="543" spans="1:10" ht="15.75" x14ac:dyDescent="0.25">
      <c r="A543" s="24">
        <f>CADASTROS!$B$454</f>
        <v>452</v>
      </c>
      <c r="B543" s="15" t="str">
        <f>CADASTROS!$C$454</f>
        <v>Mailton de Jesus Silva</v>
      </c>
      <c r="C543" s="25"/>
      <c r="D543" s="25">
        <f>PLANILHA_COLHEITA_DIÁRIA!$I$741</f>
        <v>0</v>
      </c>
      <c r="E543" s="17">
        <v>6</v>
      </c>
      <c r="F543" s="26" t="str">
        <f>CADASTROS!$E$454</f>
        <v>Cx. Econômica</v>
      </c>
      <c r="G543" s="24">
        <f>CADASTROS!$F$454</f>
        <v>4825</v>
      </c>
      <c r="H543" s="26" t="str">
        <f>CADASTROS!$G$454</f>
        <v>013</v>
      </c>
      <c r="I543" s="16" t="str">
        <f>CADASTROS!$H$454</f>
        <v>00010827-6</v>
      </c>
      <c r="J543" s="18">
        <f t="shared" si="24"/>
        <v>0</v>
      </c>
    </row>
    <row r="544" spans="1:10" ht="15.75" x14ac:dyDescent="0.25">
      <c r="A544" s="24">
        <f>CADASTROS!$B$455</f>
        <v>453</v>
      </c>
      <c r="B544" s="15" t="str">
        <f>CADASTROS!$C$455</f>
        <v>Joelma Pereira Amaral</v>
      </c>
      <c r="C544" s="25"/>
      <c r="D544" s="25">
        <f>PLANILHA_COLHEITA_DIÁRIA!$I$742</f>
        <v>0</v>
      </c>
      <c r="E544" s="17">
        <v>6</v>
      </c>
      <c r="F544" s="26" t="str">
        <f>CADASTROS!$E$455</f>
        <v>Cx. Econômica</v>
      </c>
      <c r="G544" s="24">
        <f>CADASTROS!$F$455</f>
        <v>780</v>
      </c>
      <c r="H544" s="26" t="str">
        <f>CADASTROS!$G$455</f>
        <v>013</v>
      </c>
      <c r="I544" s="16" t="str">
        <f>CADASTROS!$H$455</f>
        <v>00004936-4</v>
      </c>
      <c r="J544" s="18">
        <f t="shared" si="24"/>
        <v>0</v>
      </c>
    </row>
    <row r="545" spans="1:10" ht="15.75" x14ac:dyDescent="0.25">
      <c r="A545" s="24">
        <f>CADASTROS!$B$456</f>
        <v>454</v>
      </c>
      <c r="B545" s="15" t="str">
        <f>CADASTROS!$C$456</f>
        <v>Edneide Oliveira Santos</v>
      </c>
      <c r="C545" s="25"/>
      <c r="D545" s="52">
        <f>PLANILHA_COLHEITA_DIÁRIA!$I$743</f>
        <v>0</v>
      </c>
      <c r="E545" s="17">
        <v>6</v>
      </c>
      <c r="F545" s="26" t="str">
        <f>CADASTROS!$E$456</f>
        <v>Cx. Econômica</v>
      </c>
      <c r="G545" s="24">
        <f>CADASTROS!$F$456</f>
        <v>780</v>
      </c>
      <c r="H545" s="26" t="str">
        <f>CADASTROS!$G$456</f>
        <v>013</v>
      </c>
      <c r="I545" s="16" t="str">
        <f>CADASTROS!$H$456</f>
        <v>00009162-0</v>
      </c>
      <c r="J545" s="18">
        <f t="shared" si="24"/>
        <v>0</v>
      </c>
    </row>
    <row r="546" spans="1:10" ht="15.75" x14ac:dyDescent="0.25">
      <c r="A546" s="24">
        <f>CADASTROS!$B$457</f>
        <v>455</v>
      </c>
      <c r="B546" s="15" t="str">
        <f>CADASTROS!$C$457</f>
        <v>Jessica Lima Barros</v>
      </c>
      <c r="C546" s="25"/>
      <c r="D546" s="25">
        <f>PLANILHA_COLHEITA_DIÁRIA!$I$744</f>
        <v>0</v>
      </c>
      <c r="E546" s="17">
        <v>6</v>
      </c>
      <c r="F546" s="26" t="str">
        <f>CADASTROS!$E$457</f>
        <v>Cx. Econômica</v>
      </c>
      <c r="G546" s="24">
        <f>CADASTROS!$F$457</f>
        <v>4825</v>
      </c>
      <c r="H546" s="26" t="str">
        <f>CADASTROS!$G$457</f>
        <v>013</v>
      </c>
      <c r="I546" s="16" t="str">
        <f>CADASTROS!$H$457</f>
        <v>00004429-4</v>
      </c>
      <c r="J546" s="18">
        <f t="shared" si="24"/>
        <v>0</v>
      </c>
    </row>
    <row r="547" spans="1:10" ht="15.75" x14ac:dyDescent="0.25">
      <c r="A547" s="24">
        <f>CADASTROS!$B$458</f>
        <v>456</v>
      </c>
      <c r="B547" s="15" t="str">
        <f>CADASTROS!$C$458</f>
        <v>Antônio Carlos Almeida</v>
      </c>
      <c r="C547" s="25"/>
      <c r="D547" s="25">
        <f>PLANILHA_COLHEITA_DIÁRIA!$I$745</f>
        <v>0</v>
      </c>
      <c r="E547" s="17">
        <v>6</v>
      </c>
      <c r="F547" s="26" t="str">
        <f>CADASTROS!$E$458</f>
        <v>Cx. Econômica</v>
      </c>
      <c r="G547" s="24">
        <f>CADASTROS!$F$458</f>
        <v>4825</v>
      </c>
      <c r="H547" s="26" t="str">
        <f>CADASTROS!$G$458</f>
        <v>013</v>
      </c>
      <c r="I547" s="16" t="str">
        <f>CADASTROS!$H$458</f>
        <v>00009082-2</v>
      </c>
      <c r="J547" s="18">
        <f t="shared" si="24"/>
        <v>0</v>
      </c>
    </row>
    <row r="548" spans="1:10" ht="15.75" x14ac:dyDescent="0.25">
      <c r="A548" s="24">
        <f>CADASTROS!$B$459</f>
        <v>457</v>
      </c>
      <c r="B548" s="15" t="str">
        <f>CADASTROS!$C$459</f>
        <v>Iara Alves de Miranda</v>
      </c>
      <c r="C548" s="25"/>
      <c r="D548" s="25">
        <f>PLANILHA_COLHEITA_DIÁRIA!$I$746</f>
        <v>0</v>
      </c>
      <c r="E548" s="17">
        <v>6</v>
      </c>
      <c r="F548" s="26" t="str">
        <f>CADASTROS!$E$459</f>
        <v>Cx. Econômica</v>
      </c>
      <c r="G548" s="24">
        <f>CADASTROS!$F$459</f>
        <v>4825</v>
      </c>
      <c r="H548" s="26" t="str">
        <f>CADASTROS!$G$459</f>
        <v>013</v>
      </c>
      <c r="I548" s="16" t="str">
        <f>CADASTROS!$H$459</f>
        <v>00012672-0</v>
      </c>
      <c r="J548" s="18">
        <f t="shared" si="24"/>
        <v>0</v>
      </c>
    </row>
    <row r="549" spans="1:10" ht="15.75" x14ac:dyDescent="0.25">
      <c r="A549" s="24">
        <f>CADASTROS!$B$460</f>
        <v>458</v>
      </c>
      <c r="B549" s="15" t="str">
        <f>CADASTROS!$C$460</f>
        <v>Antônio José Evangelista Sampaio</v>
      </c>
      <c r="C549" s="25"/>
      <c r="D549" s="35">
        <f>PLANILHA_COLHEITA_DIÁRIA!$I$747</f>
        <v>0</v>
      </c>
      <c r="E549" s="17">
        <v>6</v>
      </c>
      <c r="F549" s="26" t="str">
        <f>CADASTROS!$E$460</f>
        <v>Cx. Econômica</v>
      </c>
      <c r="G549" s="24">
        <f>CADASTROS!$F$460</f>
        <v>949</v>
      </c>
      <c r="H549" s="26">
        <f>CADASTROS!$G$460</f>
        <v>13</v>
      </c>
      <c r="I549" s="16" t="str">
        <f>CADASTROS!$H$460</f>
        <v>00064306-0</v>
      </c>
      <c r="J549" s="18">
        <f t="shared" si="24"/>
        <v>0</v>
      </c>
    </row>
    <row r="550" spans="1:10" ht="15.75" x14ac:dyDescent="0.25">
      <c r="A550" s="24">
        <f>CADASTROS!$B$461</f>
        <v>459</v>
      </c>
      <c r="B550" s="15" t="str">
        <f>CADASTROS!$C$461</f>
        <v>Rozana Santana de Assunção</v>
      </c>
      <c r="C550" s="25"/>
      <c r="D550" s="35">
        <f>PLANILHA_COLHEITA_DIÁRIA!$I$748</f>
        <v>0</v>
      </c>
      <c r="E550" s="17">
        <v>6</v>
      </c>
      <c r="F550" s="26" t="str">
        <f>CADASTROS!$E$461</f>
        <v>Cx. Econômica</v>
      </c>
      <c r="G550" s="24">
        <f>CADASTROS!$F$461</f>
        <v>4825</v>
      </c>
      <c r="H550" s="26" t="str">
        <f>CADASTROS!$G$461</f>
        <v>023</v>
      </c>
      <c r="I550" s="16" t="str">
        <f>CADASTROS!$H$461</f>
        <v>00000202-5</v>
      </c>
      <c r="J550" s="18">
        <f t="shared" si="24"/>
        <v>0</v>
      </c>
    </row>
    <row r="551" spans="1:10" ht="15.75" x14ac:dyDescent="0.25">
      <c r="A551" s="24">
        <f>CADASTROS!$B$462</f>
        <v>460</v>
      </c>
      <c r="B551" s="15" t="str">
        <f>CADASTROS!$C$462</f>
        <v>Olivia dos Anjos Oliveira</v>
      </c>
      <c r="C551" s="25"/>
      <c r="D551" s="35">
        <f>PLANILHA_COLHEITA_DIÁRIA!$I$749</f>
        <v>0</v>
      </c>
      <c r="E551" s="17">
        <v>6</v>
      </c>
      <c r="F551" s="26" t="str">
        <f>CADASTROS!$E$461</f>
        <v>Cx. Econômica</v>
      </c>
      <c r="G551" s="24">
        <f>CADASTROS!$F$462</f>
        <v>4825</v>
      </c>
      <c r="H551" s="26" t="str">
        <f>CADASTROS!$G$462</f>
        <v>013</v>
      </c>
      <c r="I551" s="16" t="str">
        <f>CADASTROS!$H$462</f>
        <v>00001085-3</v>
      </c>
      <c r="J551" s="18">
        <f t="shared" si="24"/>
        <v>0</v>
      </c>
    </row>
    <row r="552" spans="1:10" ht="15.75" x14ac:dyDescent="0.25">
      <c r="A552" s="24">
        <f>CADASTROS!$B$463</f>
        <v>461</v>
      </c>
      <c r="B552" s="15" t="str">
        <f>CADASTROS!$C$463</f>
        <v>Alfredo Oliveira Matos</v>
      </c>
      <c r="C552" s="25"/>
      <c r="D552" s="35">
        <f>PLANILHA_COLHEITA_DIÁRIA!$I$750</f>
        <v>0</v>
      </c>
      <c r="E552" s="17">
        <v>6</v>
      </c>
      <c r="F552" s="26" t="str">
        <f>CADASTROS!$E$463</f>
        <v>Cx. Econômica</v>
      </c>
      <c r="G552" s="24">
        <f>CADASTROS!$F$463</f>
        <v>4825</v>
      </c>
      <c r="H552" s="26" t="str">
        <f>CADASTROS!$G$463</f>
        <v>1288</v>
      </c>
      <c r="I552" s="16" t="str">
        <f>CADASTROS!$H$463</f>
        <v>806145106-7</v>
      </c>
      <c r="J552" s="18">
        <f t="shared" si="24"/>
        <v>0</v>
      </c>
    </row>
    <row r="553" spans="1:10" ht="15.75" x14ac:dyDescent="0.25">
      <c r="A553" s="24">
        <f>CADASTROS!$B$464</f>
        <v>462</v>
      </c>
      <c r="B553" s="15" t="str">
        <f>CADASTROS!$C$464</f>
        <v>Marco Antônio José dos Santos</v>
      </c>
      <c r="C553" s="25"/>
      <c r="D553" s="35">
        <f>PLANILHA_COLHEITA_DIÁRIA!$I$751</f>
        <v>0</v>
      </c>
      <c r="E553" s="17">
        <v>6</v>
      </c>
      <c r="F553" s="26" t="str">
        <f>CADASTROS!$E$464</f>
        <v>Cx. Econômica</v>
      </c>
      <c r="G553" s="24">
        <f>CADASTROS!$F$464</f>
        <v>1340</v>
      </c>
      <c r="H553" s="26" t="str">
        <f>CADASTROS!$G$464</f>
        <v>013</v>
      </c>
      <c r="I553" s="16" t="str">
        <f>CADASTROS!$H$464</f>
        <v>00055119-1</v>
      </c>
      <c r="J553" s="18">
        <f t="shared" si="24"/>
        <v>0</v>
      </c>
    </row>
    <row r="554" spans="1:10" ht="15.75" x14ac:dyDescent="0.25">
      <c r="A554" s="24">
        <f>CADASTROS!$B$465</f>
        <v>463</v>
      </c>
      <c r="B554" s="15" t="str">
        <f>CADASTROS!$C$465</f>
        <v>Josemar José dos Santos</v>
      </c>
      <c r="C554" s="25"/>
      <c r="D554" s="35">
        <f>PLANILHA_COLHEITA_DIÁRIA!$I$752</f>
        <v>0</v>
      </c>
      <c r="E554" s="17">
        <v>6</v>
      </c>
      <c r="F554" s="26" t="str">
        <f>CADASTROS!$E$465</f>
        <v>Cx. Econômica</v>
      </c>
      <c r="G554" s="24">
        <f>CADASTROS!$F$465</f>
        <v>4825</v>
      </c>
      <c r="H554" s="26" t="str">
        <f>CADASTROS!$G$465</f>
        <v>013</v>
      </c>
      <c r="I554" s="16" t="str">
        <f>CADASTROS!$H$465</f>
        <v>00008523-3</v>
      </c>
      <c r="J554" s="18">
        <f t="shared" si="24"/>
        <v>0</v>
      </c>
    </row>
    <row r="555" spans="1:10" ht="15.75" x14ac:dyDescent="0.25">
      <c r="A555" s="24">
        <f>CADASTROS!$B$466</f>
        <v>464</v>
      </c>
      <c r="B555" s="15" t="str">
        <f>CADASTROS!$C$466</f>
        <v>Eutácio Silva de Oliveira</v>
      </c>
      <c r="C555" s="25"/>
      <c r="D555" s="35">
        <f>PLANILHA_COLHEITA_DIÁRIA!$I$753</f>
        <v>0</v>
      </c>
      <c r="E555" s="17">
        <v>6</v>
      </c>
      <c r="F555" s="26" t="str">
        <f>CADASTROS!$E$466</f>
        <v>Cx. Econômica</v>
      </c>
      <c r="G555" s="24">
        <f>CADASTROS!$F$466</f>
        <v>4825</v>
      </c>
      <c r="H555" s="26" t="str">
        <f>CADASTROS!$G$466</f>
        <v>013</v>
      </c>
      <c r="I555" s="16" t="str">
        <f>CADASTROS!$H$466</f>
        <v>00004832-0</v>
      </c>
      <c r="J555" s="18">
        <f t="shared" si="24"/>
        <v>0</v>
      </c>
    </row>
    <row r="556" spans="1:10" ht="15.75" x14ac:dyDescent="0.25">
      <c r="A556" s="24">
        <f>CADASTROS!$B$467</f>
        <v>465</v>
      </c>
      <c r="B556" s="15" t="str">
        <f>CADASTROS!$C$467</f>
        <v>Tainá Rosa de Souza</v>
      </c>
      <c r="C556" s="25"/>
      <c r="D556" s="35">
        <f>PLANILHA_COLHEITA_DIÁRIA!$I$754</f>
        <v>0</v>
      </c>
      <c r="E556" s="17">
        <v>6</v>
      </c>
      <c r="F556" s="26" t="str">
        <f>CADASTROS!$E$467</f>
        <v>Cx. Econômica</v>
      </c>
      <c r="G556" s="24">
        <f>CADASTROS!$F$467</f>
        <v>4825</v>
      </c>
      <c r="H556" s="26" t="str">
        <f>CADASTROS!$G$467</f>
        <v>013</v>
      </c>
      <c r="I556" s="16" t="str">
        <f>CADASTROS!$H$467</f>
        <v>00012530-8</v>
      </c>
      <c r="J556" s="18">
        <f t="shared" si="24"/>
        <v>0</v>
      </c>
    </row>
    <row r="557" spans="1:10" ht="15.75" x14ac:dyDescent="0.25">
      <c r="A557" s="24">
        <f>CADASTROS!$B$468</f>
        <v>466</v>
      </c>
      <c r="B557" s="15" t="str">
        <f>CADASTROS!$C$468</f>
        <v>Ivanilton Soares da Silva</v>
      </c>
      <c r="C557" s="25"/>
      <c r="D557" s="35">
        <f>PLANILHA_COLHEITA_DIÁRIA!$I$755</f>
        <v>0</v>
      </c>
      <c r="E557" s="17">
        <v>6</v>
      </c>
      <c r="F557" s="26" t="str">
        <f>CADASTROS!$E$468</f>
        <v>Cx. Econômica</v>
      </c>
      <c r="G557" s="24">
        <f>CADASTROS!$F$468</f>
        <v>0</v>
      </c>
      <c r="H557" s="26">
        <f>CADASTROS!$G$468</f>
        <v>0</v>
      </c>
      <c r="I557" s="16" t="str">
        <f>CADASTROS!$H$468</f>
        <v>20963393884-01</v>
      </c>
      <c r="J557" s="18">
        <f t="shared" si="24"/>
        <v>0</v>
      </c>
    </row>
    <row r="558" spans="1:10" ht="15.75" x14ac:dyDescent="0.25">
      <c r="A558" s="24">
        <f>CADASTROS!$B$469</f>
        <v>467</v>
      </c>
      <c r="B558" s="15" t="str">
        <f>CADASTROS!$C$469</f>
        <v>Maria Miranda dos Santos</v>
      </c>
      <c r="C558" s="25"/>
      <c r="D558" s="35">
        <f>PLANILHA_COLHEITA_DIÁRIA!$I$756</f>
        <v>0</v>
      </c>
      <c r="E558" s="17">
        <v>6</v>
      </c>
      <c r="F558" s="26" t="str">
        <f>CADASTROS!$E$469</f>
        <v>Cx. Econômica</v>
      </c>
      <c r="G558" s="24">
        <f>CADASTROS!$F$469</f>
        <v>4825</v>
      </c>
      <c r="H558" s="26" t="str">
        <f>CADASTROS!$G$469</f>
        <v>013</v>
      </c>
      <c r="I558" s="16" t="str">
        <f>CADASTROS!$H$469</f>
        <v>00016667-5</v>
      </c>
      <c r="J558" s="18">
        <f t="shared" si="24"/>
        <v>0</v>
      </c>
    </row>
    <row r="559" spans="1:10" ht="15.75" x14ac:dyDescent="0.25">
      <c r="A559" s="24">
        <f>CADASTROS!$B$470</f>
        <v>468</v>
      </c>
      <c r="B559" s="15" t="str">
        <f>CADASTROS!$C$470</f>
        <v>Marleide de Jesus Carvalho</v>
      </c>
      <c r="C559" s="25"/>
      <c r="D559" s="52">
        <f>PLANILHA_COLHEITA_DIÁRIA!$I$757</f>
        <v>52.5</v>
      </c>
      <c r="E559" s="17">
        <v>6</v>
      </c>
      <c r="F559" s="26" t="str">
        <f>CADASTROS!$E$470</f>
        <v>Cx. Econômica</v>
      </c>
      <c r="G559" s="24">
        <f>CADASTROS!$F$470</f>
        <v>4825</v>
      </c>
      <c r="H559" s="26" t="str">
        <f>CADASTROS!$G$470</f>
        <v>013</v>
      </c>
      <c r="I559" s="16" t="str">
        <f>CADASTROS!$H$470</f>
        <v>796526228-3</v>
      </c>
      <c r="J559" s="18">
        <f t="shared" si="24"/>
        <v>315</v>
      </c>
    </row>
    <row r="560" spans="1:10" ht="15.75" x14ac:dyDescent="0.25">
      <c r="A560" s="24">
        <f>CADASTROS!$B$471</f>
        <v>469</v>
      </c>
      <c r="B560" s="15" t="str">
        <f>CADASTROS!$C$471</f>
        <v>Cícero de Oliveira Santos</v>
      </c>
      <c r="C560" s="25"/>
      <c r="D560" s="35">
        <f>PLANILHA_COLHEITA_DIÁRIA!$I$758</f>
        <v>0</v>
      </c>
      <c r="E560" s="17">
        <v>6</v>
      </c>
      <c r="F560" s="26" t="str">
        <f>CADASTROS!$E$471</f>
        <v>Cx. Econômica</v>
      </c>
      <c r="G560" s="24">
        <f>CADASTROS!$F$471</f>
        <v>4825</v>
      </c>
      <c r="H560" s="26" t="str">
        <f>CADASTROS!$G$471</f>
        <v>013</v>
      </c>
      <c r="I560" s="16" t="str">
        <f>CADASTROS!$H$471</f>
        <v>00004218-6</v>
      </c>
      <c r="J560" s="18">
        <f t="shared" si="24"/>
        <v>0</v>
      </c>
    </row>
    <row r="561" spans="1:10" ht="15.75" x14ac:dyDescent="0.25">
      <c r="A561" s="24">
        <f>CADASTROS!$B$472</f>
        <v>470</v>
      </c>
      <c r="B561" s="15" t="str">
        <f>CADASTROS!$C$472</f>
        <v>Flávio Antônio Bezerra de Sá</v>
      </c>
      <c r="C561" s="25"/>
      <c r="D561" s="35">
        <f>PLANILHA_COLHEITA_DIÁRIA!$I$759</f>
        <v>0</v>
      </c>
      <c r="E561" s="17">
        <v>6</v>
      </c>
      <c r="F561" s="26" t="str">
        <f>CADASTROS!$E$472</f>
        <v>Bradesco</v>
      </c>
      <c r="G561" s="24" t="str">
        <f>CADASTROS!$F$472</f>
        <v>3801-6</v>
      </c>
      <c r="H561" s="26" t="str">
        <f>CADASTROS!$G$472</f>
        <v>poup</v>
      </c>
      <c r="I561" s="16" t="str">
        <f>CADASTROS!$H$472</f>
        <v>1000354-7</v>
      </c>
      <c r="J561" s="18">
        <f t="shared" si="24"/>
        <v>0</v>
      </c>
    </row>
    <row r="562" spans="1:10" ht="15.75" x14ac:dyDescent="0.25">
      <c r="A562" s="24">
        <f>CADASTROS!$B$473</f>
        <v>471</v>
      </c>
      <c r="B562" s="15" t="str">
        <f>CADASTROS!$C$473</f>
        <v>Célia Pereira dos Santos</v>
      </c>
      <c r="C562" s="25"/>
      <c r="D562" s="35">
        <f>PLANILHA_COLHEITA_DIÁRIA!$I$760</f>
        <v>0</v>
      </c>
      <c r="E562" s="17">
        <v>6</v>
      </c>
      <c r="F562" s="26" t="str">
        <f>CADASTROS!$E$473</f>
        <v>Cx. Econômica</v>
      </c>
      <c r="G562" s="24">
        <f>CADASTROS!$F$473</f>
        <v>4825</v>
      </c>
      <c r="H562" s="26" t="str">
        <f>CADASTROS!$G$473</f>
        <v>013</v>
      </c>
      <c r="I562" s="16" t="str">
        <f>CADASTROS!$H$473</f>
        <v>00002507-9</v>
      </c>
      <c r="J562" s="18">
        <f t="shared" si="24"/>
        <v>0</v>
      </c>
    </row>
    <row r="563" spans="1:10" ht="15.75" x14ac:dyDescent="0.25">
      <c r="A563" s="24">
        <f>CADASTROS!$B$474</f>
        <v>472</v>
      </c>
      <c r="B563" s="15" t="str">
        <f>CADASTROS!$C$474</f>
        <v>Mariazinha de Jesus</v>
      </c>
      <c r="C563" s="25"/>
      <c r="D563" s="35">
        <f>PLANILHA_COLHEITA_DIÁRIA!$I$761</f>
        <v>0</v>
      </c>
      <c r="E563" s="17">
        <v>6</v>
      </c>
      <c r="F563" s="26" t="str">
        <f>CADASTROS!$E$474</f>
        <v>Cx. Econômica</v>
      </c>
      <c r="G563" s="24">
        <f>CADASTROS!$F$474</f>
        <v>780</v>
      </c>
      <c r="H563" s="26" t="str">
        <f>CADASTROS!$G$474</f>
        <v>023</v>
      </c>
      <c r="I563" s="16" t="str">
        <f>CADASTROS!$H$474</f>
        <v>00012127-5</v>
      </c>
      <c r="J563" s="18">
        <f t="shared" si="24"/>
        <v>0</v>
      </c>
    </row>
    <row r="564" spans="1:10" ht="15.75" x14ac:dyDescent="0.25">
      <c r="A564" s="24">
        <f>CADASTROS!$B$475</f>
        <v>473</v>
      </c>
      <c r="B564" s="15" t="str">
        <f>CADASTROS!$C$475</f>
        <v>Aucicléia de Jesus Silva</v>
      </c>
      <c r="C564" s="25"/>
      <c r="D564" s="52">
        <f>PLANILHA_COLHEITA_DIÁRIA!$I$762</f>
        <v>0</v>
      </c>
      <c r="E564" s="17">
        <v>6</v>
      </c>
      <c r="F564" s="26" t="str">
        <f>CADASTROS!$E$475</f>
        <v>Cx. Econômica</v>
      </c>
      <c r="G564" s="24">
        <f>CADASTROS!$F$475</f>
        <v>4825</v>
      </c>
      <c r="H564" s="26" t="str">
        <f>CADASTROS!$G$475</f>
        <v>013</v>
      </c>
      <c r="I564" s="16" t="str">
        <f>CADASTROS!$H$475</f>
        <v>00002048-4</v>
      </c>
      <c r="J564" s="18">
        <f t="shared" si="24"/>
        <v>0</v>
      </c>
    </row>
    <row r="565" spans="1:10" ht="15.75" x14ac:dyDescent="0.25">
      <c r="A565" s="24">
        <f>CADASTROS!$B$476</f>
        <v>474</v>
      </c>
      <c r="B565" s="15" t="str">
        <f>CADASTROS!$C$476</f>
        <v>Eliene Jesus Souza Pinto</v>
      </c>
      <c r="C565" s="25"/>
      <c r="D565" s="35">
        <f>PLANILHA_COLHEITA_DIÁRIA!$I$763</f>
        <v>0</v>
      </c>
      <c r="E565" s="17">
        <v>6</v>
      </c>
      <c r="F565" s="26" t="str">
        <f>CADASTROS!$E$476</f>
        <v>Cx. Econômica</v>
      </c>
      <c r="G565" s="24">
        <f>CADASTROS!$F$476</f>
        <v>780</v>
      </c>
      <c r="H565" s="26">
        <f>CADASTROS!$G$476</f>
        <v>13</v>
      </c>
      <c r="I565" s="16" t="str">
        <f>CADASTROS!$H$476</f>
        <v>00003530-4</v>
      </c>
      <c r="J565" s="18">
        <f t="shared" si="24"/>
        <v>0</v>
      </c>
    </row>
    <row r="566" spans="1:10" ht="15.75" x14ac:dyDescent="0.25">
      <c r="A566" s="24">
        <f>CADASTROS!$B$477</f>
        <v>475</v>
      </c>
      <c r="B566" s="15" t="str">
        <f>CADASTROS!$C$477</f>
        <v>Ilmara Soares de Souza</v>
      </c>
      <c r="C566" s="25"/>
      <c r="D566" s="35">
        <f>PLANILHA_COLHEITA_DIÁRIA!$I$764</f>
        <v>0</v>
      </c>
      <c r="E566" s="17">
        <v>6</v>
      </c>
      <c r="F566" s="26" t="str">
        <f>CADASTROS!$E$477</f>
        <v>Cx. Econômica</v>
      </c>
      <c r="G566" s="24">
        <f>CADASTROS!$F$477</f>
        <v>780</v>
      </c>
      <c r="H566" s="26">
        <f>CADASTROS!$G$477</f>
        <v>23</v>
      </c>
      <c r="I566" s="16" t="str">
        <f>CADASTROS!$H$477</f>
        <v>00013741-4</v>
      </c>
      <c r="J566" s="18">
        <f t="shared" si="24"/>
        <v>0</v>
      </c>
    </row>
    <row r="567" spans="1:10" ht="15.75" x14ac:dyDescent="0.25">
      <c r="A567" s="24">
        <f>CADASTROS!$B$478</f>
        <v>476</v>
      </c>
      <c r="B567" s="15" t="str">
        <f>CADASTROS!$C$478</f>
        <v>Joscilene Silva de Oliveira</v>
      </c>
      <c r="C567" s="25"/>
      <c r="D567" s="35">
        <f>PLANILHA_COLHEITA_DIÁRIA!$I$765</f>
        <v>0</v>
      </c>
      <c r="E567" s="17">
        <v>6</v>
      </c>
      <c r="F567" s="26" t="str">
        <f>CADASTROS!$E$478</f>
        <v>Cx. Econômica</v>
      </c>
      <c r="G567" s="24">
        <f>CADASTROS!$F$478</f>
        <v>780</v>
      </c>
      <c r="H567" s="26" t="str">
        <f>CADASTROS!$G$478</f>
        <v>023</v>
      </c>
      <c r="I567" s="16" t="str">
        <f>CADASTROS!$H$478</f>
        <v>00010044-8</v>
      </c>
      <c r="J567" s="18">
        <f t="shared" si="24"/>
        <v>0</v>
      </c>
    </row>
    <row r="568" spans="1:10" ht="15.75" x14ac:dyDescent="0.25">
      <c r="A568" s="24">
        <f>CADASTROS!$B$479</f>
        <v>477</v>
      </c>
      <c r="B568" s="15" t="str">
        <f>CADASTROS!$C$479</f>
        <v>Silvania da Silva Santos</v>
      </c>
      <c r="C568" s="25"/>
      <c r="D568" s="35">
        <f>PLANILHA_COLHEITA_DIÁRIA!$I$782</f>
        <v>0</v>
      </c>
      <c r="E568" s="17">
        <v>6</v>
      </c>
      <c r="F568" s="26" t="str">
        <f>CADASTROS!$E$479</f>
        <v>Cx. Econômica</v>
      </c>
      <c r="G568" s="24">
        <f>CADASTROS!$F$479</f>
        <v>780</v>
      </c>
      <c r="H568" s="26">
        <f>CADASTROS!$G$479</f>
        <v>23</v>
      </c>
      <c r="I568" s="16" t="str">
        <f>CADASTROS!$H$479</f>
        <v>00014432-1</v>
      </c>
      <c r="J568" s="18">
        <f t="shared" si="24"/>
        <v>0</v>
      </c>
    </row>
    <row r="569" spans="1:10" ht="15.75" x14ac:dyDescent="0.25">
      <c r="A569" s="24">
        <f>CADASTROS!$B$480</f>
        <v>478</v>
      </c>
      <c r="B569" s="15" t="str">
        <f>CADASTROS!$C$480</f>
        <v>Joselita Brito Santos</v>
      </c>
      <c r="C569" s="25"/>
      <c r="D569" s="35">
        <f>PLANILHA_COLHEITA_DIÁRIA!$I$783</f>
        <v>0</v>
      </c>
      <c r="E569" s="17">
        <v>6</v>
      </c>
      <c r="F569" s="26" t="str">
        <f>CADASTROS!$E$480</f>
        <v>Cx. Econômica</v>
      </c>
      <c r="G569" s="24">
        <f>CADASTROS!$F$480</f>
        <v>4818</v>
      </c>
      <c r="H569" s="26">
        <f>CADASTROS!$G$480</f>
        <v>13</v>
      </c>
      <c r="I569" s="16" t="str">
        <f>CADASTROS!$H$480</f>
        <v>00008399-2</v>
      </c>
      <c r="J569" s="18">
        <f t="shared" si="24"/>
        <v>0</v>
      </c>
    </row>
    <row r="570" spans="1:10" ht="15.75" x14ac:dyDescent="0.25">
      <c r="A570" s="24">
        <f>CADASTROS!$B$481</f>
        <v>479</v>
      </c>
      <c r="B570" s="15" t="str">
        <f>CADASTROS!$C$481</f>
        <v>Vilma Lucia Lobo da Silva</v>
      </c>
      <c r="C570" s="25"/>
      <c r="D570" s="35">
        <f>PLANILHA_COLHEITA_DIÁRIA!$I$784</f>
        <v>0</v>
      </c>
      <c r="E570" s="17">
        <v>6</v>
      </c>
      <c r="F570" s="26" t="str">
        <f>CADASTROS!$E$481</f>
        <v>Cx. Econômica</v>
      </c>
      <c r="G570" s="24">
        <f>CADASTROS!$F$481</f>
        <v>949</v>
      </c>
      <c r="H570" s="26">
        <f>CADASTROS!$G$481</f>
        <v>23</v>
      </c>
      <c r="I570" s="16" t="str">
        <f>CADASTROS!$H$481</f>
        <v>00023332-2</v>
      </c>
      <c r="J570" s="18">
        <f t="shared" si="24"/>
        <v>0</v>
      </c>
    </row>
    <row r="571" spans="1:10" ht="15.75" x14ac:dyDescent="0.25">
      <c r="A571" s="24">
        <f>CADASTROS!$B$482</f>
        <v>480</v>
      </c>
      <c r="B571" s="15" t="str">
        <f>CADASTROS!$C$482</f>
        <v>Edivaldo de Jesus Alves</v>
      </c>
      <c r="C571" s="25"/>
      <c r="D571" s="35">
        <f>PLANILHA_COLHEITA_DIÁRIA!$I$785</f>
        <v>0</v>
      </c>
      <c r="E571" s="17">
        <v>6</v>
      </c>
      <c r="F571" s="26" t="str">
        <f>CADASTROS!$E$482</f>
        <v>Bradesco</v>
      </c>
      <c r="G571" s="24" t="str">
        <f>CADASTROS!$F$482</f>
        <v>3616-1</v>
      </c>
      <c r="H571" s="26" t="str">
        <f>CADASTROS!$G$482</f>
        <v>poup</v>
      </c>
      <c r="I571" s="16" t="str">
        <f>CADASTROS!$H$482</f>
        <v>0004694-9</v>
      </c>
      <c r="J571" s="18">
        <f t="shared" si="24"/>
        <v>0</v>
      </c>
    </row>
    <row r="572" spans="1:10" ht="15.75" x14ac:dyDescent="0.25">
      <c r="A572" s="24">
        <f>CADASTROS!$B$483</f>
        <v>481</v>
      </c>
      <c r="B572" s="15" t="str">
        <f>CADASTROS!$C$483</f>
        <v>Cosme Santana Oliveira</v>
      </c>
      <c r="C572" s="25"/>
      <c r="D572" s="35">
        <f>PLANILHA_COLHEITA_DIÁRIA!$I$786</f>
        <v>0</v>
      </c>
      <c r="E572" s="17">
        <v>6</v>
      </c>
      <c r="F572" s="26" t="str">
        <f>CADASTROS!$E$483</f>
        <v>Banco do Brasil</v>
      </c>
      <c r="G572" s="24" t="str">
        <f>CADASTROS!$F$483</f>
        <v>2760-X</v>
      </c>
      <c r="H572" s="26" t="str">
        <f>CADASTROS!$G$483</f>
        <v>poup</v>
      </c>
      <c r="I572" s="16" t="str">
        <f>CADASTROS!$H$483</f>
        <v>6.389-4</v>
      </c>
      <c r="J572" s="18">
        <f t="shared" si="24"/>
        <v>0</v>
      </c>
    </row>
    <row r="573" spans="1:10" ht="15.75" x14ac:dyDescent="0.25">
      <c r="A573" s="24">
        <f>CADASTROS!$B$484</f>
        <v>482</v>
      </c>
      <c r="B573" s="15" t="str">
        <f>CADASTROS!$C$484</f>
        <v>Clenilson Santos Alves</v>
      </c>
      <c r="C573" s="25"/>
      <c r="D573" s="35">
        <f>PLANILHA_COLHEITA_DIÁRIA!$I$787</f>
        <v>0</v>
      </c>
      <c r="E573" s="17">
        <v>6</v>
      </c>
      <c r="F573" s="26" t="str">
        <f>CADASTROS!$E$484</f>
        <v>Cx. Econômica</v>
      </c>
      <c r="G573" s="24">
        <f>CADASTROS!$F$484</f>
        <v>949</v>
      </c>
      <c r="H573" s="26">
        <f>CADASTROS!$G$484</f>
        <v>13</v>
      </c>
      <c r="I573" s="16" t="str">
        <f>CADASTROS!$H$484</f>
        <v>00029983-0</v>
      </c>
      <c r="J573" s="18">
        <f t="shared" si="24"/>
        <v>0</v>
      </c>
    </row>
    <row r="574" spans="1:10" ht="15.75" x14ac:dyDescent="0.25">
      <c r="A574" s="24">
        <f>CADASTROS!$B$485</f>
        <v>483</v>
      </c>
      <c r="B574" s="15" t="str">
        <f>CADASTROS!$C$485</f>
        <v>José Nilton A Araújo</v>
      </c>
      <c r="C574" s="25"/>
      <c r="D574" s="35">
        <f>PLANILHA_COLHEITA_DIÁRIA!$I$788</f>
        <v>0</v>
      </c>
      <c r="E574" s="17">
        <v>6</v>
      </c>
      <c r="F574" s="26" t="str">
        <f>CADASTROS!$E$485</f>
        <v>Banco do Brasil</v>
      </c>
      <c r="G574" s="24" t="str">
        <f>CADASTROS!$F$485</f>
        <v>2760-X</v>
      </c>
      <c r="H574" s="26" t="str">
        <f>CADASTROS!$G$485</f>
        <v>poup</v>
      </c>
      <c r="I574" s="16" t="str">
        <f>CADASTROS!$H$485</f>
        <v>13.328-0</v>
      </c>
      <c r="J574" s="18">
        <f t="shared" si="24"/>
        <v>0</v>
      </c>
    </row>
    <row r="575" spans="1:10" ht="15.75" x14ac:dyDescent="0.25">
      <c r="A575" s="24">
        <f>CADASTROS!$B$486</f>
        <v>484</v>
      </c>
      <c r="B575" s="15" t="str">
        <f>CADASTROS!$C$486</f>
        <v>Marleide Rosa Soares</v>
      </c>
      <c r="C575" s="25"/>
      <c r="D575" s="35">
        <f>PLANILHA_COLHEITA_DIÁRIA!$I$789</f>
        <v>0</v>
      </c>
      <c r="E575" s="17">
        <v>6</v>
      </c>
      <c r="F575" s="26" t="str">
        <f>CADASTROS!$E$486</f>
        <v>Cx. Econômica</v>
      </c>
      <c r="G575" s="24">
        <f>CADASTROS!$F$486</f>
        <v>949</v>
      </c>
      <c r="H575" s="26">
        <f>CADASTROS!$G$486</f>
        <v>23</v>
      </c>
      <c r="I575" s="16" t="str">
        <f>CADASTROS!$H$486</f>
        <v>00015461-9</v>
      </c>
      <c r="J575" s="18">
        <f t="shared" si="24"/>
        <v>0</v>
      </c>
    </row>
    <row r="576" spans="1:10" ht="15.75" x14ac:dyDescent="0.25">
      <c r="A576" s="24">
        <f>CADASTROS!$B$487</f>
        <v>485</v>
      </c>
      <c r="B576" s="15" t="str">
        <f>CADASTROS!$C$487</f>
        <v>Clécia Paes da Silva</v>
      </c>
      <c r="C576" s="25"/>
      <c r="D576" s="35">
        <f>PLANILHA_COLHEITA_DIÁRIA!$I$790</f>
        <v>0</v>
      </c>
      <c r="E576" s="17">
        <v>6</v>
      </c>
      <c r="F576" s="26" t="str">
        <f>CADASTROS!$E$487</f>
        <v>Cx. Econômica</v>
      </c>
      <c r="G576" s="24">
        <f>CADASTROS!$F$487</f>
        <v>949</v>
      </c>
      <c r="H576" s="26">
        <f>CADASTROS!$G$487</f>
        <v>23</v>
      </c>
      <c r="I576" s="16" t="str">
        <f>CADASTROS!$H$487</f>
        <v>00027269-7</v>
      </c>
      <c r="J576" s="18">
        <f t="shared" si="24"/>
        <v>0</v>
      </c>
    </row>
    <row r="577" spans="1:10" ht="15.75" x14ac:dyDescent="0.25">
      <c r="A577" s="24">
        <f>CADASTROS!$B$488</f>
        <v>486</v>
      </c>
      <c r="B577" s="15" t="str">
        <f>CADASTROS!$C$488</f>
        <v>Leandro de Jesus Cruz</v>
      </c>
      <c r="C577" s="25"/>
      <c r="D577" s="35">
        <f>PLANILHA_COLHEITA_DIÁRIA!$I$791</f>
        <v>0</v>
      </c>
      <c r="E577" s="17">
        <v>6</v>
      </c>
      <c r="F577" s="26" t="str">
        <f>CADASTROS!$E$488</f>
        <v>Banco do Brasil</v>
      </c>
      <c r="G577" s="24" t="str">
        <f>CADASTROS!$F$488</f>
        <v>2760-X</v>
      </c>
      <c r="H577" s="26" t="str">
        <f>CADASTROS!$G$488</f>
        <v>poup</v>
      </c>
      <c r="I577" s="16" t="str">
        <f>CADASTROS!$H$488</f>
        <v>11.457-X</v>
      </c>
      <c r="J577" s="18">
        <f t="shared" si="24"/>
        <v>0</v>
      </c>
    </row>
    <row r="578" spans="1:10" ht="15.75" x14ac:dyDescent="0.25">
      <c r="A578" s="24">
        <f>CADASTROS!$B$489</f>
        <v>487</v>
      </c>
      <c r="B578" s="15" t="str">
        <f>CADASTROS!$C$489</f>
        <v>Sandra Ferreira da Silva</v>
      </c>
      <c r="C578" s="25"/>
      <c r="D578" s="35">
        <f>PLANILHA_COLHEITA_DIÁRIA!$I$792</f>
        <v>0</v>
      </c>
      <c r="E578" s="17">
        <v>6</v>
      </c>
      <c r="F578" s="26" t="str">
        <f>CADASTROS!$E$489</f>
        <v>Cx. Econômica</v>
      </c>
      <c r="G578" s="24">
        <f>CADASTROS!$F$489</f>
        <v>4825</v>
      </c>
      <c r="H578" s="26">
        <f>CADASTROS!$G$489</f>
        <v>13</v>
      </c>
      <c r="I578" s="16" t="str">
        <f>CADASTROS!$H$489</f>
        <v>00003040-4</v>
      </c>
      <c r="J578" s="18">
        <f t="shared" si="24"/>
        <v>0</v>
      </c>
    </row>
    <row r="579" spans="1:10" ht="15.75" x14ac:dyDescent="0.25">
      <c r="A579" s="24">
        <f>CADASTROS!$B$490</f>
        <v>488</v>
      </c>
      <c r="B579" s="15" t="str">
        <f>CADASTROS!$C$490</f>
        <v>Eliones Melo Silva</v>
      </c>
      <c r="C579" s="25"/>
      <c r="D579" s="35">
        <f>PLANILHA_COLHEITA_DIÁRIA!$I$793</f>
        <v>0</v>
      </c>
      <c r="E579" s="17">
        <v>6</v>
      </c>
      <c r="F579" s="26" t="str">
        <f>CADASTROS!$E$490</f>
        <v>Cx. Econômica</v>
      </c>
      <c r="G579" s="24">
        <f>CADASTROS!$F$490</f>
        <v>949</v>
      </c>
      <c r="H579" s="26">
        <f>CADASTROS!$G$490</f>
        <v>23</v>
      </c>
      <c r="I579" s="16" t="str">
        <f>CADASTROS!$H$490</f>
        <v>00006475-0</v>
      </c>
      <c r="J579" s="18">
        <f t="shared" si="24"/>
        <v>0</v>
      </c>
    </row>
    <row r="580" spans="1:10" ht="15.75" x14ac:dyDescent="0.25">
      <c r="A580" s="24">
        <f>CADASTROS!$B$491</f>
        <v>489</v>
      </c>
      <c r="B580" s="15" t="str">
        <f>CADASTROS!$C$491</f>
        <v>Maria Pereira de Brito</v>
      </c>
      <c r="C580" s="25"/>
      <c r="D580" s="35">
        <f>PLANILHA_COLHEITA_DIÁRIA!$I$794</f>
        <v>0</v>
      </c>
      <c r="E580" s="17">
        <v>6</v>
      </c>
      <c r="F580" s="26" t="str">
        <f>CADASTROS!$E$491</f>
        <v>Cx. Econômica</v>
      </c>
      <c r="G580" s="24">
        <f>CADASTROS!$F$491</f>
        <v>780</v>
      </c>
      <c r="H580" s="26">
        <f>CADASTROS!$G$491</f>
        <v>13</v>
      </c>
      <c r="I580" s="16" t="str">
        <f>CADASTROS!$H$491</f>
        <v>00067750-0</v>
      </c>
      <c r="J580" s="18">
        <f t="shared" si="24"/>
        <v>0</v>
      </c>
    </row>
    <row r="581" spans="1:10" ht="15.75" x14ac:dyDescent="0.25">
      <c r="A581" s="24">
        <f>CADASTROS!$B$492</f>
        <v>490</v>
      </c>
      <c r="B581" s="15" t="str">
        <f>CADASTROS!$C$492</f>
        <v>Gildeon Sena de Lisboa</v>
      </c>
      <c r="C581" s="25"/>
      <c r="D581" s="35">
        <f>PLANILHA_COLHEITA_DIÁRIA!$I$795</f>
        <v>0</v>
      </c>
      <c r="E581" s="17">
        <v>6</v>
      </c>
      <c r="F581" s="26" t="str">
        <f>CADASTROS!$E$492</f>
        <v>Bradesco</v>
      </c>
      <c r="G581" s="24" t="str">
        <f>CADASTROS!$F$492</f>
        <v>3616-1</v>
      </c>
      <c r="H581" s="26" t="str">
        <f>CADASTROS!$G$492</f>
        <v>c/corr</v>
      </c>
      <c r="I581" s="16" t="str">
        <f>CADASTROS!$H$492</f>
        <v>0079341-8</v>
      </c>
      <c r="J581" s="18">
        <f t="shared" si="24"/>
        <v>0</v>
      </c>
    </row>
    <row r="582" spans="1:10" ht="15.75" x14ac:dyDescent="0.25">
      <c r="A582" s="24">
        <f>CADASTROS!$B$493</f>
        <v>491</v>
      </c>
      <c r="B582" s="15" t="str">
        <f>CADASTROS!$C$493</f>
        <v>Paulo Santos Oliveira</v>
      </c>
      <c r="C582" s="25"/>
      <c r="D582" s="35">
        <f>PLANILHA_COLHEITA_DIÁRIA!$I$796</f>
        <v>0</v>
      </c>
      <c r="E582" s="17">
        <v>6</v>
      </c>
      <c r="F582" s="26" t="str">
        <f>CADASTROS!$E$493</f>
        <v>Cx. Econômica</v>
      </c>
      <c r="G582" s="24">
        <f>CADASTROS!$F$493</f>
        <v>4818</v>
      </c>
      <c r="H582" s="26">
        <f>CADASTROS!$G$493</f>
        <v>13</v>
      </c>
      <c r="I582" s="16" t="str">
        <f>CADASTROS!$H$493</f>
        <v>00001670-5</v>
      </c>
      <c r="J582" s="18">
        <f t="shared" si="24"/>
        <v>0</v>
      </c>
    </row>
    <row r="583" spans="1:10" ht="15.75" x14ac:dyDescent="0.25">
      <c r="A583" s="24">
        <f>CADASTROS!$B$494</f>
        <v>492</v>
      </c>
      <c r="B583" s="15" t="str">
        <f>CADASTROS!$C$494</f>
        <v>Jazon Dias Damasceno</v>
      </c>
      <c r="C583" s="25"/>
      <c r="D583" s="35">
        <f>PLANILHA_COLHEITA_DIÁRIA!$I$797</f>
        <v>0</v>
      </c>
      <c r="E583" s="17">
        <v>6</v>
      </c>
      <c r="F583" s="26" t="str">
        <f>CADASTROS!$E$494</f>
        <v>Cx. Econômica</v>
      </c>
      <c r="G583" s="24">
        <f>CADASTROS!$F$494</f>
        <v>4818</v>
      </c>
      <c r="H583" s="26">
        <f>CADASTROS!$G$494</f>
        <v>13</v>
      </c>
      <c r="I583" s="16" t="str">
        <f>CADASTROS!$H$494</f>
        <v>00010722-0</v>
      </c>
      <c r="J583" s="18">
        <f t="shared" si="24"/>
        <v>0</v>
      </c>
    </row>
    <row r="584" spans="1:10" ht="15.75" x14ac:dyDescent="0.25">
      <c r="A584" s="24">
        <f>CADASTROS!$B$495</f>
        <v>493</v>
      </c>
      <c r="B584" s="15" t="str">
        <f>CADASTROS!$C$495</f>
        <v>Josenilton de Jesus Moreira</v>
      </c>
      <c r="C584" s="25"/>
      <c r="D584" s="35">
        <f>PLANILHA_COLHEITA_DIÁRIA!$I$798</f>
        <v>0</v>
      </c>
      <c r="E584" s="17">
        <v>6</v>
      </c>
      <c r="F584" s="26" t="str">
        <f>CADASTROS!$E$495</f>
        <v>Cx. Econômica</v>
      </c>
      <c r="G584" s="24">
        <f>CADASTROS!$F$495</f>
        <v>4825</v>
      </c>
      <c r="H584" s="26">
        <f>CADASTROS!$G$495</f>
        <v>13</v>
      </c>
      <c r="I584" s="16" t="str">
        <f>CADASTROS!$H$495</f>
        <v>00016616-0</v>
      </c>
      <c r="J584" s="18">
        <f t="shared" si="24"/>
        <v>0</v>
      </c>
    </row>
    <row r="585" spans="1:10" ht="15.75" x14ac:dyDescent="0.25">
      <c r="A585" s="24">
        <f>CADASTROS!$B$496</f>
        <v>494</v>
      </c>
      <c r="B585" s="15" t="str">
        <f>CADASTROS!$C$496</f>
        <v>José Luiz Santos da Silva</v>
      </c>
      <c r="C585" s="25"/>
      <c r="D585" s="35">
        <f>PLANILHA_COLHEITA_DIÁRIA!$I$799</f>
        <v>0</v>
      </c>
      <c r="E585" s="17">
        <v>6</v>
      </c>
      <c r="F585" s="26" t="str">
        <f>CADASTROS!$E$496</f>
        <v>Banco do Brasil</v>
      </c>
      <c r="G585" s="24" t="str">
        <f>CADASTROS!$F$496</f>
        <v>2760-X</v>
      </c>
      <c r="H585" s="26" t="str">
        <f>CADASTROS!$G$496</f>
        <v>poup</v>
      </c>
      <c r="I585" s="16" t="str">
        <f>CADASTROS!$H$496</f>
        <v>19.340-2</v>
      </c>
      <c r="J585" s="18">
        <f t="shared" si="24"/>
        <v>0</v>
      </c>
    </row>
    <row r="586" spans="1:10" ht="15.75" x14ac:dyDescent="0.25">
      <c r="B586" s="220"/>
      <c r="C586" s="220"/>
      <c r="D586" s="12">
        <f>SUM(D541:D585)</f>
        <v>52.5</v>
      </c>
      <c r="E586" s="12"/>
      <c r="F586" s="225"/>
      <c r="G586" s="226"/>
      <c r="H586" s="226"/>
      <c r="I586" s="227"/>
      <c r="J586" s="14">
        <f>SUM(J541:J585)</f>
        <v>315</v>
      </c>
    </row>
    <row r="589" spans="1:10" ht="15.75" x14ac:dyDescent="0.25">
      <c r="A589" s="213" t="s">
        <v>4816</v>
      </c>
      <c r="B589" s="213"/>
      <c r="C589" s="213"/>
      <c r="D589" s="213"/>
      <c r="E589" s="213"/>
      <c r="F589" s="213"/>
      <c r="G589" s="213"/>
      <c r="H589" s="213"/>
      <c r="I589" s="213"/>
      <c r="J589" s="213"/>
    </row>
    <row r="590" spans="1:10" ht="16.5" thickBot="1" x14ac:dyDescent="0.3">
      <c r="A590" s="214" t="s">
        <v>4843</v>
      </c>
      <c r="B590" s="214"/>
      <c r="C590" s="214"/>
      <c r="D590" s="214"/>
      <c r="E590" s="214"/>
      <c r="F590" s="214"/>
      <c r="G590" s="214"/>
      <c r="H590" s="214"/>
      <c r="I590" s="214"/>
      <c r="J590" s="214"/>
    </row>
    <row r="591" spans="1:10" ht="17.25" thickTop="1" thickBot="1" x14ac:dyDescent="0.3">
      <c r="A591" s="215" t="s">
        <v>4844</v>
      </c>
      <c r="B591" s="215"/>
      <c r="C591" s="215"/>
      <c r="D591" s="215"/>
      <c r="E591" s="215"/>
      <c r="F591" s="215"/>
      <c r="G591" s="215"/>
      <c r="H591" s="215"/>
      <c r="I591" s="215"/>
      <c r="J591" s="215"/>
    </row>
    <row r="592" spans="1:10" ht="19.5" customHeight="1" x14ac:dyDescent="0.25">
      <c r="A592" s="19" t="s">
        <v>4846</v>
      </c>
      <c r="B592" s="216" t="s">
        <v>1</v>
      </c>
      <c r="C592" s="221" t="s">
        <v>2</v>
      </c>
      <c r="D592" s="223" t="s">
        <v>4847</v>
      </c>
      <c r="E592" s="20" t="s">
        <v>4848</v>
      </c>
      <c r="F592" s="216" t="s">
        <v>3</v>
      </c>
      <c r="G592" s="216" t="s">
        <v>4</v>
      </c>
      <c r="H592" s="216" t="s">
        <v>5</v>
      </c>
      <c r="I592" s="216" t="s">
        <v>6</v>
      </c>
      <c r="J592" s="218" t="s">
        <v>4849</v>
      </c>
    </row>
    <row r="593" spans="1:10" ht="19.5" customHeight="1" thickBot="1" x14ac:dyDescent="0.3">
      <c r="A593" s="21" t="s">
        <v>4850</v>
      </c>
      <c r="B593" s="217"/>
      <c r="C593" s="222"/>
      <c r="D593" s="224"/>
      <c r="E593" s="161" t="s">
        <v>4851</v>
      </c>
      <c r="F593" s="217"/>
      <c r="G593" s="217"/>
      <c r="H593" s="217"/>
      <c r="I593" s="217"/>
      <c r="J593" s="219"/>
    </row>
    <row r="594" spans="1:10" ht="15.75" x14ac:dyDescent="0.25">
      <c r="A594" s="24">
        <f>CADASTROS!$B$497</f>
        <v>495</v>
      </c>
      <c r="B594" s="15" t="str">
        <f>CADASTROS!$C$497</f>
        <v>Givaneide Cortes de Oliveira</v>
      </c>
      <c r="C594" s="25"/>
      <c r="D594" s="25">
        <f>PLANILHA_COLHEITA_DIÁRIA!$I$800</f>
        <v>0</v>
      </c>
      <c r="E594" s="17">
        <v>6</v>
      </c>
      <c r="F594" s="26" t="str">
        <f>CADASTROS!$E$497</f>
        <v>Cx. Econômica</v>
      </c>
      <c r="G594" s="24">
        <f>CADASTROS!$F$497</f>
        <v>949</v>
      </c>
      <c r="H594" s="26">
        <f>CADASTROS!$G$497</f>
        <v>23</v>
      </c>
      <c r="I594" s="16" t="str">
        <f>CADASTROS!$H$497</f>
        <v>00007239-6</v>
      </c>
      <c r="J594" s="18">
        <f t="shared" ref="J594:J638" si="25">D594*E594</f>
        <v>0</v>
      </c>
    </row>
    <row r="595" spans="1:10" ht="15.75" x14ac:dyDescent="0.25">
      <c r="A595" s="24">
        <f>CADASTROS!$B$498</f>
        <v>496</v>
      </c>
      <c r="B595" s="15" t="str">
        <f>CADASTROS!$C$498</f>
        <v>Maria Aparecida Sousa</v>
      </c>
      <c r="C595" s="25"/>
      <c r="D595" s="25">
        <f>PLANILHA_COLHEITA_DIÁRIA!$I$801</f>
        <v>0</v>
      </c>
      <c r="E595" s="17">
        <v>6</v>
      </c>
      <c r="F595" s="26" t="str">
        <f>CADASTROS!$E$498</f>
        <v>Banco do Brasil</v>
      </c>
      <c r="G595" s="24" t="str">
        <f>CADASTROS!$F$498</f>
        <v>2760-X</v>
      </c>
      <c r="H595" s="26" t="str">
        <f>CADASTROS!$G$498</f>
        <v>poup</v>
      </c>
      <c r="I595" s="16" t="str">
        <f>CADASTROS!$H$498</f>
        <v>15.818-6</v>
      </c>
      <c r="J595" s="18">
        <f t="shared" si="25"/>
        <v>0</v>
      </c>
    </row>
    <row r="596" spans="1:10" ht="15.75" x14ac:dyDescent="0.25">
      <c r="A596" s="24">
        <f>CADASTROS!$B$499</f>
        <v>497</v>
      </c>
      <c r="B596" s="15" t="str">
        <f>CADASTROS!$C$499</f>
        <v>Aline Damasceno Silva</v>
      </c>
      <c r="C596" s="25"/>
      <c r="D596" s="35">
        <f>PLANILHA_COLHEITA_DIÁRIA!$I$802</f>
        <v>0</v>
      </c>
      <c r="E596" s="17">
        <v>6</v>
      </c>
      <c r="F596" s="26" t="str">
        <f>CADASTROS!$E$499</f>
        <v>Cx. Econômica</v>
      </c>
      <c r="G596" s="24">
        <f>CADASTROS!$F$499</f>
        <v>949</v>
      </c>
      <c r="H596" s="26">
        <f>CADASTROS!$G$499</f>
        <v>13</v>
      </c>
      <c r="I596" s="16" t="str">
        <f>CADASTROS!$H$499</f>
        <v>00033489-0</v>
      </c>
      <c r="J596" s="18">
        <f t="shared" si="25"/>
        <v>0</v>
      </c>
    </row>
    <row r="597" spans="1:10" ht="15.75" x14ac:dyDescent="0.25">
      <c r="A597" s="24">
        <f>CADASTROS!$B$500</f>
        <v>498</v>
      </c>
      <c r="B597" s="15" t="str">
        <f>CADASTROS!$C$500</f>
        <v>Rodrigo Santos Machado</v>
      </c>
      <c r="C597" s="25"/>
      <c r="D597" s="35">
        <f>PLANILHA_COLHEITA_DIÁRIA!$I$803</f>
        <v>0</v>
      </c>
      <c r="E597" s="17">
        <v>6</v>
      </c>
      <c r="F597" s="26" t="str">
        <f>CADASTROS!$E$500</f>
        <v>Cx. Econômica</v>
      </c>
      <c r="G597" s="24">
        <f>CADASTROS!$F$500</f>
        <v>3419</v>
      </c>
      <c r="H597" s="26">
        <f>CADASTROS!$G$500</f>
        <v>13</v>
      </c>
      <c r="I597" s="16" t="str">
        <f>CADASTROS!$H$500</f>
        <v>00016051-0</v>
      </c>
      <c r="J597" s="18">
        <f t="shared" si="25"/>
        <v>0</v>
      </c>
    </row>
    <row r="598" spans="1:10" ht="15.75" x14ac:dyDescent="0.25">
      <c r="A598" s="24">
        <f>CADASTROS!$B$501</f>
        <v>499</v>
      </c>
      <c r="B598" s="15" t="str">
        <f>CADASTROS!$C$501</f>
        <v>Janileide Oliveira Silva</v>
      </c>
      <c r="C598" s="25"/>
      <c r="D598" s="35">
        <f>PLANILHA_COLHEITA_DIÁRIA!$I$804</f>
        <v>0</v>
      </c>
      <c r="E598" s="17">
        <v>6</v>
      </c>
      <c r="F598" s="26" t="str">
        <f>CADASTROS!$E$501</f>
        <v>Cx. Econômica</v>
      </c>
      <c r="G598" s="24">
        <f>CADASTROS!$F$501</f>
        <v>4818</v>
      </c>
      <c r="H598" s="26">
        <f>CADASTROS!$G$501</f>
        <v>13</v>
      </c>
      <c r="I598" s="16" t="str">
        <f>CADASTROS!$H$501</f>
        <v>00005824-6</v>
      </c>
      <c r="J598" s="18">
        <f t="shared" si="25"/>
        <v>0</v>
      </c>
    </row>
    <row r="599" spans="1:10" ht="15.75" x14ac:dyDescent="0.25">
      <c r="A599" s="24">
        <f>CADASTROS!$B$502</f>
        <v>500</v>
      </c>
      <c r="B599" s="15" t="str">
        <f>CADASTROS!$C$502</f>
        <v>Eduelton Pires Santos</v>
      </c>
      <c r="C599" s="25"/>
      <c r="D599" s="35">
        <f>PLANILHA_COLHEITA_DIÁRIA!$I$805</f>
        <v>0</v>
      </c>
      <c r="E599" s="17">
        <v>6</v>
      </c>
      <c r="F599" s="26" t="str">
        <f>CADASTROS!$E$502</f>
        <v>Sincoob</v>
      </c>
      <c r="G599" s="24">
        <f>CADASTROS!$F$502</f>
        <v>3025</v>
      </c>
      <c r="H599" s="26">
        <f>CADASTROS!$G$502</f>
        <v>0</v>
      </c>
      <c r="I599" s="16">
        <f>CADASTROS!$H$502</f>
        <v>1019880</v>
      </c>
      <c r="J599" s="18">
        <f t="shared" si="25"/>
        <v>0</v>
      </c>
    </row>
    <row r="600" spans="1:10" ht="15.75" x14ac:dyDescent="0.25">
      <c r="A600" s="24">
        <f>CADASTROS!$B$503</f>
        <v>501</v>
      </c>
      <c r="B600" s="15" t="str">
        <f>CADASTROS!$C$503</f>
        <v>Jeane Paixão da Silva</v>
      </c>
      <c r="C600" s="25"/>
      <c r="D600" s="35">
        <f>PLANILHA_COLHEITA_DIÁRIA!$I$806</f>
        <v>0</v>
      </c>
      <c r="E600" s="17">
        <v>6</v>
      </c>
      <c r="F600" s="26" t="str">
        <f>CADASTROS!$E$503</f>
        <v>Cx. Econômica</v>
      </c>
      <c r="G600" s="24">
        <f>CADASTROS!$F$503</f>
        <v>4818</v>
      </c>
      <c r="H600" s="26">
        <f>CADASTROS!$G$503</f>
        <v>13</v>
      </c>
      <c r="I600" s="16" t="str">
        <f>CADASTROS!$H$503</f>
        <v>00009393-9</v>
      </c>
      <c r="J600" s="18">
        <f t="shared" si="25"/>
        <v>0</v>
      </c>
    </row>
    <row r="601" spans="1:10" ht="15.75" x14ac:dyDescent="0.25">
      <c r="A601" s="24">
        <f>CADASTROS!$B$504</f>
        <v>502</v>
      </c>
      <c r="B601" s="15" t="str">
        <f>CADASTROS!$C$504</f>
        <v>Leandro Ferreira Salvador</v>
      </c>
      <c r="C601" s="25"/>
      <c r="D601" s="35">
        <f>PLANILHA_COLHEITA_DIÁRIA!$I$807</f>
        <v>0</v>
      </c>
      <c r="E601" s="17">
        <v>6</v>
      </c>
      <c r="F601" s="26" t="str">
        <f>CADASTROS!$E$504</f>
        <v>Cx. Econômica</v>
      </c>
      <c r="G601" s="24">
        <f>CADASTROS!$F$504</f>
        <v>4818</v>
      </c>
      <c r="H601" s="26">
        <f>CADASTROS!$G$504</f>
        <v>13</v>
      </c>
      <c r="I601" s="16" t="str">
        <f>CADASTROS!$H$504</f>
        <v>00006205-7</v>
      </c>
      <c r="J601" s="18">
        <f t="shared" si="25"/>
        <v>0</v>
      </c>
    </row>
    <row r="602" spans="1:10" ht="15.75" x14ac:dyDescent="0.25">
      <c r="A602" s="24">
        <f>CADASTROS!$B$505</f>
        <v>503</v>
      </c>
      <c r="B602" s="15" t="str">
        <f>CADASTROS!$C$505</f>
        <v>João Batista Conceição de Jesus</v>
      </c>
      <c r="C602" s="25"/>
      <c r="D602" s="35">
        <f>PLANILHA_COLHEITA_DIÁRIA!$I$808</f>
        <v>0</v>
      </c>
      <c r="E602" s="17">
        <v>6</v>
      </c>
      <c r="F602" s="26" t="str">
        <f>CADASTROS!$E$505</f>
        <v>Cx. Econômica</v>
      </c>
      <c r="G602" s="24">
        <f>CADASTROS!$F$505</f>
        <v>4818</v>
      </c>
      <c r="H602" s="26">
        <f>CADASTROS!$G$505</f>
        <v>23</v>
      </c>
      <c r="I602" s="16" t="str">
        <f>CADASTROS!$H$505</f>
        <v>00000968-4</v>
      </c>
      <c r="J602" s="18">
        <f t="shared" si="25"/>
        <v>0</v>
      </c>
    </row>
    <row r="603" spans="1:10" ht="15.75" x14ac:dyDescent="0.25">
      <c r="A603" s="24">
        <f>CADASTROS!$B$506</f>
        <v>504</v>
      </c>
      <c r="B603" s="15" t="str">
        <f>CADASTROS!$C$506</f>
        <v>Ana Maria Souza Ferreira</v>
      </c>
      <c r="C603" s="25"/>
      <c r="D603" s="35">
        <f>PLANILHA_COLHEITA_DIÁRIA!$I$825</f>
        <v>0</v>
      </c>
      <c r="E603" s="17">
        <v>6</v>
      </c>
      <c r="F603" s="26" t="str">
        <f>CADASTROS!$E$506</f>
        <v>Cx. Econômica</v>
      </c>
      <c r="G603" s="24">
        <f>CADASTROS!$F$506</f>
        <v>4818</v>
      </c>
      <c r="H603" s="26">
        <f>CADASTROS!$G$506</f>
        <v>13</v>
      </c>
      <c r="I603" s="16" t="str">
        <f>CADASTROS!$H$506</f>
        <v>00008274-0</v>
      </c>
      <c r="J603" s="18">
        <f t="shared" si="25"/>
        <v>0</v>
      </c>
    </row>
    <row r="604" spans="1:10" ht="15.75" x14ac:dyDescent="0.25">
      <c r="A604" s="24">
        <f>CADASTROS!$B$507</f>
        <v>505</v>
      </c>
      <c r="B604" s="15" t="str">
        <f>CADASTROS!$C$507</f>
        <v>Eliene Cesar dos Santos</v>
      </c>
      <c r="C604" s="25"/>
      <c r="D604" s="35">
        <f>PLANILHA_COLHEITA_DIÁRIA!$I$826</f>
        <v>0</v>
      </c>
      <c r="E604" s="17">
        <v>6</v>
      </c>
      <c r="F604" s="26" t="str">
        <f>CADASTROS!$E$507</f>
        <v>Cx. Econômica</v>
      </c>
      <c r="G604" s="24">
        <f>CADASTROS!$F$507</f>
        <v>949</v>
      </c>
      <c r="H604" s="26">
        <f>CADASTROS!$G$507</f>
        <v>1288</v>
      </c>
      <c r="I604" s="16" t="str">
        <f>CADASTROS!$H$507</f>
        <v>875882167-6</v>
      </c>
      <c r="J604" s="18">
        <f t="shared" si="25"/>
        <v>0</v>
      </c>
    </row>
    <row r="605" spans="1:10" ht="15.75" x14ac:dyDescent="0.25">
      <c r="A605" s="24">
        <f>CADASTROS!$B$508</f>
        <v>506</v>
      </c>
      <c r="B605" s="15" t="str">
        <f>CADASTROS!$C$508</f>
        <v>Josinei Sousa Silva</v>
      </c>
      <c r="C605" s="25"/>
      <c r="D605" s="35">
        <f>PLANILHA_COLHEITA_DIÁRIA!$I$827</f>
        <v>0</v>
      </c>
      <c r="E605" s="17">
        <v>6</v>
      </c>
      <c r="F605" s="26" t="str">
        <f>CADASTROS!$E$508</f>
        <v>Cx. Econômica</v>
      </c>
      <c r="G605" s="24">
        <f>CADASTROS!$F$508</f>
        <v>4818</v>
      </c>
      <c r="H605" s="26">
        <f>CADASTROS!$G$508</f>
        <v>13</v>
      </c>
      <c r="I605" s="16" t="str">
        <f>CADASTROS!$H$508</f>
        <v>00005636-7</v>
      </c>
      <c r="J605" s="18">
        <f t="shared" si="25"/>
        <v>0</v>
      </c>
    </row>
    <row r="606" spans="1:10" ht="15.75" x14ac:dyDescent="0.25">
      <c r="A606" s="24">
        <f>CADASTROS!$B$509</f>
        <v>507</v>
      </c>
      <c r="B606" s="15" t="str">
        <f>CADASTROS!$C$509</f>
        <v>Patrícia Alves de França Vieira</v>
      </c>
      <c r="C606" s="25"/>
      <c r="D606" s="35">
        <f>PLANILHA_COLHEITA_DIÁRIA!$I$828</f>
        <v>0</v>
      </c>
      <c r="E606" s="17">
        <v>6</v>
      </c>
      <c r="F606" s="26" t="str">
        <f>CADASTROS!$E$509</f>
        <v>Cx. Econômica</v>
      </c>
      <c r="G606" s="24">
        <f>CADASTROS!$F$509</f>
        <v>4818</v>
      </c>
      <c r="H606" s="26">
        <f>CADASTROS!$G$509</f>
        <v>13</v>
      </c>
      <c r="I606" s="16" t="str">
        <f>CADASTROS!$H$509</f>
        <v>00007619-8</v>
      </c>
      <c r="J606" s="18">
        <f t="shared" si="25"/>
        <v>0</v>
      </c>
    </row>
    <row r="607" spans="1:10" ht="15.75" x14ac:dyDescent="0.25">
      <c r="A607" s="24">
        <f>CADASTROS!$B$510</f>
        <v>508</v>
      </c>
      <c r="B607" s="15" t="str">
        <f>CADASTROS!$C$510</f>
        <v>Jorge Elcivan Filho</v>
      </c>
      <c r="C607" s="25"/>
      <c r="D607" s="35">
        <f>PLANILHA_COLHEITA_DIÁRIA!$I$829</f>
        <v>0</v>
      </c>
      <c r="E607" s="17">
        <v>6</v>
      </c>
      <c r="F607" s="26" t="str">
        <f>CADASTROS!$E$510</f>
        <v>Cx. Econômica</v>
      </c>
      <c r="G607" s="24">
        <f>CADASTROS!$F$510</f>
        <v>949</v>
      </c>
      <c r="H607" s="26">
        <f>CADASTROS!$G$510</f>
        <v>13</v>
      </c>
      <c r="I607" s="16" t="str">
        <f>CADASTROS!$H$510</f>
        <v>00017633-0</v>
      </c>
      <c r="J607" s="18">
        <f t="shared" si="25"/>
        <v>0</v>
      </c>
    </row>
    <row r="608" spans="1:10" ht="15.75" x14ac:dyDescent="0.25">
      <c r="A608" s="24">
        <f>CADASTROS!$B$511</f>
        <v>509</v>
      </c>
      <c r="B608" s="15" t="str">
        <f>CADASTROS!$C$511</f>
        <v>Vilma Damasceno Silva</v>
      </c>
      <c r="C608" s="25"/>
      <c r="D608" s="35">
        <f>PLANILHA_COLHEITA_DIÁRIA!$I$830</f>
        <v>0</v>
      </c>
      <c r="E608" s="17">
        <v>6</v>
      </c>
      <c r="F608" s="26" t="str">
        <f>CADASTROS!$E$511</f>
        <v>Cx. Econômica</v>
      </c>
      <c r="G608" s="24">
        <f>CADASTROS!$F$511</f>
        <v>949</v>
      </c>
      <c r="H608" s="26">
        <f>CADASTROS!$G$511</f>
        <v>23</v>
      </c>
      <c r="I608" s="16" t="str">
        <f>CADASTROS!$H$511</f>
        <v>00021783-1</v>
      </c>
      <c r="J608" s="18">
        <f t="shared" si="25"/>
        <v>0</v>
      </c>
    </row>
    <row r="609" spans="1:10" ht="15.75" x14ac:dyDescent="0.25">
      <c r="A609" s="24">
        <f>CADASTROS!$B$512</f>
        <v>510</v>
      </c>
      <c r="B609" s="15" t="str">
        <f>CADASTROS!$C$512</f>
        <v>Ivanilda Conceição Leite</v>
      </c>
      <c r="C609" s="25"/>
      <c r="D609" s="35">
        <f>PLANILHA_COLHEITA_DIÁRIA!$I$831</f>
        <v>0</v>
      </c>
      <c r="E609" s="17">
        <v>6</v>
      </c>
      <c r="F609" s="26" t="str">
        <f>CADASTROS!$E$512</f>
        <v>Cx. Econômica</v>
      </c>
      <c r="G609" s="24">
        <f>CADASTROS!$F$512</f>
        <v>949</v>
      </c>
      <c r="H609" s="26">
        <f>CADASTROS!$G$512</f>
        <v>23</v>
      </c>
      <c r="I609" s="16" t="str">
        <f>CADASTROS!$H$512</f>
        <v>00022081-6</v>
      </c>
      <c r="J609" s="18">
        <f t="shared" si="25"/>
        <v>0</v>
      </c>
    </row>
    <row r="610" spans="1:10" ht="15.75" x14ac:dyDescent="0.25">
      <c r="A610" s="24">
        <f>CADASTROS!$B$513</f>
        <v>511</v>
      </c>
      <c r="B610" s="15" t="str">
        <f>CADASTROS!$C$513</f>
        <v>Samuel Monteiro da Cruz</v>
      </c>
      <c r="C610" s="25"/>
      <c r="D610" s="35">
        <f>PLANILHA_COLHEITA_DIÁRIA!$I$832</f>
        <v>0</v>
      </c>
      <c r="E610" s="17">
        <v>6</v>
      </c>
      <c r="F610" s="26" t="str">
        <f>CADASTROS!$E$513</f>
        <v>Cx. Econômica</v>
      </c>
      <c r="G610" s="24">
        <f>CADASTROS!$F$513</f>
        <v>4818</v>
      </c>
      <c r="H610" s="26">
        <f>CADASTROS!$G$513</f>
        <v>13</v>
      </c>
      <c r="I610" s="16" t="str">
        <f>CADASTROS!$H$513</f>
        <v>00007273-7</v>
      </c>
      <c r="J610" s="18">
        <f t="shared" si="25"/>
        <v>0</v>
      </c>
    </row>
    <row r="611" spans="1:10" ht="15.75" x14ac:dyDescent="0.25">
      <c r="A611" s="24">
        <f>CADASTROS!$B$514</f>
        <v>512</v>
      </c>
      <c r="B611" s="15" t="str">
        <f>CADASTROS!$C$514</f>
        <v>Girlande Sampaio dos Santos</v>
      </c>
      <c r="C611" s="25"/>
      <c r="D611" s="52">
        <f>PLANILHA_COLHEITA_DIÁRIA!$I$833</f>
        <v>0</v>
      </c>
      <c r="E611" s="17">
        <v>6</v>
      </c>
      <c r="F611" s="26" t="str">
        <f>CADASTROS!$E$514</f>
        <v>Cx. Econômica</v>
      </c>
      <c r="G611" s="24">
        <f>CADASTROS!$F$514</f>
        <v>4818</v>
      </c>
      <c r="H611" s="26">
        <f>CADASTROS!$G$514</f>
        <v>13</v>
      </c>
      <c r="I611" s="16" t="str">
        <f>CADASTROS!$H$514</f>
        <v>00007272-9</v>
      </c>
      <c r="J611" s="18">
        <f t="shared" si="25"/>
        <v>0</v>
      </c>
    </row>
    <row r="612" spans="1:10" ht="15.75" x14ac:dyDescent="0.25">
      <c r="A612" s="24">
        <f>CADASTROS!$B$515</f>
        <v>513</v>
      </c>
      <c r="B612" s="15" t="str">
        <f>CADASTROS!$C$515</f>
        <v>Gessirlande Silva de Oliveira</v>
      </c>
      <c r="C612" s="25"/>
      <c r="D612" s="35">
        <f>PLANILHA_COLHEITA_DIÁRIA!$I$834</f>
        <v>0</v>
      </c>
      <c r="E612" s="17">
        <v>6</v>
      </c>
      <c r="F612" s="26" t="str">
        <f>CADASTROS!$E$515</f>
        <v>Cx. Econômica</v>
      </c>
      <c r="G612" s="24">
        <f>CADASTROS!$F$515</f>
        <v>4818</v>
      </c>
      <c r="H612" s="26">
        <f>CADASTROS!$G$515</f>
        <v>13</v>
      </c>
      <c r="I612" s="16" t="str">
        <f>CADASTROS!$H$515</f>
        <v>00006396-7</v>
      </c>
      <c r="J612" s="18">
        <f t="shared" si="25"/>
        <v>0</v>
      </c>
    </row>
    <row r="613" spans="1:10" ht="15.75" x14ac:dyDescent="0.25">
      <c r="A613" s="24">
        <f>CADASTROS!$B$516</f>
        <v>514</v>
      </c>
      <c r="B613" s="15" t="str">
        <f>CADASTROS!$C$516</f>
        <v>Lucas Moraes de Souza</v>
      </c>
      <c r="C613" s="25"/>
      <c r="D613" s="35">
        <f>PLANILHA_COLHEITA_DIÁRIA!$I$835</f>
        <v>0</v>
      </c>
      <c r="E613" s="17">
        <v>6</v>
      </c>
      <c r="F613" s="26" t="str">
        <f>CADASTROS!$E$516</f>
        <v>Cx. Econômica</v>
      </c>
      <c r="G613" s="24">
        <f>CADASTROS!$F$516</f>
        <v>4818</v>
      </c>
      <c r="H613" s="26">
        <f>CADASTROS!$G$516</f>
        <v>23</v>
      </c>
      <c r="I613" s="16" t="str">
        <f>CADASTROS!$H$516</f>
        <v>00000657-0</v>
      </c>
      <c r="J613" s="18">
        <f t="shared" si="25"/>
        <v>0</v>
      </c>
    </row>
    <row r="614" spans="1:10" ht="15.75" x14ac:dyDescent="0.25">
      <c r="A614" s="24">
        <f>CADASTROS!$B$517</f>
        <v>515</v>
      </c>
      <c r="B614" s="15" t="str">
        <f>CADASTROS!$C$517</f>
        <v>Dirlene de Arruda Santos</v>
      </c>
      <c r="C614" s="25"/>
      <c r="D614" s="35">
        <f>PLANILHA_COLHEITA_DIÁRIA!$I$836</f>
        <v>0</v>
      </c>
      <c r="E614" s="17">
        <v>6</v>
      </c>
      <c r="F614" s="26" t="str">
        <f>CADASTROS!$E$517</f>
        <v>Cx. Econômica</v>
      </c>
      <c r="G614" s="24">
        <f>CADASTROS!$F$517</f>
        <v>4818</v>
      </c>
      <c r="H614" s="26">
        <f>CADASTROS!$G$517</f>
        <v>13</v>
      </c>
      <c r="I614" s="16" t="str">
        <f>CADASTROS!$H$517</f>
        <v>00004743-0</v>
      </c>
      <c r="J614" s="18">
        <f t="shared" si="25"/>
        <v>0</v>
      </c>
    </row>
    <row r="615" spans="1:10" ht="15.75" x14ac:dyDescent="0.25">
      <c r="A615" s="24">
        <f>CADASTROS!$B$518</f>
        <v>516</v>
      </c>
      <c r="B615" s="15" t="str">
        <f>CADASTROS!$C$518</f>
        <v>Ueliton Silva</v>
      </c>
      <c r="C615" s="25"/>
      <c r="D615" s="25">
        <f>PLANILHA_COLHEITA_DIÁRIA!$I$837</f>
        <v>0</v>
      </c>
      <c r="E615" s="17">
        <v>6</v>
      </c>
      <c r="F615" s="26" t="str">
        <f>CADASTROS!$E$518</f>
        <v>Sincoob</v>
      </c>
      <c r="G615" s="24">
        <f>CADASTROS!$F$518</f>
        <v>3025</v>
      </c>
      <c r="H615" s="26">
        <f>CADASTROS!$G$518</f>
        <v>0</v>
      </c>
      <c r="I615" s="16">
        <f>CADASTROS!$H$518</f>
        <v>1018604</v>
      </c>
      <c r="J615" s="18">
        <f t="shared" si="25"/>
        <v>0</v>
      </c>
    </row>
    <row r="616" spans="1:10" ht="15.75" x14ac:dyDescent="0.25">
      <c r="A616" s="24">
        <f>CADASTROS!$B$519</f>
        <v>517</v>
      </c>
      <c r="B616" s="15" t="str">
        <f>CADASTROS!$C$519</f>
        <v>Lusinete Oliveira de Sousa</v>
      </c>
      <c r="C616" s="25"/>
      <c r="D616" s="41">
        <f>PLANILHA_COLHEITA_DIÁRIA!$I$838</f>
        <v>0</v>
      </c>
      <c r="E616" s="17">
        <v>6</v>
      </c>
      <c r="F616" s="26" t="str">
        <f>CADASTROS!$E$519</f>
        <v>Banco do Brasil</v>
      </c>
      <c r="G616" s="24" t="str">
        <f>CADASTROS!$F$519</f>
        <v>2760-X</v>
      </c>
      <c r="H616" s="26" t="str">
        <f>CADASTROS!$G$519</f>
        <v>poup</v>
      </c>
      <c r="I616" s="16" t="str">
        <f>CADASTROS!$H$519</f>
        <v>7.366-0</v>
      </c>
      <c r="J616" s="18">
        <f t="shared" si="25"/>
        <v>0</v>
      </c>
    </row>
    <row r="617" spans="1:10" ht="15.75" x14ac:dyDescent="0.25">
      <c r="A617" s="24">
        <f>CADASTROS!$B$520</f>
        <v>518</v>
      </c>
      <c r="B617" s="15" t="str">
        <f>CADASTROS!$C$520</f>
        <v>Gildélia Pires de Souza</v>
      </c>
      <c r="C617" s="25"/>
      <c r="D617" s="25">
        <f>PLANILHA_COLHEITA_DIÁRIA!$I$839</f>
        <v>0</v>
      </c>
      <c r="E617" s="17">
        <v>6</v>
      </c>
      <c r="F617" s="26" t="str">
        <f>CADASTROS!$E$520</f>
        <v>Cx. Econômica</v>
      </c>
      <c r="G617" s="24">
        <f>CADASTROS!$F$520</f>
        <v>4818</v>
      </c>
      <c r="H617" s="26">
        <f>CADASTROS!$G$520</f>
        <v>0</v>
      </c>
      <c r="I617" s="16" t="str">
        <f>CADASTROS!$H$520</f>
        <v>000960431431-4</v>
      </c>
      <c r="J617" s="18">
        <f t="shared" si="25"/>
        <v>0</v>
      </c>
    </row>
    <row r="618" spans="1:10" ht="15.75" x14ac:dyDescent="0.25">
      <c r="A618" s="24">
        <f>CADASTROS!$B$521</f>
        <v>519</v>
      </c>
      <c r="B618" s="15" t="str">
        <f>CADASTROS!$C$521</f>
        <v>Ebilisária de Almeida Silva</v>
      </c>
      <c r="C618" s="25"/>
      <c r="D618" s="25">
        <f>PLANILHA_COLHEITA_DIÁRIA!$I$840</f>
        <v>0</v>
      </c>
      <c r="E618" s="17">
        <v>6</v>
      </c>
      <c r="F618" s="26" t="str">
        <f>CADASTROS!$E$521</f>
        <v>Cx. Econômica</v>
      </c>
      <c r="G618" s="24">
        <f>CADASTROS!$F$521</f>
        <v>4818</v>
      </c>
      <c r="H618" s="26">
        <f>CADASTROS!$G$521</f>
        <v>13</v>
      </c>
      <c r="I618" s="16" t="str">
        <f>CADASTROS!$H$521</f>
        <v>00008324-0</v>
      </c>
      <c r="J618" s="18">
        <f t="shared" si="25"/>
        <v>0</v>
      </c>
    </row>
    <row r="619" spans="1:10" ht="15.75" x14ac:dyDescent="0.25">
      <c r="A619" s="24">
        <f>CADASTROS!$B$522</f>
        <v>520</v>
      </c>
      <c r="B619" s="15" t="str">
        <f>CADASTROS!$C$522</f>
        <v>Fernando Moreira da Silva</v>
      </c>
      <c r="C619" s="25"/>
      <c r="D619" s="25">
        <f>PLANILHA_COLHEITA_DIÁRIA!$I$841</f>
        <v>0</v>
      </c>
      <c r="E619" s="17">
        <v>6</v>
      </c>
      <c r="F619" s="26" t="str">
        <f>CADASTROS!$E$522</f>
        <v>Banco do Brasil</v>
      </c>
      <c r="G619" s="24" t="str">
        <f>CADASTROS!$F$522</f>
        <v>2760-X</v>
      </c>
      <c r="H619" s="26" t="str">
        <f>CADASTROS!$G$522</f>
        <v>poup</v>
      </c>
      <c r="I619" s="16" t="str">
        <f>CADASTROS!$H$522</f>
        <v>15.244-7</v>
      </c>
      <c r="J619" s="18">
        <f t="shared" si="25"/>
        <v>0</v>
      </c>
    </row>
    <row r="620" spans="1:10" ht="15.75" x14ac:dyDescent="0.25">
      <c r="A620" s="24">
        <f>CADASTROS!$B$523</f>
        <v>521</v>
      </c>
      <c r="B620" s="15" t="str">
        <f>CADASTROS!$C$523</f>
        <v>Dhenif Freitas Araújo</v>
      </c>
      <c r="C620" s="25"/>
      <c r="D620" s="25">
        <f>PLANILHA_COLHEITA_DIÁRIA!$I$842</f>
        <v>0</v>
      </c>
      <c r="E620" s="17">
        <v>6</v>
      </c>
      <c r="F620" s="26" t="str">
        <f>CADASTROS!$E$523</f>
        <v>Cx. Econômica</v>
      </c>
      <c r="G620" s="24">
        <f>CADASTROS!$F$523</f>
        <v>4818</v>
      </c>
      <c r="H620" s="26">
        <f>CADASTROS!$G$523</f>
        <v>13</v>
      </c>
      <c r="I620" s="16" t="str">
        <f>CADASTROS!$H$523</f>
        <v>00009876-0</v>
      </c>
      <c r="J620" s="18">
        <f t="shared" si="25"/>
        <v>0</v>
      </c>
    </row>
    <row r="621" spans="1:10" ht="15.75" x14ac:dyDescent="0.25">
      <c r="A621" s="24">
        <f>CADASTROS!$B$524</f>
        <v>522</v>
      </c>
      <c r="B621" s="15" t="str">
        <f>CADASTROS!$C$524</f>
        <v>Ilzete Pereira C Macedo</v>
      </c>
      <c r="C621" s="25"/>
      <c r="D621" s="25">
        <f>PLANILHA_COLHEITA_DIÁRIA!$I$843</f>
        <v>0</v>
      </c>
      <c r="E621" s="17">
        <v>6</v>
      </c>
      <c r="F621" s="26" t="str">
        <f>CADASTROS!$E$524</f>
        <v>Banco do Brasil</v>
      </c>
      <c r="G621" s="24" t="str">
        <f>CADASTROS!$F$524</f>
        <v>2760-X</v>
      </c>
      <c r="H621" s="26" t="str">
        <f>CADASTROS!$G$524</f>
        <v>poup</v>
      </c>
      <c r="I621" s="16" t="str">
        <f>CADASTROS!$H$524</f>
        <v>12.936-4</v>
      </c>
      <c r="J621" s="18">
        <f t="shared" si="25"/>
        <v>0</v>
      </c>
    </row>
    <row r="622" spans="1:10" ht="15.75" x14ac:dyDescent="0.25">
      <c r="A622" s="24">
        <f>CADASTROS!$B$525</f>
        <v>523</v>
      </c>
      <c r="B622" s="15" t="str">
        <f>CADASTROS!$C$525</f>
        <v>Maria de Almeida</v>
      </c>
      <c r="C622" s="25"/>
      <c r="D622" s="25">
        <f>PLANILHA_COLHEITA_DIÁRIA!$I$844</f>
        <v>0</v>
      </c>
      <c r="E622" s="17">
        <v>6</v>
      </c>
      <c r="F622" s="26" t="str">
        <f>CADASTROS!$E$525</f>
        <v>Cx. Econômica</v>
      </c>
      <c r="G622" s="24">
        <f>CADASTROS!$F$525</f>
        <v>949</v>
      </c>
      <c r="H622" s="26">
        <f>CADASTROS!$G$525</f>
        <v>23</v>
      </c>
      <c r="I622" s="16" t="str">
        <f>CADASTROS!$H$525</f>
        <v>00024202-0</v>
      </c>
      <c r="J622" s="18">
        <f t="shared" si="25"/>
        <v>0</v>
      </c>
    </row>
    <row r="623" spans="1:10" ht="15.75" x14ac:dyDescent="0.25">
      <c r="A623" s="24">
        <f>CADASTROS!$B$526</f>
        <v>524</v>
      </c>
      <c r="B623" s="15" t="str">
        <f>CADASTROS!$C$526</f>
        <v>Maria Fonseca de Oliveira</v>
      </c>
      <c r="C623" s="25"/>
      <c r="D623" s="25">
        <f>PLANILHA_COLHEITA_DIÁRIA!$I$845</f>
        <v>12</v>
      </c>
      <c r="E623" s="17">
        <v>6</v>
      </c>
      <c r="F623" s="26" t="str">
        <f>CADASTROS!$E$526</f>
        <v>Cx. Econômica</v>
      </c>
      <c r="G623" s="24">
        <f>CADASTROS!$F$526</f>
        <v>780</v>
      </c>
      <c r="H623" s="26">
        <f>CADASTROS!$G$526</f>
        <v>13</v>
      </c>
      <c r="I623" s="16" t="str">
        <f>CADASTROS!$H$526</f>
        <v>00014508-8</v>
      </c>
      <c r="J623" s="18">
        <f t="shared" si="25"/>
        <v>72</v>
      </c>
    </row>
    <row r="624" spans="1:10" ht="15.75" x14ac:dyDescent="0.25">
      <c r="A624" s="24">
        <f>CADASTROS!$B$527</f>
        <v>525</v>
      </c>
      <c r="B624" s="15" t="str">
        <f>CADASTROS!$C$527</f>
        <v>Edson Andrade dos Santos</v>
      </c>
      <c r="C624" s="25"/>
      <c r="D624" s="25">
        <f>PLANILHA_COLHEITA_DIÁRIA!$I$846</f>
        <v>0</v>
      </c>
      <c r="E624" s="17">
        <v>6</v>
      </c>
      <c r="F624" s="26" t="str">
        <f>CADASTROS!$E$527</f>
        <v>Cx. Econômica</v>
      </c>
      <c r="G624" s="24">
        <f>CADASTROS!$F$527</f>
        <v>780</v>
      </c>
      <c r="H624" s="26">
        <f>CADASTROS!$G$527</f>
        <v>13</v>
      </c>
      <c r="I624" s="16" t="str">
        <f>CADASTROS!$H$527</f>
        <v>00067764-0</v>
      </c>
      <c r="J624" s="18">
        <f t="shared" si="25"/>
        <v>0</v>
      </c>
    </row>
    <row r="625" spans="1:10" ht="15.75" x14ac:dyDescent="0.25">
      <c r="A625" s="24">
        <f>CADASTROS!$B$528</f>
        <v>526</v>
      </c>
      <c r="B625" s="15" t="str">
        <f>CADASTROS!$C$528</f>
        <v>Adriana Souza dos Anjos</v>
      </c>
      <c r="C625" s="25"/>
      <c r="D625" s="41">
        <f>PLANILHA_COLHEITA_DIÁRIA!$I$847</f>
        <v>0</v>
      </c>
      <c r="E625" s="17">
        <v>6</v>
      </c>
      <c r="F625" s="26" t="str">
        <f>CADASTROS!$E$528</f>
        <v>Cx. Econômica</v>
      </c>
      <c r="G625" s="24">
        <f>CADASTROS!$F$528</f>
        <v>4825</v>
      </c>
      <c r="H625" s="26">
        <f>CADASTROS!$G$528</f>
        <v>13</v>
      </c>
      <c r="I625" s="16" t="str">
        <f>CADASTROS!$H$528</f>
        <v>00001824-2</v>
      </c>
      <c r="J625" s="18">
        <f t="shared" si="25"/>
        <v>0</v>
      </c>
    </row>
    <row r="626" spans="1:10" ht="15.75" x14ac:dyDescent="0.25">
      <c r="A626" s="24">
        <f>CADASTROS!$B$529</f>
        <v>527</v>
      </c>
      <c r="B626" s="15" t="str">
        <f>CADASTROS!$C$529</f>
        <v>Jaime Aguida de Souza</v>
      </c>
      <c r="C626" s="25"/>
      <c r="D626" s="25">
        <f>PLANILHA_COLHEITA_DIÁRIA!$I$848</f>
        <v>0</v>
      </c>
      <c r="E626" s="17">
        <v>6</v>
      </c>
      <c r="F626" s="26" t="str">
        <f>CADASTROS!$E$529</f>
        <v>Cx. Econômica</v>
      </c>
      <c r="G626" s="24">
        <f>CADASTROS!$F$529</f>
        <v>4825</v>
      </c>
      <c r="H626" s="26">
        <f>CADASTROS!$G$529</f>
        <v>1288</v>
      </c>
      <c r="I626" s="16" t="str">
        <f>CADASTROS!$H$529</f>
        <v>737742476-2</v>
      </c>
      <c r="J626" s="18">
        <f t="shared" si="25"/>
        <v>0</v>
      </c>
    </row>
    <row r="627" spans="1:10" ht="15.75" x14ac:dyDescent="0.25">
      <c r="A627" s="24">
        <f>CADASTROS!$B$530</f>
        <v>528</v>
      </c>
      <c r="B627" s="15" t="str">
        <f>CADASTROS!$C$530</f>
        <v>Joselito Lima de Souza</v>
      </c>
      <c r="C627" s="25"/>
      <c r="D627" s="35">
        <f>PLANILHA_COLHEITA_DIÁRIA!$I$849</f>
        <v>0</v>
      </c>
      <c r="E627" s="17">
        <v>6</v>
      </c>
      <c r="F627" s="26" t="str">
        <f>CADASTROS!$E$530</f>
        <v>Bradesco</v>
      </c>
      <c r="G627" s="24" t="str">
        <f>CADASTROS!$F$530</f>
        <v>3516-5</v>
      </c>
      <c r="H627" s="26" t="str">
        <f>CADASTROS!$G$530</f>
        <v>c/corr</v>
      </c>
      <c r="I627" s="16" t="str">
        <f>CADASTROS!$H$530</f>
        <v>0062207-9</v>
      </c>
      <c r="J627" s="18">
        <f t="shared" si="25"/>
        <v>0</v>
      </c>
    </row>
    <row r="628" spans="1:10" ht="15.75" x14ac:dyDescent="0.25">
      <c r="A628" s="24">
        <f>CADASTROS!$B$531</f>
        <v>529</v>
      </c>
      <c r="B628" s="15" t="str">
        <f>CADASTROS!$C$531</f>
        <v>Vanuza Martins Pereira</v>
      </c>
      <c r="C628" s="25"/>
      <c r="D628" s="35">
        <f>PLANILHA_COLHEITA_DIÁRIA!$I$850</f>
        <v>0</v>
      </c>
      <c r="E628" s="17">
        <v>6</v>
      </c>
      <c r="F628" s="26" t="str">
        <f>CADASTROS!$E$531</f>
        <v>Cx. Econômica</v>
      </c>
      <c r="G628" s="24">
        <f>CADASTROS!$F$531</f>
        <v>4825</v>
      </c>
      <c r="H628" s="26">
        <f>CADASTROS!$G$531</f>
        <v>1288</v>
      </c>
      <c r="I628" s="16" t="str">
        <f>CADASTROS!$H$531</f>
        <v>851819096-5</v>
      </c>
      <c r="J628" s="18">
        <f t="shared" si="25"/>
        <v>0</v>
      </c>
    </row>
    <row r="629" spans="1:10" ht="15.75" x14ac:dyDescent="0.25">
      <c r="A629" s="24">
        <f>CADASTROS!$B$532</f>
        <v>530</v>
      </c>
      <c r="B629" s="15" t="str">
        <f>CADASTROS!$C$532</f>
        <v>Maria das Graças Pereira Moreira</v>
      </c>
      <c r="C629" s="25"/>
      <c r="D629" s="35">
        <f>PLANILHA_COLHEITA_DIÁRIA!$I$851</f>
        <v>0</v>
      </c>
      <c r="E629" s="17">
        <v>6</v>
      </c>
      <c r="F629" s="26" t="str">
        <f>CADASTROS!$E$532</f>
        <v>Cx. Econômica</v>
      </c>
      <c r="G629" s="24">
        <f>CADASTROS!$F$532</f>
        <v>949</v>
      </c>
      <c r="H629" s="26">
        <f>CADASTROS!$G$532</f>
        <v>13</v>
      </c>
      <c r="I629" s="16" t="str">
        <f>CADASTROS!$H$532</f>
        <v>00017775-1</v>
      </c>
      <c r="J629" s="18">
        <f t="shared" si="25"/>
        <v>0</v>
      </c>
    </row>
    <row r="630" spans="1:10" ht="15.75" x14ac:dyDescent="0.25">
      <c r="A630" s="24">
        <f>CADASTROS!$B$533</f>
        <v>531</v>
      </c>
      <c r="B630" s="15" t="str">
        <f>CADASTROS!$C$533</f>
        <v>Adailton Barbosa dos Santos</v>
      </c>
      <c r="C630" s="25"/>
      <c r="D630" s="35">
        <f>PLANILHA_COLHEITA_DIÁRIA!$I$868</f>
        <v>0</v>
      </c>
      <c r="E630" s="17">
        <v>6</v>
      </c>
      <c r="F630" s="26" t="str">
        <f>CADASTROS!$E$533</f>
        <v>Cx. Econômica</v>
      </c>
      <c r="G630" s="24">
        <f>CADASTROS!$F$533</f>
        <v>614</v>
      </c>
      <c r="H630" s="26">
        <f>CADASTROS!$G$533</f>
        <v>13</v>
      </c>
      <c r="I630" s="16" t="str">
        <f>CADASTROS!$H$533</f>
        <v>00073797-6</v>
      </c>
      <c r="J630" s="18">
        <f t="shared" si="25"/>
        <v>0</v>
      </c>
    </row>
    <row r="631" spans="1:10" ht="15.75" x14ac:dyDescent="0.25">
      <c r="A631" s="24">
        <f>CADASTROS!$B$534</f>
        <v>532</v>
      </c>
      <c r="B631" s="15" t="str">
        <f>CADASTROS!$C$534</f>
        <v>Carlinho Pereira dos Santos</v>
      </c>
      <c r="C631" s="25"/>
      <c r="D631" s="35">
        <f>PLANILHA_COLHEITA_DIÁRIA!$I$869</f>
        <v>0</v>
      </c>
      <c r="E631" s="17">
        <v>6</v>
      </c>
      <c r="F631" s="26" t="str">
        <f>CADASTROS!$E$534</f>
        <v>Cx. Econômica</v>
      </c>
      <c r="G631" s="24">
        <f>CADASTROS!$F$534</f>
        <v>780</v>
      </c>
      <c r="H631" s="26">
        <f>CADASTROS!$G$534</f>
        <v>23</v>
      </c>
      <c r="I631" s="16" t="str">
        <f>CADASTROS!$H$534</f>
        <v>00000932-7</v>
      </c>
      <c r="J631" s="18">
        <f t="shared" si="25"/>
        <v>0</v>
      </c>
    </row>
    <row r="632" spans="1:10" ht="15.75" x14ac:dyDescent="0.25">
      <c r="A632" s="24">
        <f>CADASTROS!$B$535</f>
        <v>533</v>
      </c>
      <c r="B632" s="15" t="str">
        <f>CADASTROS!$C$535</f>
        <v>Regilandia Pereira dos Santos</v>
      </c>
      <c r="C632" s="25"/>
      <c r="D632" s="52">
        <f>PLANILHA_COLHEITA_DIÁRIA!$I$870</f>
        <v>0</v>
      </c>
      <c r="E632" s="17">
        <v>6</v>
      </c>
      <c r="F632" s="26" t="str">
        <f>CADASTROS!$E$535</f>
        <v>Cx. Econômica</v>
      </c>
      <c r="G632" s="24">
        <f>CADASTROS!$F$535</f>
        <v>780</v>
      </c>
      <c r="H632" s="26">
        <f>CADASTROS!$G$535</f>
        <v>23</v>
      </c>
      <c r="I632" s="16" t="str">
        <f>CADASTROS!$H$535</f>
        <v>00024416-4</v>
      </c>
      <c r="J632" s="18">
        <f t="shared" si="25"/>
        <v>0</v>
      </c>
    </row>
    <row r="633" spans="1:10" ht="15.75" x14ac:dyDescent="0.25">
      <c r="A633" s="24">
        <f>CADASTROS!$B$536</f>
        <v>534</v>
      </c>
      <c r="B633" s="15" t="str">
        <f>CADASTROS!$C$536</f>
        <v>Roseli Lima de Oliveira</v>
      </c>
      <c r="C633" s="25"/>
      <c r="D633" s="35">
        <f>PLANILHA_COLHEITA_DIÁRIA!$I$871</f>
        <v>0</v>
      </c>
      <c r="E633" s="17">
        <v>6</v>
      </c>
      <c r="F633" s="26" t="str">
        <f>CADASTROS!$E$536</f>
        <v>Cx. Econômica</v>
      </c>
      <c r="G633" s="24">
        <f>CADASTROS!$F$536</f>
        <v>4825</v>
      </c>
      <c r="H633" s="26">
        <f>CADASTROS!$G$536</f>
        <v>13</v>
      </c>
      <c r="I633" s="16" t="str">
        <f>CADASTROS!$H$536</f>
        <v>00012811-0</v>
      </c>
      <c r="J633" s="18">
        <f t="shared" si="25"/>
        <v>0</v>
      </c>
    </row>
    <row r="634" spans="1:10" ht="15.75" x14ac:dyDescent="0.25">
      <c r="A634" s="24">
        <f>CADASTROS!$B$537</f>
        <v>535</v>
      </c>
      <c r="B634" s="15" t="str">
        <f>CADASTROS!$C$537</f>
        <v>Adriana Alcanja Santos</v>
      </c>
      <c r="C634" s="25"/>
      <c r="D634" s="35">
        <f>PLANILHA_COLHEITA_DIÁRIA!$I$872</f>
        <v>0</v>
      </c>
      <c r="E634" s="17">
        <v>6</v>
      </c>
      <c r="F634" s="26" t="str">
        <f>CADASTROS!$E$537</f>
        <v>Cx. Econômica</v>
      </c>
      <c r="G634" s="24">
        <f>CADASTROS!$F$537</f>
        <v>4825</v>
      </c>
      <c r="H634" s="26">
        <f>CADASTROS!$G$537</f>
        <v>13</v>
      </c>
      <c r="I634" s="16" t="str">
        <f>CADASTROS!$H$537</f>
        <v>00011059-9</v>
      </c>
      <c r="J634" s="18">
        <f t="shared" si="25"/>
        <v>0</v>
      </c>
    </row>
    <row r="635" spans="1:10" ht="15.75" x14ac:dyDescent="0.25">
      <c r="A635" s="24">
        <f>CADASTROS!$B$538</f>
        <v>536</v>
      </c>
      <c r="B635" s="15" t="str">
        <f>CADASTROS!$C$538</f>
        <v>Romário Nascimento dos Santos</v>
      </c>
      <c r="C635" s="25"/>
      <c r="D635" s="25">
        <f>PLANILHA_COLHEITA_DIÁRIA!$I$873</f>
        <v>0</v>
      </c>
      <c r="E635" s="17">
        <v>6</v>
      </c>
      <c r="F635" s="26" t="str">
        <f>CADASTROS!$E$538</f>
        <v>Cx. Econômica</v>
      </c>
      <c r="G635" s="24">
        <f>CADASTROS!$F$538</f>
        <v>4825</v>
      </c>
      <c r="H635" s="26">
        <f>CADASTROS!$G$538</f>
        <v>13</v>
      </c>
      <c r="I635" s="16" t="str">
        <f>CADASTROS!$H$538</f>
        <v>00005082-0</v>
      </c>
      <c r="J635" s="18">
        <f t="shared" si="25"/>
        <v>0</v>
      </c>
    </row>
    <row r="636" spans="1:10" ht="15.75" x14ac:dyDescent="0.25">
      <c r="A636" s="24">
        <f>CADASTROS!$B$539</f>
        <v>537</v>
      </c>
      <c r="B636" s="15" t="str">
        <f>CADASTROS!$C$539</f>
        <v>Adriana Carlos da Silva</v>
      </c>
      <c r="C636" s="25"/>
      <c r="D636" s="25">
        <f>PLANILHA_COLHEITA_DIÁRIA!$I$874</f>
        <v>0</v>
      </c>
      <c r="E636" s="17">
        <v>6</v>
      </c>
      <c r="F636" s="26" t="str">
        <f>CADASTROS!$E$539</f>
        <v>Cx. Econômica</v>
      </c>
      <c r="G636" s="24">
        <f>CADASTROS!$F$539</f>
        <v>4825</v>
      </c>
      <c r="H636" s="26">
        <f>CADASTROS!$G$539</f>
        <v>0</v>
      </c>
      <c r="I636" s="16" t="str">
        <f>CADASTROS!$H$539</f>
        <v>000851819062-0</v>
      </c>
      <c r="J636" s="18">
        <f t="shared" si="25"/>
        <v>0</v>
      </c>
    </row>
    <row r="637" spans="1:10" ht="15.75" x14ac:dyDescent="0.25">
      <c r="A637" s="24">
        <f>CADASTROS!$B$540</f>
        <v>538</v>
      </c>
      <c r="B637" s="15" t="str">
        <f>CADASTROS!$C$540</f>
        <v>Maria José Alves de Souza</v>
      </c>
      <c r="C637" s="25"/>
      <c r="D637" s="52">
        <f>PLANILHA_COLHEITA_DIÁRIA!$I$875</f>
        <v>0</v>
      </c>
      <c r="E637" s="17">
        <v>6</v>
      </c>
      <c r="F637" s="26" t="str">
        <f>CADASTROS!$E$540</f>
        <v>Cx. Econômica</v>
      </c>
      <c r="G637" s="24">
        <f>CADASTROS!$F$540</f>
        <v>3653</v>
      </c>
      <c r="H637" s="26">
        <f>CADASTROS!$G$540</f>
        <v>13</v>
      </c>
      <c r="I637" s="16" t="str">
        <f>CADASTROS!$H$540</f>
        <v>00008629-1</v>
      </c>
      <c r="J637" s="18">
        <f t="shared" si="25"/>
        <v>0</v>
      </c>
    </row>
    <row r="638" spans="1:10" ht="15.75" x14ac:dyDescent="0.25">
      <c r="A638" s="24">
        <f>CADASTROS!$B$541</f>
        <v>539</v>
      </c>
      <c r="B638" s="15" t="str">
        <f>CADASTROS!$C$541</f>
        <v>Albino Joaquim da Silva</v>
      </c>
      <c r="C638" s="25"/>
      <c r="D638" s="25">
        <f>PLANILHA_COLHEITA_DIÁRIA!$I$876</f>
        <v>0</v>
      </c>
      <c r="E638" s="17">
        <v>6</v>
      </c>
      <c r="F638" s="26" t="str">
        <f>CADASTROS!$E$541</f>
        <v>Bradesco</v>
      </c>
      <c r="G638" s="24" t="str">
        <f>CADASTROS!$F$541</f>
        <v>3801-6</v>
      </c>
      <c r="H638" s="26" t="str">
        <f>CADASTROS!$G$541</f>
        <v>c/corr</v>
      </c>
      <c r="I638" s="16" t="str">
        <f>CADASTROS!$H$541</f>
        <v>0520834-3</v>
      </c>
      <c r="J638" s="18">
        <f t="shared" si="25"/>
        <v>0</v>
      </c>
    </row>
    <row r="639" spans="1:10" ht="15.75" x14ac:dyDescent="0.25">
      <c r="B639" s="220"/>
      <c r="C639" s="220"/>
      <c r="D639" s="12">
        <f>SUM(D594:D638)</f>
        <v>12</v>
      </c>
      <c r="E639" s="12"/>
      <c r="F639" s="162"/>
      <c r="G639" s="163"/>
      <c r="H639" s="163"/>
      <c r="I639" s="164"/>
      <c r="J639" s="14">
        <f>SUM(J594:J638)</f>
        <v>72</v>
      </c>
    </row>
    <row r="642" spans="1:10" ht="15.75" x14ac:dyDescent="0.25">
      <c r="A642" s="213" t="s">
        <v>4816</v>
      </c>
      <c r="B642" s="213"/>
      <c r="C642" s="213"/>
      <c r="D642" s="213"/>
      <c r="E642" s="213"/>
      <c r="F642" s="213"/>
      <c r="G642" s="213"/>
      <c r="H642" s="213"/>
      <c r="I642" s="213"/>
      <c r="J642" s="213"/>
    </row>
    <row r="643" spans="1:10" ht="16.5" thickBot="1" x14ac:dyDescent="0.3">
      <c r="A643" s="214" t="s">
        <v>4843</v>
      </c>
      <c r="B643" s="214"/>
      <c r="C643" s="214"/>
      <c r="D643" s="214"/>
      <c r="E643" s="214"/>
      <c r="F643" s="214"/>
      <c r="G643" s="214"/>
      <c r="H643" s="214"/>
      <c r="I643" s="214"/>
      <c r="J643" s="214"/>
    </row>
    <row r="644" spans="1:10" ht="17.25" thickTop="1" thickBot="1" x14ac:dyDescent="0.3">
      <c r="A644" s="215" t="s">
        <v>4844</v>
      </c>
      <c r="B644" s="215"/>
      <c r="C644" s="215"/>
      <c r="D644" s="215"/>
      <c r="E644" s="215"/>
      <c r="F644" s="215"/>
      <c r="G644" s="215"/>
      <c r="H644" s="215"/>
      <c r="I644" s="215"/>
      <c r="J644" s="215"/>
    </row>
    <row r="645" spans="1:10" ht="19.149999999999999" customHeight="1" x14ac:dyDescent="0.25">
      <c r="A645" s="19" t="s">
        <v>4846</v>
      </c>
      <c r="B645" s="216" t="s">
        <v>1</v>
      </c>
      <c r="C645" s="221" t="s">
        <v>2</v>
      </c>
      <c r="D645" s="223" t="s">
        <v>4847</v>
      </c>
      <c r="E645" s="20" t="s">
        <v>4848</v>
      </c>
      <c r="F645" s="216" t="s">
        <v>3</v>
      </c>
      <c r="G645" s="216" t="s">
        <v>4</v>
      </c>
      <c r="H645" s="216" t="s">
        <v>5</v>
      </c>
      <c r="I645" s="216" t="s">
        <v>6</v>
      </c>
      <c r="J645" s="218" t="s">
        <v>4849</v>
      </c>
    </row>
    <row r="646" spans="1:10" ht="19.5" customHeight="1" thickBot="1" x14ac:dyDescent="0.3">
      <c r="A646" s="21" t="s">
        <v>4850</v>
      </c>
      <c r="B646" s="217"/>
      <c r="C646" s="222"/>
      <c r="D646" s="224"/>
      <c r="E646" s="161" t="s">
        <v>4851</v>
      </c>
      <c r="F646" s="217"/>
      <c r="G646" s="217"/>
      <c r="H646" s="217"/>
      <c r="I646" s="217"/>
      <c r="J646" s="219"/>
    </row>
    <row r="647" spans="1:10" ht="15.75" x14ac:dyDescent="0.25">
      <c r="A647" s="24">
        <f>CADASTROS!$B$542</f>
        <v>540</v>
      </c>
      <c r="B647" s="15" t="str">
        <f>CADASTROS!$C$542</f>
        <v>Raimundo R Oliveira</v>
      </c>
      <c r="C647" s="25"/>
      <c r="D647" s="35">
        <f>PLANILHA_COLHEITA_DIÁRIA!$I$877</f>
        <v>0</v>
      </c>
      <c r="E647" s="17">
        <v>6</v>
      </c>
      <c r="F647" s="26" t="str">
        <f>CADASTROS!$E$542</f>
        <v>Cx. Econômica</v>
      </c>
      <c r="G647" s="24">
        <f>CADASTROS!$F$542</f>
        <v>4825</v>
      </c>
      <c r="H647" s="26">
        <f>CADASTROS!$G$542</f>
        <v>13</v>
      </c>
      <c r="I647" s="16" t="str">
        <f>CADASTROS!$H$542</f>
        <v>00010490-4</v>
      </c>
      <c r="J647" s="18">
        <f t="shared" ref="J647:J691" si="26">D647*E647</f>
        <v>0</v>
      </c>
    </row>
    <row r="648" spans="1:10" ht="15.75" x14ac:dyDescent="0.25">
      <c r="A648" s="24">
        <f>CADASTROS!$B$543</f>
        <v>541</v>
      </c>
      <c r="B648" s="15" t="str">
        <f>CADASTROS!$C$543</f>
        <v>Graciene Maria Gabriel</v>
      </c>
      <c r="C648" s="25"/>
      <c r="D648" s="35">
        <f>PLANILHA_COLHEITA_DIÁRIA!$I$878</f>
        <v>0</v>
      </c>
      <c r="E648" s="17">
        <v>6</v>
      </c>
      <c r="F648" s="26" t="str">
        <f>CADASTROS!$E$543</f>
        <v>Bradesco</v>
      </c>
      <c r="G648" s="24">
        <f>CADASTROS!$F$543</f>
        <v>7160</v>
      </c>
      <c r="H648" s="26">
        <f>CADASTROS!$G$543</f>
        <v>0</v>
      </c>
      <c r="I648" s="16" t="str">
        <f>CADASTROS!$H$543</f>
        <v>687625-0</v>
      </c>
      <c r="J648" s="18">
        <f t="shared" si="26"/>
        <v>0</v>
      </c>
    </row>
    <row r="649" spans="1:10" ht="15.75" x14ac:dyDescent="0.25">
      <c r="A649" s="24">
        <f>CADASTROS!$B$544</f>
        <v>542</v>
      </c>
      <c r="B649" s="15" t="str">
        <f>CADASTROS!$C$544</f>
        <v>Mirian Jorge dos Santos</v>
      </c>
      <c r="C649" s="25"/>
      <c r="D649" s="35">
        <f>PLANILHA_COLHEITA_DIÁRIA!$I$879</f>
        <v>0</v>
      </c>
      <c r="E649" s="17">
        <v>6</v>
      </c>
      <c r="F649" s="26" t="str">
        <f>CADASTROS!$E$544</f>
        <v>Banco do Brasil</v>
      </c>
      <c r="G649" s="24" t="str">
        <f>CADASTROS!$F$544</f>
        <v>2760-X</v>
      </c>
      <c r="H649" s="26" t="str">
        <f>CADASTROS!$G$544</f>
        <v>c/poup</v>
      </c>
      <c r="I649" s="16" t="str">
        <f>CADASTROS!$H$544</f>
        <v>11.297-6</v>
      </c>
      <c r="J649" s="18">
        <f t="shared" si="26"/>
        <v>0</v>
      </c>
    </row>
    <row r="650" spans="1:10" ht="15.75" x14ac:dyDescent="0.25">
      <c r="A650" s="24">
        <f>CADASTROS!$B$545</f>
        <v>543</v>
      </c>
      <c r="B650" s="15" t="str">
        <f>CADASTROS!$C$545</f>
        <v>Gilmacio Santos Oliveira</v>
      </c>
      <c r="C650" s="25"/>
      <c r="D650" s="35">
        <f>PLANILHA_COLHEITA_DIÁRIA!$I$880</f>
        <v>0</v>
      </c>
      <c r="E650" s="17">
        <v>6</v>
      </c>
      <c r="F650" s="26" t="str">
        <f>CADASTROS!$E$545</f>
        <v>Banco do Brasil</v>
      </c>
      <c r="G650" s="24" t="str">
        <f>CADASTROS!$F$545</f>
        <v>2760-X</v>
      </c>
      <c r="H650" s="26" t="str">
        <f>CADASTROS!$G$545</f>
        <v>c/poup</v>
      </c>
      <c r="I650" s="16" t="str">
        <f>CADASTROS!$H$545</f>
        <v>14.282-4</v>
      </c>
      <c r="J650" s="18">
        <f t="shared" si="26"/>
        <v>0</v>
      </c>
    </row>
    <row r="651" spans="1:10" ht="15.75" x14ac:dyDescent="0.25">
      <c r="A651" s="24">
        <f>CADASTROS!$B$546</f>
        <v>544</v>
      </c>
      <c r="B651" s="15" t="str">
        <f>CADASTROS!$C$546</f>
        <v>Roberto A Fernandes</v>
      </c>
      <c r="C651" s="25"/>
      <c r="D651" s="35">
        <f>PLANILHA_COLHEITA_DIÁRIA!$I$881</f>
        <v>0</v>
      </c>
      <c r="E651" s="17">
        <v>6</v>
      </c>
      <c r="F651" s="26" t="str">
        <f>CADASTROS!$E$546</f>
        <v>Cx. Econômica</v>
      </c>
      <c r="G651" s="24">
        <f>CADASTROS!$F$546</f>
        <v>4825</v>
      </c>
      <c r="H651" s="26" t="str">
        <f>CADASTROS!$G$546</f>
        <v>013</v>
      </c>
      <c r="I651" s="16" t="str">
        <f>CADASTROS!$H$546</f>
        <v>00017454-6</v>
      </c>
      <c r="J651" s="18">
        <f t="shared" si="26"/>
        <v>0</v>
      </c>
    </row>
    <row r="652" spans="1:10" ht="15.75" x14ac:dyDescent="0.25">
      <c r="A652" s="24">
        <f>CADASTROS!$B$547</f>
        <v>545</v>
      </c>
      <c r="B652" s="15" t="str">
        <f>CADASTROS!$C$547</f>
        <v>Zenaide Souza</v>
      </c>
      <c r="C652" s="25"/>
      <c r="D652" s="35">
        <f>PLANILHA_COLHEITA_DIÁRIA!$I$882</f>
        <v>0</v>
      </c>
      <c r="E652" s="17">
        <v>6</v>
      </c>
      <c r="F652" s="26" t="str">
        <f>CADASTROS!$E$547</f>
        <v>Cx. Econômica</v>
      </c>
      <c r="G652" s="24">
        <f>CADASTROS!$F$547</f>
        <v>949</v>
      </c>
      <c r="H652" s="26" t="str">
        <f>CADASTROS!$G$547</f>
        <v>023</v>
      </c>
      <c r="I652" s="16" t="str">
        <f>CADASTROS!$H$547</f>
        <v>00007229-9</v>
      </c>
      <c r="J652" s="18">
        <f t="shared" si="26"/>
        <v>0</v>
      </c>
    </row>
    <row r="653" spans="1:10" ht="15.75" x14ac:dyDescent="0.25">
      <c r="A653" s="24">
        <f>CADASTROS!$B$548</f>
        <v>546</v>
      </c>
      <c r="B653" s="15" t="str">
        <f>CADASTROS!$C$548</f>
        <v>Leda Marcia Rosa Santos</v>
      </c>
      <c r="C653" s="25"/>
      <c r="D653" s="35">
        <f>PLANILHA_COLHEITA_DIÁRIA!$I$883</f>
        <v>0</v>
      </c>
      <c r="E653" s="17">
        <v>6</v>
      </c>
      <c r="F653" s="26" t="str">
        <f>CADASTROS!$E$548</f>
        <v>Cx. Econômica</v>
      </c>
      <c r="G653" s="24">
        <f>CADASTROS!$F$548</f>
        <v>4694</v>
      </c>
      <c r="H653" s="26" t="str">
        <f>CADASTROS!$G$548</f>
        <v>023</v>
      </c>
      <c r="I653" s="16" t="str">
        <f>CADASTROS!$H$548</f>
        <v>00000538-4</v>
      </c>
      <c r="J653" s="18">
        <f t="shared" si="26"/>
        <v>0</v>
      </c>
    </row>
    <row r="654" spans="1:10" ht="15.75" x14ac:dyDescent="0.25">
      <c r="A654" s="24">
        <f>CADASTROS!$B$549</f>
        <v>547</v>
      </c>
      <c r="B654" s="15" t="str">
        <f>CADASTROS!$C$549</f>
        <v>Valter Pereira Alves</v>
      </c>
      <c r="C654" s="25"/>
      <c r="D654" s="35">
        <f>PLANILHA_COLHEITA_DIÁRIA!$I$884</f>
        <v>0</v>
      </c>
      <c r="E654" s="17">
        <v>6</v>
      </c>
      <c r="F654" s="26" t="str">
        <f>CADASTROS!$E$549</f>
        <v>Cx. Econômica</v>
      </c>
      <c r="G654" s="24">
        <f>CADASTROS!$F$549</f>
        <v>4773</v>
      </c>
      <c r="H654" s="26" t="str">
        <f>CADASTROS!$G$549</f>
        <v>013</v>
      </c>
      <c r="I654" s="16" t="str">
        <f>CADASTROS!$H$549</f>
        <v>00007732-8</v>
      </c>
      <c r="J654" s="18">
        <f t="shared" si="26"/>
        <v>0</v>
      </c>
    </row>
    <row r="655" spans="1:10" ht="15.75" x14ac:dyDescent="0.25">
      <c r="A655" s="24">
        <f>CADASTROS!$B$550</f>
        <v>548</v>
      </c>
      <c r="B655" s="15" t="str">
        <f>CADASTROS!$C$550</f>
        <v>Sebastião Almeida da Cruz</v>
      </c>
      <c r="C655" s="25"/>
      <c r="D655" s="35">
        <f>PLANILHA_COLHEITA_DIÁRIA!$I$885</f>
        <v>0</v>
      </c>
      <c r="E655" s="17">
        <v>6</v>
      </c>
      <c r="F655" s="26" t="str">
        <f>CADASTROS!$E$550</f>
        <v>Cx. Econômica</v>
      </c>
      <c r="G655" s="24">
        <f>CADASTROS!$F$550</f>
        <v>4818</v>
      </c>
      <c r="H655" s="26" t="str">
        <f>CADASTROS!$G$550</f>
        <v>013</v>
      </c>
      <c r="I655" s="16" t="str">
        <f>CADASTROS!$H$550</f>
        <v>00005832-7</v>
      </c>
      <c r="J655" s="18">
        <f t="shared" si="26"/>
        <v>0</v>
      </c>
    </row>
    <row r="656" spans="1:10" ht="15.75" x14ac:dyDescent="0.25">
      <c r="A656" s="24">
        <f>CADASTROS!$B$551</f>
        <v>549</v>
      </c>
      <c r="B656" s="15" t="str">
        <f>CADASTROS!$C$551</f>
        <v>Ana Rita Santos de Souza</v>
      </c>
      <c r="C656" s="25"/>
      <c r="D656" s="35">
        <f>PLANILHA_COLHEITA_DIÁRIA!$I$886</f>
        <v>0</v>
      </c>
      <c r="E656" s="17">
        <v>6</v>
      </c>
      <c r="F656" s="26" t="str">
        <f>CADASTROS!$E$551</f>
        <v>Cx. Econômica</v>
      </c>
      <c r="G656" s="24">
        <f>CADASTROS!$F$551</f>
        <v>780</v>
      </c>
      <c r="H656" s="26" t="str">
        <f>CADASTROS!$G$551</f>
        <v>023</v>
      </c>
      <c r="I656" s="16" t="str">
        <f>CADASTROS!$H$551</f>
        <v>00011013-3</v>
      </c>
      <c r="J656" s="18">
        <f t="shared" si="26"/>
        <v>0</v>
      </c>
    </row>
    <row r="657" spans="1:10" ht="15.75" x14ac:dyDescent="0.25">
      <c r="A657" s="24">
        <f>CADASTROS!$B$552</f>
        <v>550</v>
      </c>
      <c r="B657" s="15" t="str">
        <f>CADASTROS!$C$552</f>
        <v>Luana Conceição Santos</v>
      </c>
      <c r="C657" s="25"/>
      <c r="D657" s="35">
        <f>PLANILHA_COLHEITA_DIÁRIA!$I$887</f>
        <v>0</v>
      </c>
      <c r="E657" s="17">
        <v>6</v>
      </c>
      <c r="F657" s="26" t="str">
        <f>CADASTROS!$E$552</f>
        <v>Cx. Econômica</v>
      </c>
      <c r="G657" s="24">
        <f>CADASTROS!$F$552</f>
        <v>4105</v>
      </c>
      <c r="H657" s="26" t="str">
        <f>CADASTROS!$G$552</f>
        <v>013</v>
      </c>
      <c r="I657" s="16" t="str">
        <f>CADASTROS!$H$552</f>
        <v>00022914-1</v>
      </c>
      <c r="J657" s="18">
        <f t="shared" si="26"/>
        <v>0</v>
      </c>
    </row>
    <row r="658" spans="1:10" ht="15.75" x14ac:dyDescent="0.25">
      <c r="A658" s="24">
        <f>CADASTROS!$B$553</f>
        <v>551</v>
      </c>
      <c r="B658" s="15" t="str">
        <f>CADASTROS!$C$553</f>
        <v>Aldenir Marques de Souza</v>
      </c>
      <c r="C658" s="25"/>
      <c r="D658" s="35">
        <f>PLANILHA_COLHEITA_DIÁRIA!$I$888</f>
        <v>0</v>
      </c>
      <c r="E658" s="17">
        <v>6</v>
      </c>
      <c r="F658" s="26" t="str">
        <f>CADASTROS!$E$553</f>
        <v>Cx. Econômica</v>
      </c>
      <c r="G658" s="24">
        <f>CADASTROS!$F$553</f>
        <v>4825</v>
      </c>
      <c r="H658" s="26" t="str">
        <f>CADASTROS!$G$553</f>
        <v>013</v>
      </c>
      <c r="I658" s="16" t="str">
        <f>CADASTROS!$H$553</f>
        <v>00009870-0</v>
      </c>
      <c r="J658" s="18">
        <f t="shared" si="26"/>
        <v>0</v>
      </c>
    </row>
    <row r="659" spans="1:10" ht="15.75" x14ac:dyDescent="0.25">
      <c r="A659" s="24">
        <f>CADASTROS!$B$554</f>
        <v>552</v>
      </c>
      <c r="B659" s="15" t="str">
        <f>CADASTROS!$C$554</f>
        <v>Neilton de Oliveira Mendes</v>
      </c>
      <c r="C659" s="25"/>
      <c r="D659" s="35">
        <f>PLANILHA_COLHEITA_DIÁRIA!$I$889</f>
        <v>0</v>
      </c>
      <c r="E659" s="17">
        <v>6</v>
      </c>
      <c r="F659" s="26" t="str">
        <f>CADASTROS!$E$554</f>
        <v>Cx. Econômica</v>
      </c>
      <c r="G659" s="24">
        <f>CADASTROS!$F$554</f>
        <v>4825</v>
      </c>
      <c r="H659" s="26" t="str">
        <f>CADASTROS!$G$554</f>
        <v>013</v>
      </c>
      <c r="I659" s="16" t="str">
        <f>CADASTROS!$H$554</f>
        <v>00016622-5</v>
      </c>
      <c r="J659" s="18">
        <f t="shared" si="26"/>
        <v>0</v>
      </c>
    </row>
    <row r="660" spans="1:10" ht="15.75" x14ac:dyDescent="0.25">
      <c r="A660" s="24">
        <f>CADASTROS!$B$555</f>
        <v>553</v>
      </c>
      <c r="B660" s="15" t="str">
        <f>CADASTROS!$C$555</f>
        <v>Ednalva Moreira da Silva</v>
      </c>
      <c r="C660" s="25"/>
      <c r="D660" s="35">
        <f>PLANILHA_COLHEITA_DIÁRIA!$I$890</f>
        <v>0</v>
      </c>
      <c r="E660" s="17">
        <v>6</v>
      </c>
      <c r="F660" s="26" t="str">
        <f>CADASTROS!$E$555</f>
        <v>Cx. Econômica</v>
      </c>
      <c r="G660" s="24">
        <f>CADASTROS!$F$555</f>
        <v>4825</v>
      </c>
      <c r="H660" s="26" t="str">
        <f>CADASTROS!$G$555</f>
        <v>013</v>
      </c>
      <c r="I660" s="16" t="str">
        <f>CADASTROS!$H$555</f>
        <v>00000302-4</v>
      </c>
      <c r="J660" s="18">
        <f t="shared" si="26"/>
        <v>0</v>
      </c>
    </row>
    <row r="661" spans="1:10" ht="15.75" x14ac:dyDescent="0.25">
      <c r="A661" s="24">
        <f>CADASTROS!$B$556</f>
        <v>554</v>
      </c>
      <c r="B661" s="15" t="str">
        <f>CADASTROS!$C$556</f>
        <v>Nilza Bispo Ferreira</v>
      </c>
      <c r="C661" s="25"/>
      <c r="D661" s="35">
        <f>PLANILHA_COLHEITA_DIÁRIA!$I$891</f>
        <v>0</v>
      </c>
      <c r="E661" s="17">
        <v>6</v>
      </c>
      <c r="F661" s="26" t="str">
        <f>CADASTROS!$E$556</f>
        <v>Bradesco</v>
      </c>
      <c r="G661" s="24" t="str">
        <f>CADASTROS!$F$556</f>
        <v>3801-6</v>
      </c>
      <c r="H661" s="26" t="str">
        <f>CADASTROS!$G$556</f>
        <v>poup</v>
      </c>
      <c r="I661" s="16" t="str">
        <f>CADASTROS!$H$556</f>
        <v>1000291-5</v>
      </c>
      <c r="J661" s="18">
        <f t="shared" si="26"/>
        <v>0</v>
      </c>
    </row>
    <row r="662" spans="1:10" ht="15.75" x14ac:dyDescent="0.25">
      <c r="A662" s="24">
        <f>CADASTROS!$B$557</f>
        <v>555</v>
      </c>
      <c r="B662" s="15" t="str">
        <f>CADASTROS!$C$557</f>
        <v>Alcilene Jesus da Silva</v>
      </c>
      <c r="C662" s="25"/>
      <c r="D662" s="35">
        <f>PLANILHA_COLHEITA_DIÁRIA!$I$892</f>
        <v>0</v>
      </c>
      <c r="E662" s="17">
        <v>6</v>
      </c>
      <c r="F662" s="26" t="str">
        <f>CADASTROS!$E$557</f>
        <v>Cx. Econômica</v>
      </c>
      <c r="G662" s="24">
        <f>CADASTROS!$F$557</f>
        <v>4825</v>
      </c>
      <c r="H662" s="26" t="str">
        <f>CADASTROS!$G$557</f>
        <v>013</v>
      </c>
      <c r="I662" s="16" t="str">
        <f>CADASTROS!$H$557</f>
        <v>00002573-7</v>
      </c>
      <c r="J662" s="18">
        <f t="shared" si="26"/>
        <v>0</v>
      </c>
    </row>
    <row r="663" spans="1:10" ht="15.75" x14ac:dyDescent="0.25">
      <c r="A663" s="24">
        <f>CADASTROS!$B$558</f>
        <v>556</v>
      </c>
      <c r="B663" s="15" t="str">
        <f>CADASTROS!$C$558</f>
        <v>Mariazinha de Jesus Silva</v>
      </c>
      <c r="C663" s="25"/>
      <c r="D663" s="35">
        <f>PLANILHA_COLHEITA_DIÁRIA!$I$893</f>
        <v>0</v>
      </c>
      <c r="E663" s="17">
        <v>6</v>
      </c>
      <c r="F663" s="26" t="str">
        <f>CADASTROS!$E$558</f>
        <v>Cx. Econômica</v>
      </c>
      <c r="G663" s="24">
        <f>CADASTROS!$F$558</f>
        <v>780</v>
      </c>
      <c r="H663" s="26" t="str">
        <f>CADASTROS!$G$558</f>
        <v>023</v>
      </c>
      <c r="I663" s="16" t="str">
        <f>CADASTROS!$H$558</f>
        <v>00012127-5</v>
      </c>
      <c r="J663" s="18">
        <f t="shared" si="26"/>
        <v>0</v>
      </c>
    </row>
    <row r="664" spans="1:10" ht="15.75" x14ac:dyDescent="0.25">
      <c r="A664" s="24">
        <f>CADASTROS!$B$559</f>
        <v>557</v>
      </c>
      <c r="B664" s="15" t="str">
        <f>CADASTROS!$C$559</f>
        <v>Maria José Alves da Silva</v>
      </c>
      <c r="C664" s="25"/>
      <c r="D664" s="35">
        <f>PLANILHA_COLHEITA_DIÁRIA!$I$894</f>
        <v>0</v>
      </c>
      <c r="E664" s="17">
        <v>6</v>
      </c>
      <c r="F664" s="26" t="str">
        <f>CADASTROS!$E$559</f>
        <v>Cx. Econômica</v>
      </c>
      <c r="G664" s="24">
        <f>CADASTROS!$F$559</f>
        <v>780</v>
      </c>
      <c r="H664" s="26" t="str">
        <f>CADASTROS!$G$559</f>
        <v>013</v>
      </c>
      <c r="I664" s="16" t="str">
        <f>CADASTROS!$H$559</f>
        <v>00076845-0</v>
      </c>
      <c r="J664" s="18">
        <f t="shared" si="26"/>
        <v>0</v>
      </c>
    </row>
    <row r="665" spans="1:10" ht="15.75" x14ac:dyDescent="0.25">
      <c r="A665" s="24">
        <f>CADASTROS!$B$560</f>
        <v>558</v>
      </c>
      <c r="B665" s="15" t="str">
        <f>CADASTROS!$C$560</f>
        <v>Adenilson Amaral</v>
      </c>
      <c r="C665" s="25"/>
      <c r="D665" s="35">
        <f>PLANILHA_COLHEITA_DIÁRIA!$I$911</f>
        <v>0</v>
      </c>
      <c r="E665" s="17">
        <v>6</v>
      </c>
      <c r="F665" s="26" t="str">
        <f>CADASTROS!$E$560</f>
        <v>Cx. Econômica</v>
      </c>
      <c r="G665" s="24">
        <f>CADASTROS!$F$560</f>
        <v>4825</v>
      </c>
      <c r="H665" s="26" t="str">
        <f>CADASTROS!$G$560</f>
        <v>013</v>
      </c>
      <c r="I665" s="16" t="str">
        <f>CADASTROS!$H$560</f>
        <v>00003769-7</v>
      </c>
      <c r="J665" s="18">
        <f t="shared" si="26"/>
        <v>0</v>
      </c>
    </row>
    <row r="666" spans="1:10" ht="15.75" x14ac:dyDescent="0.25">
      <c r="A666" s="24">
        <f>CADASTROS!$B$561</f>
        <v>559</v>
      </c>
      <c r="B666" s="15" t="str">
        <f>CADASTROS!$C$561</f>
        <v>Girleide Jesus da Silva</v>
      </c>
      <c r="C666" s="25"/>
      <c r="D666" s="35">
        <f>PLANILHA_COLHEITA_DIÁRIA!$I$912</f>
        <v>0</v>
      </c>
      <c r="E666" s="17">
        <v>6</v>
      </c>
      <c r="F666" s="26" t="str">
        <f>CADASTROS!$E$561</f>
        <v>Cx. Econômica</v>
      </c>
      <c r="G666" s="24">
        <f>CADASTROS!$F$561</f>
        <v>949</v>
      </c>
      <c r="H666" s="26" t="str">
        <f>CADASTROS!$G$561</f>
        <v>013</v>
      </c>
      <c r="I666" s="16" t="str">
        <f>CADASTROS!$H$561</f>
        <v>00007269-0</v>
      </c>
      <c r="J666" s="18">
        <f t="shared" si="26"/>
        <v>0</v>
      </c>
    </row>
    <row r="667" spans="1:10" ht="15.75" x14ac:dyDescent="0.25">
      <c r="A667" s="24">
        <f>CADASTROS!$B$562</f>
        <v>560</v>
      </c>
      <c r="B667" s="15" t="str">
        <f>CADASTROS!$C$562</f>
        <v>Edvan Brito Santos</v>
      </c>
      <c r="C667" s="25"/>
      <c r="D667" s="35">
        <f>PLANILHA_COLHEITA_DIÁRIA!$I$913</f>
        <v>0</v>
      </c>
      <c r="E667" s="17">
        <v>6</v>
      </c>
      <c r="F667" s="26" t="str">
        <f>CADASTROS!$E$562</f>
        <v>Cx. Econômica</v>
      </c>
      <c r="G667" s="24">
        <f>CADASTROS!$F$562</f>
        <v>949</v>
      </c>
      <c r="H667" s="26" t="str">
        <f>CADASTROS!$G$562</f>
        <v>013</v>
      </c>
      <c r="I667" s="16" t="str">
        <f>CADASTROS!$H$562</f>
        <v>00011834-8</v>
      </c>
      <c r="J667" s="18">
        <f t="shared" si="26"/>
        <v>0</v>
      </c>
    </row>
    <row r="668" spans="1:10" ht="15.75" x14ac:dyDescent="0.25">
      <c r="A668" s="24">
        <f>CADASTROS!$B$563</f>
        <v>561</v>
      </c>
      <c r="B668" s="15" t="str">
        <f>CADASTROS!$C$563</f>
        <v>Agda M de Souza Cruz</v>
      </c>
      <c r="C668" s="25"/>
      <c r="D668" s="35">
        <f>PLANILHA_COLHEITA_DIÁRIA!$I$914</f>
        <v>67.5</v>
      </c>
      <c r="E668" s="17">
        <v>6</v>
      </c>
      <c r="F668" s="26" t="str">
        <f>CADASTROS!$E$563</f>
        <v>Cx. Econômica</v>
      </c>
      <c r="G668" s="24">
        <f>CADASTROS!$F$563</f>
        <v>780</v>
      </c>
      <c r="H668" s="26">
        <f>CADASTROS!$G$563</f>
        <v>0</v>
      </c>
      <c r="I668" s="16" t="str">
        <f>CADASTROS!$H$563</f>
        <v>000839082669-9</v>
      </c>
      <c r="J668" s="18">
        <f t="shared" si="26"/>
        <v>405</v>
      </c>
    </row>
    <row r="669" spans="1:10" ht="15.75" x14ac:dyDescent="0.25">
      <c r="A669" s="24">
        <f>CADASTROS!$B$564</f>
        <v>562</v>
      </c>
      <c r="B669" s="15" t="str">
        <f>CADASTROS!$C$564</f>
        <v>Marlene Rosa de Jesus</v>
      </c>
      <c r="C669" s="25"/>
      <c r="D669" s="35">
        <f>PLANILHA_COLHEITA_DIÁRIA!$I$915</f>
        <v>0</v>
      </c>
      <c r="E669" s="17">
        <v>6</v>
      </c>
      <c r="F669" s="26" t="str">
        <f>CADASTROS!$E$564</f>
        <v>Bradesco</v>
      </c>
      <c r="G669" s="24" t="str">
        <f>CADASTROS!$F$564</f>
        <v>3801-6</v>
      </c>
      <c r="H669" s="26" t="str">
        <f>CADASTROS!$G$564</f>
        <v>c/corr</v>
      </c>
      <c r="I669" s="16" t="str">
        <f>CADASTROS!$H$564</f>
        <v>0520371-6</v>
      </c>
      <c r="J669" s="18">
        <f t="shared" si="26"/>
        <v>0</v>
      </c>
    </row>
    <row r="670" spans="1:10" ht="15.75" x14ac:dyDescent="0.25">
      <c r="A670" s="24">
        <f>CADASTROS!$B$565</f>
        <v>563</v>
      </c>
      <c r="B670" s="15" t="str">
        <f>CADASTROS!$C$565</f>
        <v>Maria Nilma S Oliveira</v>
      </c>
      <c r="C670" s="25"/>
      <c r="D670" s="35">
        <f>PLANILHA_COLHEITA_DIÁRIA!$I$916</f>
        <v>0</v>
      </c>
      <c r="E670" s="17">
        <v>6</v>
      </c>
      <c r="F670" s="26" t="str">
        <f>CADASTROS!$E$565</f>
        <v>Cx. Econômica</v>
      </c>
      <c r="G670" s="24">
        <f>CADASTROS!$F$565</f>
        <v>780</v>
      </c>
      <c r="H670" s="26" t="str">
        <f>CADASTROS!$G$565</f>
        <v>023</v>
      </c>
      <c r="I670" s="16" t="str">
        <f>CADASTROS!$H$565</f>
        <v>00009496-0</v>
      </c>
      <c r="J670" s="18">
        <f t="shared" si="26"/>
        <v>0</v>
      </c>
    </row>
    <row r="671" spans="1:10" ht="15.75" x14ac:dyDescent="0.25">
      <c r="A671" s="24">
        <f>CADASTROS!$B$566</f>
        <v>564</v>
      </c>
      <c r="B671" s="15" t="str">
        <f>CADASTROS!$C$566</f>
        <v>Lisete Araújos dos Santos</v>
      </c>
      <c r="C671" s="25"/>
      <c r="D671" s="35">
        <f>PLANILHA_COLHEITA_DIÁRIA!$I$917</f>
        <v>0</v>
      </c>
      <c r="E671" s="17">
        <v>6</v>
      </c>
      <c r="F671" s="26" t="str">
        <f>CADASTROS!$E$566</f>
        <v>Cx. Econômica</v>
      </c>
      <c r="G671" s="24">
        <f>CADASTROS!$F$566</f>
        <v>780</v>
      </c>
      <c r="H671" s="26" t="str">
        <f>CADASTROS!$G$566</f>
        <v>013</v>
      </c>
      <c r="I671" s="16" t="str">
        <f>CADASTROS!$H$566</f>
        <v>00012071-9</v>
      </c>
      <c r="J671" s="18">
        <f t="shared" si="26"/>
        <v>0</v>
      </c>
    </row>
    <row r="672" spans="1:10" ht="15.75" x14ac:dyDescent="0.25">
      <c r="A672" s="24">
        <f>CADASTROS!$B$567</f>
        <v>565</v>
      </c>
      <c r="B672" s="15" t="str">
        <f>CADASTROS!$C$567</f>
        <v>Francineide Sabino da Silva</v>
      </c>
      <c r="C672" s="25"/>
      <c r="D672" s="35">
        <f>PLANILHA_COLHEITA_DIÁRIA!$I$918</f>
        <v>0</v>
      </c>
      <c r="E672" s="17">
        <v>6</v>
      </c>
      <c r="F672" s="26" t="str">
        <f>CADASTROS!$E$567</f>
        <v>Cx. Econômica</v>
      </c>
      <c r="G672" s="24">
        <f>CADASTROS!$F$567</f>
        <v>3777</v>
      </c>
      <c r="H672" s="26" t="str">
        <f>CADASTROS!$G$567</f>
        <v>013</v>
      </c>
      <c r="I672" s="16" t="str">
        <f>CADASTROS!$H$567</f>
        <v>00019870-1</v>
      </c>
      <c r="J672" s="18">
        <f t="shared" si="26"/>
        <v>0</v>
      </c>
    </row>
    <row r="673" spans="1:10" ht="15.75" x14ac:dyDescent="0.25">
      <c r="A673" s="24">
        <f>CADASTROS!$B$568</f>
        <v>566</v>
      </c>
      <c r="B673" s="15" t="str">
        <f>CADASTROS!$C$568</f>
        <v>Lucidalva S Gonçaves</v>
      </c>
      <c r="C673" s="25"/>
      <c r="D673" s="35">
        <f>PLANILHA_COLHEITA_DIÁRIA!$I$919</f>
        <v>0</v>
      </c>
      <c r="E673" s="17">
        <v>6</v>
      </c>
      <c r="F673" s="26" t="str">
        <f>CADASTROS!$E$567</f>
        <v>Cx. Econômica</v>
      </c>
      <c r="G673" s="24">
        <f>CADASTROS!$F$568</f>
        <v>780</v>
      </c>
      <c r="H673" s="26" t="str">
        <f>CADASTROS!$G$568</f>
        <v>013</v>
      </c>
      <c r="I673" s="16" t="str">
        <f>CADASTROS!$H$568</f>
        <v>00005000-1</v>
      </c>
      <c r="J673" s="18">
        <f t="shared" si="26"/>
        <v>0</v>
      </c>
    </row>
    <row r="674" spans="1:10" ht="15.75" x14ac:dyDescent="0.25">
      <c r="A674" s="24">
        <f>CADASTROS!$B$569</f>
        <v>567</v>
      </c>
      <c r="B674" s="15" t="str">
        <f>CADASTROS!$C$569</f>
        <v>Sandoval Francisco de Souza</v>
      </c>
      <c r="C674" s="25"/>
      <c r="D674" s="35">
        <f>PLANILHA_COLHEITA_DIÁRIA!$I$920</f>
        <v>0</v>
      </c>
      <c r="E674" s="17">
        <v>6</v>
      </c>
      <c r="F674" s="26" t="str">
        <f>CADASTROS!$E$569</f>
        <v>Cx. Econômica</v>
      </c>
      <c r="G674" s="24">
        <f>CADASTROS!$F$569</f>
        <v>4825</v>
      </c>
      <c r="H674" s="26" t="str">
        <f>CADASTROS!$G$569</f>
        <v>013</v>
      </c>
      <c r="I674" s="16" t="str">
        <f>CADASTROS!$H$569</f>
        <v>00014546-5</v>
      </c>
      <c r="J674" s="18">
        <f t="shared" si="26"/>
        <v>0</v>
      </c>
    </row>
    <row r="675" spans="1:10" ht="15.75" x14ac:dyDescent="0.25">
      <c r="A675" s="24">
        <f>CADASTROS!$B$570</f>
        <v>568</v>
      </c>
      <c r="B675" s="15" t="str">
        <f>CADASTROS!$C$570</f>
        <v>Damare Santana Passos</v>
      </c>
      <c r="C675" s="25"/>
      <c r="D675" s="35">
        <f>PLANILHA_COLHEITA_DIÁRIA!$I$921</f>
        <v>0</v>
      </c>
      <c r="E675" s="17">
        <v>6</v>
      </c>
      <c r="F675" s="26" t="str">
        <f>CADASTROS!$E$570</f>
        <v>Cx. Econômica</v>
      </c>
      <c r="G675" s="24">
        <f>CADASTROS!$F$570</f>
        <v>4825</v>
      </c>
      <c r="H675" s="26" t="str">
        <f>CADASTROS!$G$570</f>
        <v>013</v>
      </c>
      <c r="I675" s="16" t="str">
        <f>CADASTROS!$H$570</f>
        <v>00008695-7</v>
      </c>
      <c r="J675" s="18">
        <f t="shared" si="26"/>
        <v>0</v>
      </c>
    </row>
    <row r="676" spans="1:10" ht="15.75" x14ac:dyDescent="0.25">
      <c r="A676" s="24">
        <f>CADASTROS!$B$571</f>
        <v>569</v>
      </c>
      <c r="B676" s="15" t="str">
        <f>CADASTROS!$C$571</f>
        <v>Noelma Araújo dos Santos</v>
      </c>
      <c r="C676" s="25"/>
      <c r="D676" s="35">
        <f>PLANILHA_COLHEITA_DIÁRIA!$I$922</f>
        <v>0</v>
      </c>
      <c r="E676" s="17">
        <v>6</v>
      </c>
      <c r="F676" s="26" t="str">
        <f>CADASTROS!$E$571</f>
        <v>Cx. Econômica</v>
      </c>
      <c r="G676" s="24">
        <f>CADASTROS!$F$571</f>
        <v>780</v>
      </c>
      <c r="H676" s="26" t="str">
        <f>CADASTROS!$G$571</f>
        <v>013</v>
      </c>
      <c r="I676" s="16" t="str">
        <f>CADASTROS!$H$571</f>
        <v>00067520-6</v>
      </c>
      <c r="J676" s="18">
        <f t="shared" si="26"/>
        <v>0</v>
      </c>
    </row>
    <row r="677" spans="1:10" ht="15.75" x14ac:dyDescent="0.25">
      <c r="A677" s="24">
        <f>CADASTROS!$B$572</f>
        <v>570</v>
      </c>
      <c r="B677" s="15" t="str">
        <f>CADASTROS!$C$572</f>
        <v>Zilnei Fernandes da Silva</v>
      </c>
      <c r="C677" s="25"/>
      <c r="D677" s="35">
        <f>PLANILHA_COLHEITA_DIÁRIA!$I$923</f>
        <v>0</v>
      </c>
      <c r="E677" s="17">
        <v>6</v>
      </c>
      <c r="F677" s="26" t="str">
        <f>CADASTROS!$E$572</f>
        <v>Cx. Econômica</v>
      </c>
      <c r="G677" s="24">
        <f>CADASTROS!$F$572</f>
        <v>4825</v>
      </c>
      <c r="H677" s="26" t="str">
        <f>CADASTROS!$G$572</f>
        <v>013</v>
      </c>
      <c r="I677" s="16" t="str">
        <f>CADASTROS!$H$572</f>
        <v>00007932-2</v>
      </c>
      <c r="J677" s="18">
        <f t="shared" si="26"/>
        <v>0</v>
      </c>
    </row>
    <row r="678" spans="1:10" ht="15.75" x14ac:dyDescent="0.25">
      <c r="A678" s="24">
        <f>CADASTROS!$B$573</f>
        <v>571</v>
      </c>
      <c r="B678" s="15" t="str">
        <f>CADASTROS!$C$573</f>
        <v>Floraci Maria Fidelis</v>
      </c>
      <c r="C678" s="25"/>
      <c r="D678" s="35">
        <f>PLANILHA_COLHEITA_DIÁRIA!$I$924</f>
        <v>0</v>
      </c>
      <c r="E678" s="17">
        <v>6</v>
      </c>
      <c r="F678" s="26" t="str">
        <f>CADASTROS!$E$573</f>
        <v>Cx. Econômica</v>
      </c>
      <c r="G678" s="24">
        <f>CADASTROS!$F$573</f>
        <v>780</v>
      </c>
      <c r="H678" s="26" t="str">
        <f>CADASTROS!$G$573</f>
        <v>023</v>
      </c>
      <c r="I678" s="16" t="str">
        <f>CADASTROS!$H$573</f>
        <v>00030636-4</v>
      </c>
      <c r="J678" s="18">
        <f t="shared" si="26"/>
        <v>0</v>
      </c>
    </row>
    <row r="679" spans="1:10" ht="15.75" x14ac:dyDescent="0.25">
      <c r="A679" s="24">
        <f>CADASTROS!$B$574</f>
        <v>572</v>
      </c>
      <c r="B679" s="15" t="str">
        <f>CADASTROS!$C$574</f>
        <v>Gersivan Santos Gonçalves</v>
      </c>
      <c r="C679" s="25"/>
      <c r="D679" s="35">
        <f>PLANILHA_COLHEITA_DIÁRIA!$I$925</f>
        <v>0</v>
      </c>
      <c r="E679" s="17">
        <v>6</v>
      </c>
      <c r="F679" s="26" t="str">
        <f>CADASTROS!$E$574</f>
        <v>Cx. Econômica</v>
      </c>
      <c r="G679" s="24">
        <f>CADASTROS!$F$574</f>
        <v>4825</v>
      </c>
      <c r="H679" s="26" t="str">
        <f>CADASTROS!$G$574</f>
        <v>013</v>
      </c>
      <c r="I679" s="16" t="str">
        <f>CADASTROS!$H$574</f>
        <v>00010471-8</v>
      </c>
      <c r="J679" s="18">
        <f t="shared" si="26"/>
        <v>0</v>
      </c>
    </row>
    <row r="680" spans="1:10" ht="15.75" x14ac:dyDescent="0.25">
      <c r="A680" s="24">
        <f>CADASTROS!$B$575</f>
        <v>573</v>
      </c>
      <c r="B680" s="15" t="str">
        <f>CADASTROS!$C$575</f>
        <v>Ivanilde Barbosa Viana</v>
      </c>
      <c r="C680" s="25"/>
      <c r="D680" s="35">
        <f>PLANILHA_COLHEITA_DIÁRIA!$I$926</f>
        <v>87.5</v>
      </c>
      <c r="E680" s="17">
        <v>6</v>
      </c>
      <c r="F680" s="26" t="str">
        <f>CADASTROS!$E$575</f>
        <v>Bradesco</v>
      </c>
      <c r="G680" s="24" t="str">
        <f>CADASTROS!$F$575</f>
        <v>3801-6</v>
      </c>
      <c r="H680" s="26" t="str">
        <f>CADASTROS!$G$575</f>
        <v>poup</v>
      </c>
      <c r="I680" s="16" t="str">
        <f>CADASTROS!$H$575</f>
        <v>1000414-4</v>
      </c>
      <c r="J680" s="18">
        <f t="shared" si="26"/>
        <v>525</v>
      </c>
    </row>
    <row r="681" spans="1:10" ht="15.75" x14ac:dyDescent="0.25">
      <c r="A681" s="24">
        <f>CADASTROS!$B$576</f>
        <v>574</v>
      </c>
      <c r="B681" s="15" t="str">
        <f>CADASTROS!$C$576</f>
        <v>Cassio Jesus Silva</v>
      </c>
      <c r="C681" s="25"/>
      <c r="D681" s="35">
        <f>PLANILHA_COLHEITA_DIÁRIA!$I$927</f>
        <v>0</v>
      </c>
      <c r="E681" s="17">
        <v>6</v>
      </c>
      <c r="F681" s="26" t="str">
        <f>CADASTROS!$E$576</f>
        <v>Cx. Econômica</v>
      </c>
      <c r="G681" s="24">
        <f>CADASTROS!$F$576</f>
        <v>4818</v>
      </c>
      <c r="H681" s="26" t="str">
        <f>CADASTROS!$G$576</f>
        <v>013</v>
      </c>
      <c r="I681" s="16" t="str">
        <f>CADASTROS!$H$576</f>
        <v>00007127-7</v>
      </c>
      <c r="J681" s="18">
        <f t="shared" si="26"/>
        <v>0</v>
      </c>
    </row>
    <row r="682" spans="1:10" ht="15.75" x14ac:dyDescent="0.25">
      <c r="A682" s="24">
        <f>CADASTROS!$B$577</f>
        <v>575</v>
      </c>
      <c r="B682" s="15" t="str">
        <f>CADASTROS!$C$577</f>
        <v>Eciene Pereira da Silva</v>
      </c>
      <c r="C682" s="25"/>
      <c r="D682" s="35">
        <f>PLANILHA_COLHEITA_DIÁRIA!$I$928</f>
        <v>206</v>
      </c>
      <c r="E682" s="17">
        <v>6</v>
      </c>
      <c r="F682" s="26" t="str">
        <f>CADASTROS!$E$577</f>
        <v>Bradesco</v>
      </c>
      <c r="G682" s="24" t="str">
        <f>CADASTROS!$F$577</f>
        <v>3801-6</v>
      </c>
      <c r="H682" s="26" t="str">
        <f>CADASTROS!$G$577</f>
        <v>c/corr</v>
      </c>
      <c r="I682" s="16" t="str">
        <f>CADASTROS!$H$577</f>
        <v>0064300-9</v>
      </c>
      <c r="J682" s="18">
        <f t="shared" si="26"/>
        <v>1236</v>
      </c>
    </row>
    <row r="683" spans="1:10" ht="15.75" x14ac:dyDescent="0.25">
      <c r="A683" s="24">
        <f>CADASTROS!$B$578</f>
        <v>576</v>
      </c>
      <c r="B683" s="15" t="str">
        <f>CADASTROS!$C$578</f>
        <v>Ronaldo Souza da Cruz</v>
      </c>
      <c r="C683" s="25"/>
      <c r="D683" s="42">
        <f>PLANILHA_COLHEITA_DIÁRIA!$I$929</f>
        <v>25</v>
      </c>
      <c r="E683" s="17">
        <v>6</v>
      </c>
      <c r="F683" s="26" t="str">
        <f>CADASTROS!$E$578</f>
        <v>Bradesco</v>
      </c>
      <c r="G683" s="24" t="str">
        <f>CADASTROS!$F$578</f>
        <v>3801-6</v>
      </c>
      <c r="H683" s="26" t="str">
        <f>CADASTROS!$G$578</f>
        <v>c/corr</v>
      </c>
      <c r="I683" s="16" t="str">
        <f>CADASTROS!$H$578</f>
        <v>0001619-5</v>
      </c>
      <c r="J683" s="18">
        <f t="shared" si="26"/>
        <v>150</v>
      </c>
    </row>
    <row r="684" spans="1:10" ht="15.75" x14ac:dyDescent="0.25">
      <c r="A684" s="24">
        <f>CADASTROS!$B$579</f>
        <v>577</v>
      </c>
      <c r="B684" s="15" t="str">
        <f>CADASTROS!$C$579</f>
        <v>Maria Paula de Jesus Matos</v>
      </c>
      <c r="C684" s="25"/>
      <c r="D684" s="35">
        <f>PLANILHA_COLHEITA_DIÁRIA!$I$930</f>
        <v>0</v>
      </c>
      <c r="E684" s="17">
        <v>6</v>
      </c>
      <c r="F684" s="26" t="str">
        <f>CADASTROS!$E$579</f>
        <v>Bradesco</v>
      </c>
      <c r="G684" s="24" t="str">
        <f>CADASTROS!$F$579</f>
        <v>3801-6</v>
      </c>
      <c r="H684" s="26" t="str">
        <f>CADASTROS!$G$579</f>
        <v>poup</v>
      </c>
      <c r="I684" s="16" t="str">
        <f>CADASTROS!$H$579</f>
        <v>1000156-0</v>
      </c>
      <c r="J684" s="18">
        <f t="shared" si="26"/>
        <v>0</v>
      </c>
    </row>
    <row r="685" spans="1:10" ht="15.75" x14ac:dyDescent="0.25">
      <c r="A685" s="24">
        <f>CADASTROS!$B$580</f>
        <v>578</v>
      </c>
      <c r="B685" s="15" t="str">
        <f>CADASTROS!$C$580</f>
        <v>Lucas Fernandes B Santos</v>
      </c>
      <c r="C685" s="25"/>
      <c r="D685" s="42">
        <f>PLANILHA_COLHEITA_DIÁRIA!$I$931</f>
        <v>53.5</v>
      </c>
      <c r="E685" s="17">
        <v>6</v>
      </c>
      <c r="F685" s="26" t="str">
        <f>CADASTROS!$E$580</f>
        <v>Cx. Econômica</v>
      </c>
      <c r="G685" s="24">
        <f>CADASTROS!$F$580</f>
        <v>4825</v>
      </c>
      <c r="H685" s="26" t="str">
        <f>CADASTROS!$G$580</f>
        <v>013</v>
      </c>
      <c r="I685" s="16" t="str">
        <f>CADASTROS!$H$580</f>
        <v>00012756-4</v>
      </c>
      <c r="J685" s="18">
        <f t="shared" si="26"/>
        <v>321</v>
      </c>
    </row>
    <row r="686" spans="1:10" ht="15.75" x14ac:dyDescent="0.25">
      <c r="A686" s="24">
        <f>CADASTROS!$B$581</f>
        <v>579</v>
      </c>
      <c r="B686" s="15" t="str">
        <f>CADASTROS!$C$581</f>
        <v>Leandro Souza dos Santos</v>
      </c>
      <c r="C686" s="25"/>
      <c r="D686" s="35">
        <f>PLANILHA_COLHEITA_DIÁRIA!$I$932</f>
        <v>0</v>
      </c>
      <c r="E686" s="17">
        <v>6</v>
      </c>
      <c r="F686" s="26" t="str">
        <f>CADASTROS!$E$581</f>
        <v>Cx. Econômica</v>
      </c>
      <c r="G686" s="24">
        <f>CADASTROS!$F$581</f>
        <v>4825</v>
      </c>
      <c r="H686" s="26" t="str">
        <f>CADASTROS!$G$581</f>
        <v>013</v>
      </c>
      <c r="I686" s="16" t="str">
        <f>CADASTROS!$H$581</f>
        <v>00011956-1</v>
      </c>
      <c r="J686" s="18">
        <f t="shared" si="26"/>
        <v>0</v>
      </c>
    </row>
    <row r="687" spans="1:10" ht="15.75" x14ac:dyDescent="0.25">
      <c r="A687" s="24">
        <f>CADASTROS!$B$582</f>
        <v>580</v>
      </c>
      <c r="B687" s="15" t="str">
        <f>CADASTROS!$C$582</f>
        <v>Alex Silva dos Santos</v>
      </c>
      <c r="C687" s="25"/>
      <c r="D687" s="35">
        <f>PLANILHA_COLHEITA_DIÁRIA!$I$933</f>
        <v>0</v>
      </c>
      <c r="E687" s="17">
        <v>6</v>
      </c>
      <c r="F687" s="26" t="str">
        <f>CADASTROS!$E$582</f>
        <v>Cx. Econômica</v>
      </c>
      <c r="G687" s="24">
        <f>CADASTROS!$F$582</f>
        <v>4825</v>
      </c>
      <c r="H687" s="26" t="str">
        <f>CADASTROS!$G$582</f>
        <v>013</v>
      </c>
      <c r="I687" s="16" t="str">
        <f>CADASTROS!$H$582</f>
        <v>00009132-2</v>
      </c>
      <c r="J687" s="18">
        <f t="shared" si="26"/>
        <v>0</v>
      </c>
    </row>
    <row r="688" spans="1:10" ht="15.75" x14ac:dyDescent="0.25">
      <c r="A688" s="24">
        <f>CADASTROS!$B$583</f>
        <v>581</v>
      </c>
      <c r="B688" s="15" t="str">
        <f>CADASTROS!$C$583</f>
        <v>Nilzete de Jesus Santos</v>
      </c>
      <c r="C688" s="25"/>
      <c r="D688" s="42">
        <f>PLANILHA_COLHEITA_DIÁRIA!$I$934</f>
        <v>0</v>
      </c>
      <c r="E688" s="17">
        <v>6</v>
      </c>
      <c r="F688" s="26" t="str">
        <f>CADASTROS!$E$583</f>
        <v>Cx. Econômica</v>
      </c>
      <c r="G688" s="24">
        <f>CADASTROS!$F$583</f>
        <v>4825</v>
      </c>
      <c r="H688" s="26" t="str">
        <f>CADASTROS!$G$583</f>
        <v>013</v>
      </c>
      <c r="I688" s="16" t="str">
        <f>CADASTROS!$H$583</f>
        <v>00015735-8</v>
      </c>
      <c r="J688" s="18">
        <f t="shared" si="26"/>
        <v>0</v>
      </c>
    </row>
    <row r="689" spans="1:10" ht="15.75" x14ac:dyDescent="0.25">
      <c r="A689" s="24">
        <f>CADASTROS!$B$584</f>
        <v>582</v>
      </c>
      <c r="B689" s="15" t="str">
        <f>CADASTROS!$C$584</f>
        <v>Maria de Fátima Teles de Oliveira</v>
      </c>
      <c r="C689" s="25"/>
      <c r="D689" s="35">
        <f>PLANILHA_COLHEITA_DIÁRIA!$I$935</f>
        <v>0</v>
      </c>
      <c r="E689" s="17">
        <v>6</v>
      </c>
      <c r="F689" s="26" t="str">
        <f>CADASTROS!$E$584</f>
        <v>Bradesco</v>
      </c>
      <c r="G689" s="24" t="str">
        <f>CADASTROS!$F$584</f>
        <v>3801-6</v>
      </c>
      <c r="H689" s="26" t="str">
        <f>CADASTROS!$G$584</f>
        <v>c/corr</v>
      </c>
      <c r="I689" s="16" t="str">
        <f>CADASTROS!$H$584</f>
        <v>0002131-8</v>
      </c>
      <c r="J689" s="18">
        <f t="shared" si="26"/>
        <v>0</v>
      </c>
    </row>
    <row r="690" spans="1:10" ht="15.75" x14ac:dyDescent="0.25">
      <c r="A690" s="24">
        <f>CADASTROS!$B$585</f>
        <v>583</v>
      </c>
      <c r="B690" s="15" t="str">
        <f>CADASTROS!$C$585</f>
        <v>Elvismaria Santos dos Anjos</v>
      </c>
      <c r="C690" s="25"/>
      <c r="D690" s="35">
        <f>PLANILHA_COLHEITA_DIÁRIA!$I$936</f>
        <v>0</v>
      </c>
      <c r="E690" s="17">
        <v>6</v>
      </c>
      <c r="F690" s="26" t="str">
        <f>CADASTROS!$E$585</f>
        <v>Cx. Econômica</v>
      </c>
      <c r="G690" s="24">
        <f>CADASTROS!$F$585</f>
        <v>4825</v>
      </c>
      <c r="H690" s="26" t="str">
        <f>CADASTROS!$G$585</f>
        <v>013</v>
      </c>
      <c r="I690" s="16" t="str">
        <f>CADASTROS!$H$585</f>
        <v>871262371-5</v>
      </c>
      <c r="J690" s="18">
        <f t="shared" si="26"/>
        <v>0</v>
      </c>
    </row>
    <row r="691" spans="1:10" ht="15.75" x14ac:dyDescent="0.25">
      <c r="A691" s="24">
        <f>CADASTROS!$B$586</f>
        <v>584</v>
      </c>
      <c r="B691" s="15" t="str">
        <f>CADASTROS!$C$586</f>
        <v>Evanessa Santos Oliveira</v>
      </c>
      <c r="C691" s="25"/>
      <c r="D691" s="35">
        <f>PLANILHA_COLHEITA_DIÁRIA!$I$937</f>
        <v>0</v>
      </c>
      <c r="E691" s="17">
        <v>6</v>
      </c>
      <c r="F691" s="26" t="str">
        <f>CADASTROS!$E$586</f>
        <v>Cx. Econômica</v>
      </c>
      <c r="G691" s="24">
        <f>CADASTROS!$F$586</f>
        <v>4825</v>
      </c>
      <c r="H691" s="26" t="str">
        <f>CADASTROS!$G$586</f>
        <v>013</v>
      </c>
      <c r="I691" s="16" t="str">
        <f>CADASTROS!$H$586</f>
        <v>00012988-5</v>
      </c>
      <c r="J691" s="18">
        <f t="shared" si="26"/>
        <v>0</v>
      </c>
    </row>
    <row r="692" spans="1:10" ht="15.75" x14ac:dyDescent="0.25">
      <c r="B692" s="220"/>
      <c r="C692" s="220"/>
      <c r="D692" s="12">
        <f>SUM(D647:D691)</f>
        <v>439.5</v>
      </c>
      <c r="E692" s="12"/>
      <c r="F692" s="162"/>
      <c r="G692" s="163"/>
      <c r="H692" s="163"/>
      <c r="I692" s="164"/>
      <c r="J692" s="14">
        <f>SUM(J647:J691)</f>
        <v>2637</v>
      </c>
    </row>
    <row r="695" spans="1:10" ht="15.75" x14ac:dyDescent="0.25">
      <c r="A695" s="213" t="s">
        <v>4816</v>
      </c>
      <c r="B695" s="213"/>
      <c r="C695" s="213"/>
      <c r="D695" s="213"/>
      <c r="E695" s="213"/>
      <c r="F695" s="213"/>
      <c r="G695" s="213"/>
      <c r="H695" s="213"/>
      <c r="I695" s="213"/>
      <c r="J695" s="213"/>
    </row>
    <row r="696" spans="1:10" ht="16.5" thickBot="1" x14ac:dyDescent="0.3">
      <c r="A696" s="214" t="s">
        <v>4843</v>
      </c>
      <c r="B696" s="214"/>
      <c r="C696" s="214"/>
      <c r="D696" s="214"/>
      <c r="E696" s="214"/>
      <c r="F696" s="214"/>
      <c r="G696" s="214"/>
      <c r="H696" s="214"/>
      <c r="I696" s="214"/>
      <c r="J696" s="214"/>
    </row>
    <row r="697" spans="1:10" ht="17.25" thickTop="1" thickBot="1" x14ac:dyDescent="0.3">
      <c r="A697" s="215" t="s">
        <v>4844</v>
      </c>
      <c r="B697" s="215"/>
      <c r="C697" s="215"/>
      <c r="D697" s="215"/>
      <c r="E697" s="215"/>
      <c r="F697" s="215"/>
      <c r="G697" s="215"/>
      <c r="H697" s="215"/>
      <c r="I697" s="215"/>
      <c r="J697" s="215"/>
    </row>
    <row r="698" spans="1:10" ht="19.149999999999999" customHeight="1" x14ac:dyDescent="0.25">
      <c r="A698" s="19" t="s">
        <v>4846</v>
      </c>
      <c r="B698" s="216" t="s">
        <v>1</v>
      </c>
      <c r="C698" s="221" t="s">
        <v>2</v>
      </c>
      <c r="D698" s="223" t="s">
        <v>4847</v>
      </c>
      <c r="E698" s="20" t="s">
        <v>4848</v>
      </c>
      <c r="F698" s="216" t="s">
        <v>3</v>
      </c>
      <c r="G698" s="216" t="s">
        <v>4</v>
      </c>
      <c r="H698" s="216" t="s">
        <v>5</v>
      </c>
      <c r="I698" s="216" t="s">
        <v>6</v>
      </c>
      <c r="J698" s="218" t="s">
        <v>4849</v>
      </c>
    </row>
    <row r="699" spans="1:10" ht="19.5" customHeight="1" thickBot="1" x14ac:dyDescent="0.3">
      <c r="A699" s="21" t="s">
        <v>4850</v>
      </c>
      <c r="B699" s="217"/>
      <c r="C699" s="222"/>
      <c r="D699" s="224"/>
      <c r="E699" s="161" t="s">
        <v>4851</v>
      </c>
      <c r="F699" s="217"/>
      <c r="G699" s="217"/>
      <c r="H699" s="217"/>
      <c r="I699" s="217"/>
      <c r="J699" s="219"/>
    </row>
    <row r="700" spans="1:10" ht="15.75" x14ac:dyDescent="0.25">
      <c r="A700" s="24">
        <f>CADASTROS!$B$587</f>
        <v>585</v>
      </c>
      <c r="B700" s="15" t="str">
        <f>CADASTROS!$C$587</f>
        <v>Lucimar Rosa do Nascimento</v>
      </c>
      <c r="C700" s="25"/>
      <c r="D700" s="35">
        <f>PLANILHA_COLHEITA_DIÁRIA!$I$954</f>
        <v>0</v>
      </c>
      <c r="E700" s="17">
        <v>6</v>
      </c>
      <c r="F700" s="26" t="str">
        <f>CADASTROS!$E$587</f>
        <v>Bradesco</v>
      </c>
      <c r="G700" s="24" t="str">
        <f>CADASTROS!$F$587</f>
        <v>1464-8</v>
      </c>
      <c r="H700" s="26" t="str">
        <f>CADASTROS!$G$587</f>
        <v>poup</v>
      </c>
      <c r="I700" s="16" t="str">
        <f>CADASTROS!$H$587</f>
        <v>1022138-2</v>
      </c>
      <c r="J700" s="18">
        <f t="shared" ref="J700:J744" si="27">D700*E700</f>
        <v>0</v>
      </c>
    </row>
    <row r="701" spans="1:10" ht="15.75" x14ac:dyDescent="0.25">
      <c r="A701" s="24">
        <f>CADASTROS!$B$588</f>
        <v>586</v>
      </c>
      <c r="B701" s="15" t="str">
        <f>CADASTROS!$C$588</f>
        <v>Ilza Matos S Santos</v>
      </c>
      <c r="C701" s="25"/>
      <c r="D701" s="35">
        <f>PLANILHA_COLHEITA_DIÁRIA!$I$955</f>
        <v>0</v>
      </c>
      <c r="E701" s="17">
        <v>6</v>
      </c>
      <c r="F701" s="26" t="str">
        <f>CADASTROS!$E$588</f>
        <v>Banco do Brasil</v>
      </c>
      <c r="G701" s="24" t="str">
        <f>CADASTROS!$F$588</f>
        <v>2760-X</v>
      </c>
      <c r="H701" s="26" t="str">
        <f>CADASTROS!$G$588</f>
        <v>poup</v>
      </c>
      <c r="I701" s="16" t="str">
        <f>CADASTROS!$H$588</f>
        <v>9.846-0</v>
      </c>
      <c r="J701" s="18">
        <f t="shared" si="27"/>
        <v>0</v>
      </c>
    </row>
    <row r="702" spans="1:10" ht="15.75" x14ac:dyDescent="0.25">
      <c r="A702" s="24">
        <f>CADASTROS!$B$589</f>
        <v>587</v>
      </c>
      <c r="B702" s="15" t="str">
        <f>CADASTROS!$C$589</f>
        <v>Lucineide da Silva Veleiro</v>
      </c>
      <c r="C702" s="25"/>
      <c r="D702" s="35">
        <f>PLANILHA_COLHEITA_DIÁRIA!$I$956</f>
        <v>0</v>
      </c>
      <c r="E702" s="17">
        <v>6</v>
      </c>
      <c r="F702" s="26" t="str">
        <f>CADASTROS!$E$589</f>
        <v>Bradesco</v>
      </c>
      <c r="G702" s="24" t="str">
        <f>CADASTROS!$F$589</f>
        <v>3801-6</v>
      </c>
      <c r="H702" s="26" t="str">
        <f>CADASTROS!$G$589</f>
        <v>c/corr</v>
      </c>
      <c r="I702" s="16" t="str">
        <f>CADASTROS!$H$589</f>
        <v>0002128-8</v>
      </c>
      <c r="J702" s="18">
        <f t="shared" si="27"/>
        <v>0</v>
      </c>
    </row>
    <row r="703" spans="1:10" ht="15.75" x14ac:dyDescent="0.25">
      <c r="A703" s="24">
        <f>CADASTROS!$B$590</f>
        <v>588</v>
      </c>
      <c r="B703" s="15" t="str">
        <f>CADASTROS!$C$590</f>
        <v>Realdo Santos Oliveira</v>
      </c>
      <c r="C703" s="25"/>
      <c r="D703" s="35">
        <f>PLANILHA_COLHEITA_DIÁRIA!$I$957</f>
        <v>0</v>
      </c>
      <c r="E703" s="17">
        <v>6</v>
      </c>
      <c r="F703" s="26" t="str">
        <f>CADASTROS!$E$590</f>
        <v>Cx. Econômica</v>
      </c>
      <c r="G703" s="24">
        <f>CADASTROS!$F$590</f>
        <v>4825</v>
      </c>
      <c r="H703" s="26" t="str">
        <f>CADASTROS!$G$590</f>
        <v>013</v>
      </c>
      <c r="I703" s="16" t="str">
        <f>CADASTROS!$H$590</f>
        <v>00005228-9</v>
      </c>
      <c r="J703" s="18">
        <f t="shared" si="27"/>
        <v>0</v>
      </c>
    </row>
    <row r="704" spans="1:10" ht="15.75" x14ac:dyDescent="0.25">
      <c r="A704" s="24">
        <f>CADASTROS!$B$591</f>
        <v>589</v>
      </c>
      <c r="B704" s="15" t="str">
        <f>CADASTROS!$C$591</f>
        <v>Morgana Dias de Araújo</v>
      </c>
      <c r="C704" s="25"/>
      <c r="D704" s="35">
        <f>PLANILHA_COLHEITA_DIÁRIA!$I$958</f>
        <v>0</v>
      </c>
      <c r="E704" s="17">
        <v>6</v>
      </c>
      <c r="F704" s="26" t="str">
        <f>CADASTROS!$E$591</f>
        <v>Cx. Econômica</v>
      </c>
      <c r="G704" s="24">
        <f>CADASTROS!$F$591</f>
        <v>4825</v>
      </c>
      <c r="H704" s="26" t="str">
        <f>CADASTROS!$G$591</f>
        <v>013</v>
      </c>
      <c r="I704" s="16" t="str">
        <f>CADASTROS!$H$591</f>
        <v>00009239-6</v>
      </c>
      <c r="J704" s="18">
        <f t="shared" si="27"/>
        <v>0</v>
      </c>
    </row>
    <row r="705" spans="1:10" ht="15.75" x14ac:dyDescent="0.25">
      <c r="A705" s="24">
        <f>CADASTROS!$B$592</f>
        <v>590</v>
      </c>
      <c r="B705" s="15" t="str">
        <f>CADASTROS!$C$592</f>
        <v>Quitéria Jesus da Silva</v>
      </c>
      <c r="C705" s="25"/>
      <c r="D705" s="35">
        <f>PLANILHA_COLHEITA_DIÁRIA!$I$959</f>
        <v>0</v>
      </c>
      <c r="E705" s="17">
        <v>6</v>
      </c>
      <c r="F705" s="26" t="str">
        <f>CADASTROS!$E$592</f>
        <v>Cx. Econômica</v>
      </c>
      <c r="G705" s="24">
        <f>CADASTROS!$F$592</f>
        <v>780</v>
      </c>
      <c r="H705" s="26" t="str">
        <f>CADASTROS!$G$592</f>
        <v>023</v>
      </c>
      <c r="I705" s="16" t="str">
        <f>CADASTROS!$H$592</f>
        <v>00008908-8</v>
      </c>
      <c r="J705" s="18">
        <f t="shared" si="27"/>
        <v>0</v>
      </c>
    </row>
    <row r="706" spans="1:10" ht="15.75" x14ac:dyDescent="0.25">
      <c r="A706" s="24">
        <f>CADASTROS!$B$593</f>
        <v>591</v>
      </c>
      <c r="B706" s="15" t="str">
        <f>CADASTROS!$C$593</f>
        <v>Sirlandia Alves dos Santos</v>
      </c>
      <c r="C706" s="25"/>
      <c r="D706" s="35">
        <f>PLANILHA_COLHEITA_DIÁRIA!$I$960</f>
        <v>0</v>
      </c>
      <c r="E706" s="17">
        <v>6</v>
      </c>
      <c r="F706" s="26" t="str">
        <f>CADASTROS!$E$593</f>
        <v>Cx. Econômica</v>
      </c>
      <c r="G706" s="24">
        <f>CADASTROS!$F$593</f>
        <v>241</v>
      </c>
      <c r="H706" s="26" t="str">
        <f>CADASTROS!$G$593</f>
        <v>013</v>
      </c>
      <c r="I706" s="16" t="str">
        <f>CADASTROS!$H$593</f>
        <v>00017672-1</v>
      </c>
      <c r="J706" s="18">
        <f t="shared" si="27"/>
        <v>0</v>
      </c>
    </row>
    <row r="707" spans="1:10" ht="15.75" x14ac:dyDescent="0.25">
      <c r="A707" s="24">
        <f>CADASTROS!$B$594</f>
        <v>592</v>
      </c>
      <c r="B707" s="15" t="str">
        <f>CADASTROS!$C$594</f>
        <v>Eulalia Oliveira Costa</v>
      </c>
      <c r="C707" s="25"/>
      <c r="D707" s="35">
        <f>PLANILHA_COLHEITA_DIÁRIA!$I$961</f>
        <v>0</v>
      </c>
      <c r="E707" s="17">
        <v>6</v>
      </c>
      <c r="F707" s="26" t="str">
        <f>CADASTROS!$E$594</f>
        <v>Cx. Econômica</v>
      </c>
      <c r="G707" s="24">
        <f>CADASTROS!$F$594</f>
        <v>4825</v>
      </c>
      <c r="H707" s="26" t="str">
        <f>CADASTROS!$G$594</f>
        <v>013</v>
      </c>
      <c r="I707" s="16" t="str">
        <f>CADASTROS!$H$594</f>
        <v>00010598-6</v>
      </c>
      <c r="J707" s="18">
        <f t="shared" si="27"/>
        <v>0</v>
      </c>
    </row>
    <row r="708" spans="1:10" ht="15.75" x14ac:dyDescent="0.25">
      <c r="A708" s="24">
        <f>CADASTROS!$B$595</f>
        <v>593</v>
      </c>
      <c r="B708" s="15" t="str">
        <f>CADASTROS!$C$595</f>
        <v>Flaudemir F Fonseca</v>
      </c>
      <c r="C708" s="25"/>
      <c r="D708" s="35">
        <f>PLANILHA_COLHEITA_DIÁRIA!$I$962</f>
        <v>0</v>
      </c>
      <c r="E708" s="17">
        <v>6</v>
      </c>
      <c r="F708" s="26" t="str">
        <f>CADASTROS!$E$595</f>
        <v>Cx. Econômica</v>
      </c>
      <c r="G708" s="24">
        <f>CADASTROS!$F$595</f>
        <v>1655</v>
      </c>
      <c r="H708" s="26" t="str">
        <f>CADASTROS!$G$595</f>
        <v>013</v>
      </c>
      <c r="I708" s="16" t="str">
        <f>CADASTROS!$H$595</f>
        <v>00084157-5</v>
      </c>
      <c r="J708" s="18">
        <f t="shared" si="27"/>
        <v>0</v>
      </c>
    </row>
    <row r="709" spans="1:10" ht="15.75" x14ac:dyDescent="0.25">
      <c r="A709" s="24">
        <f>CADASTROS!$B$596</f>
        <v>594</v>
      </c>
      <c r="B709" s="15" t="str">
        <f>CADASTROS!$C$596</f>
        <v>João Marcos M Alcantara</v>
      </c>
      <c r="C709" s="25"/>
      <c r="D709" s="42">
        <f>PLANILHA_COLHEITA_DIÁRIA!$I$963</f>
        <v>0</v>
      </c>
      <c r="E709" s="17">
        <v>6</v>
      </c>
      <c r="F709" s="26" t="str">
        <f>CADASTROS!$E$596</f>
        <v>Cx. Econômica</v>
      </c>
      <c r="G709" s="24">
        <f>CADASTROS!$F$596</f>
        <v>783</v>
      </c>
      <c r="H709" s="26" t="str">
        <f>CADASTROS!$G$596</f>
        <v>013</v>
      </c>
      <c r="I709" s="16" t="str">
        <f>CADASTROS!$H$596</f>
        <v>00119374-0</v>
      </c>
      <c r="J709" s="18">
        <f t="shared" si="27"/>
        <v>0</v>
      </c>
    </row>
    <row r="710" spans="1:10" ht="15.75" x14ac:dyDescent="0.25">
      <c r="A710" s="24">
        <f>CADASTROS!$B$597</f>
        <v>595</v>
      </c>
      <c r="B710" s="15" t="str">
        <f>CADASTROS!$C$597</f>
        <v>Deleon de Jesus Souza</v>
      </c>
      <c r="C710" s="25"/>
      <c r="D710" s="35">
        <f>PLANILHA_COLHEITA_DIÁRIA!$I$964</f>
        <v>0</v>
      </c>
      <c r="E710" s="17">
        <v>6</v>
      </c>
      <c r="F710" s="26" t="str">
        <f>CADASTROS!$E$597</f>
        <v>Bradesco</v>
      </c>
      <c r="G710" s="24" t="str">
        <f>CADASTROS!$F$597</f>
        <v>3801-6</v>
      </c>
      <c r="H710" s="26" t="str">
        <f>CADASTROS!$G$597</f>
        <v>c/corr</v>
      </c>
      <c r="I710" s="16" t="str">
        <f>CADASTROS!$H$597</f>
        <v>0001459-1</v>
      </c>
      <c r="J710" s="18">
        <f t="shared" si="27"/>
        <v>0</v>
      </c>
    </row>
    <row r="711" spans="1:10" ht="15.75" x14ac:dyDescent="0.25">
      <c r="A711" s="24">
        <f>CADASTROS!$B$598</f>
        <v>596</v>
      </c>
      <c r="B711" s="15" t="str">
        <f>CADASTROS!$C$598</f>
        <v>Jorge Ferreira Lopes</v>
      </c>
      <c r="C711" s="25"/>
      <c r="D711" s="35">
        <f>PLANILHA_COLHEITA_DIÁRIA!$I$965</f>
        <v>0</v>
      </c>
      <c r="E711" s="17">
        <v>6</v>
      </c>
      <c r="F711" s="26" t="str">
        <f>CADASTROS!$E$598</f>
        <v>Cx. Econômica</v>
      </c>
      <c r="G711" s="24">
        <f>CADASTROS!$F$598</f>
        <v>780</v>
      </c>
      <c r="H711" s="26" t="str">
        <f>CADASTROS!$G$598</f>
        <v>013</v>
      </c>
      <c r="I711" s="16" t="str">
        <f>CADASTROS!$H$598</f>
        <v>00006028-7</v>
      </c>
      <c r="J711" s="18">
        <f t="shared" si="27"/>
        <v>0</v>
      </c>
    </row>
    <row r="712" spans="1:10" ht="15.75" x14ac:dyDescent="0.25">
      <c r="A712" s="24">
        <f>CADASTROS!$B$599</f>
        <v>597</v>
      </c>
      <c r="B712" s="15" t="str">
        <f>CADASTROS!$C$599</f>
        <v>Gracinelia Rosa de Oliveira</v>
      </c>
      <c r="C712" s="25"/>
      <c r="D712" s="35">
        <f>PLANILHA_COLHEITA_DIÁRIA!$I$966</f>
        <v>0</v>
      </c>
      <c r="E712" s="17">
        <v>6</v>
      </c>
      <c r="F712" s="26" t="str">
        <f>CADASTROS!$E$599</f>
        <v>Banco do Brasil</v>
      </c>
      <c r="G712" s="24" t="str">
        <f>CADASTROS!$F$599</f>
        <v>3833-4</v>
      </c>
      <c r="H712" s="26" t="str">
        <f>CADASTROS!$G$599</f>
        <v>poup</v>
      </c>
      <c r="I712" s="16" t="str">
        <f>CADASTROS!$H$599</f>
        <v>12.758-2</v>
      </c>
      <c r="J712" s="18">
        <f t="shared" si="27"/>
        <v>0</v>
      </c>
    </row>
    <row r="713" spans="1:10" ht="15.75" x14ac:dyDescent="0.25">
      <c r="A713" s="24">
        <f>CADASTROS!$B$600</f>
        <v>598</v>
      </c>
      <c r="B713" s="15" t="str">
        <f>CADASTROS!$C$600</f>
        <v>Elissandro Lopes de Souza</v>
      </c>
      <c r="C713" s="25"/>
      <c r="D713" s="35">
        <f>PLANILHA_COLHEITA_DIÁRIA!$I$967</f>
        <v>13.5</v>
      </c>
      <c r="E713" s="17">
        <v>6</v>
      </c>
      <c r="F713" s="26" t="str">
        <f>CADASTROS!$E$600</f>
        <v>Cx. Econômica</v>
      </c>
      <c r="G713" s="24">
        <f>CADASTROS!$F$600</f>
        <v>2734</v>
      </c>
      <c r="H713" s="26" t="str">
        <f>CADASTROS!$G$600</f>
        <v>013</v>
      </c>
      <c r="I713" s="16" t="str">
        <f>CADASTROS!$H$600</f>
        <v>00055191-9</v>
      </c>
      <c r="J713" s="18">
        <f t="shared" si="27"/>
        <v>81</v>
      </c>
    </row>
    <row r="714" spans="1:10" ht="15.75" x14ac:dyDescent="0.25">
      <c r="A714" s="24">
        <f>CADASTROS!$B$601</f>
        <v>599</v>
      </c>
      <c r="B714" s="15" t="str">
        <f>CADASTROS!$C$601</f>
        <v>Gilverson Costa de Souza</v>
      </c>
      <c r="C714" s="25"/>
      <c r="D714" s="35">
        <f>PLANILHA_COLHEITA_DIÁRIA!$I$968</f>
        <v>0</v>
      </c>
      <c r="E714" s="17">
        <v>6</v>
      </c>
      <c r="F714" s="26" t="str">
        <f>CADASTROS!$E$601</f>
        <v>Cx. Econômica</v>
      </c>
      <c r="G714" s="24">
        <f>CADASTROS!$F$601</f>
        <v>4825</v>
      </c>
      <c r="H714" s="26" t="str">
        <f>CADASTROS!$G$601</f>
        <v>013</v>
      </c>
      <c r="I714" s="16" t="str">
        <f>CADASTROS!$H$601</f>
        <v>00016886-4</v>
      </c>
      <c r="J714" s="18">
        <f t="shared" si="27"/>
        <v>0</v>
      </c>
    </row>
    <row r="715" spans="1:10" ht="15.75" x14ac:dyDescent="0.25">
      <c r="A715" s="24">
        <f>CADASTROS!$B$602</f>
        <v>600</v>
      </c>
      <c r="B715" s="15" t="str">
        <f>CADASTROS!$C$602</f>
        <v>Maria Augusta Sales dos Santos</v>
      </c>
      <c r="C715" s="25"/>
      <c r="D715" s="35">
        <f>PLANILHA_COLHEITA_DIÁRIA!$I$969</f>
        <v>0</v>
      </c>
      <c r="E715" s="17">
        <v>6</v>
      </c>
      <c r="F715" s="26" t="str">
        <f>CADASTROS!$E$602</f>
        <v>Bradesco</v>
      </c>
      <c r="G715" s="24" t="str">
        <f>CADASTROS!$F$602</f>
        <v>3801-6</v>
      </c>
      <c r="H715" s="26" t="str">
        <f>CADASTROS!$G$602</f>
        <v>c/corr</v>
      </c>
      <c r="I715" s="16" t="str">
        <f>CADASTROS!$H$602</f>
        <v>0002415-5</v>
      </c>
      <c r="J715" s="18">
        <f t="shared" si="27"/>
        <v>0</v>
      </c>
    </row>
    <row r="716" spans="1:10" ht="15.75" x14ac:dyDescent="0.25">
      <c r="A716" s="24">
        <f>CADASTROS!$B$603</f>
        <v>601</v>
      </c>
      <c r="B716" s="15" t="str">
        <f>CADASTROS!$C$603</f>
        <v>Márcio Santana dos Santos</v>
      </c>
      <c r="C716" s="25"/>
      <c r="D716" s="42">
        <f>PLANILHA_COLHEITA_DIÁRIA!$I$970</f>
        <v>0</v>
      </c>
      <c r="E716" s="17">
        <v>6</v>
      </c>
      <c r="F716" s="26" t="str">
        <f>CADASTROS!$E$603</f>
        <v>Cx. Econômica</v>
      </c>
      <c r="G716" s="24">
        <f>CADASTROS!$F$603</f>
        <v>4825</v>
      </c>
      <c r="H716" s="26" t="str">
        <f>CADASTROS!$G$603</f>
        <v>013</v>
      </c>
      <c r="I716" s="16" t="str">
        <f>CADASTROS!$H$603</f>
        <v>00003890-1</v>
      </c>
      <c r="J716" s="18">
        <f t="shared" si="27"/>
        <v>0</v>
      </c>
    </row>
    <row r="717" spans="1:10" ht="15.75" x14ac:dyDescent="0.25">
      <c r="A717" s="24">
        <f>CADASTROS!$B$604</f>
        <v>602</v>
      </c>
      <c r="B717" s="15" t="str">
        <f>CADASTROS!$C$604</f>
        <v>Lidiane Jesus da Cruz</v>
      </c>
      <c r="C717" s="25"/>
      <c r="D717" s="35">
        <f>PLANILHA_COLHEITA_DIÁRIA!$I$971</f>
        <v>0</v>
      </c>
      <c r="E717" s="17">
        <v>6</v>
      </c>
      <c r="F717" s="26" t="str">
        <f>CADASTROS!$E$604</f>
        <v>Cx. Econômica</v>
      </c>
      <c r="G717" s="24">
        <f>CADASTROS!$F$604</f>
        <v>780</v>
      </c>
      <c r="H717" s="26" t="str">
        <f>CADASTROS!$G$604</f>
        <v>013</v>
      </c>
      <c r="I717" s="16" t="str">
        <f>CADASTROS!$H$604</f>
        <v>00012991-0</v>
      </c>
      <c r="J717" s="18">
        <f t="shared" si="27"/>
        <v>0</v>
      </c>
    </row>
    <row r="718" spans="1:10" ht="15.75" x14ac:dyDescent="0.25">
      <c r="A718" s="24">
        <f>CADASTROS!$B$605</f>
        <v>603</v>
      </c>
      <c r="B718" s="15" t="str">
        <f>CADASTROS!$C$605</f>
        <v>Marinalva de Oliveira</v>
      </c>
      <c r="C718" s="25"/>
      <c r="D718" s="35">
        <f>PLANILHA_COLHEITA_DIÁRIA!$I$972</f>
        <v>0</v>
      </c>
      <c r="E718" s="17">
        <v>6</v>
      </c>
      <c r="F718" s="26" t="str">
        <f>CADASTROS!$E$605</f>
        <v>Cx. Econômica</v>
      </c>
      <c r="G718" s="24">
        <f>CADASTROS!$F$605</f>
        <v>4818</v>
      </c>
      <c r="H718" s="26">
        <f>CADASTROS!$G$605</f>
        <v>0</v>
      </c>
      <c r="I718" s="16" t="str">
        <f>CADASTROS!$H$605</f>
        <v>000860461984-2</v>
      </c>
      <c r="J718" s="18">
        <f t="shared" si="27"/>
        <v>0</v>
      </c>
    </row>
    <row r="719" spans="1:10" ht="15.75" x14ac:dyDescent="0.25">
      <c r="A719" s="24">
        <f>CADASTROS!$B$606</f>
        <v>604</v>
      </c>
      <c r="B719" s="15" t="str">
        <f>CADASTROS!$C$606</f>
        <v>Carlos Cruz Almeida</v>
      </c>
      <c r="C719" s="25"/>
      <c r="D719" s="35">
        <f>PLANILHA_COLHEITA_DIÁRIA!$I$973</f>
        <v>0</v>
      </c>
      <c r="E719" s="17">
        <v>6</v>
      </c>
      <c r="F719" s="26" t="str">
        <f>CADASTROS!$E$606</f>
        <v>Cx. Econômica</v>
      </c>
      <c r="G719" s="24">
        <f>CADASTROS!$F$606</f>
        <v>949</v>
      </c>
      <c r="H719" s="26" t="str">
        <f>CADASTROS!$G$606</f>
        <v>013</v>
      </c>
      <c r="I719" s="16" t="str">
        <f>CADASTROS!$H$606</f>
        <v>00021240-9</v>
      </c>
      <c r="J719" s="18">
        <f t="shared" si="27"/>
        <v>0</v>
      </c>
    </row>
    <row r="720" spans="1:10" ht="15.75" x14ac:dyDescent="0.25">
      <c r="A720" s="24">
        <f>CADASTROS!$B$607</f>
        <v>605</v>
      </c>
      <c r="B720" s="15" t="str">
        <f>CADASTROS!$C$607</f>
        <v>Darleide Santana de Aandrade</v>
      </c>
      <c r="C720" s="25"/>
      <c r="D720" s="42">
        <f>PLANILHA_COLHEITA_DIÁRIA!$I$974</f>
        <v>0</v>
      </c>
      <c r="E720" s="17">
        <v>6</v>
      </c>
      <c r="F720" s="26" t="str">
        <f>CADASTROS!$E$607</f>
        <v>Bradesco</v>
      </c>
      <c r="G720" s="24" t="str">
        <f>CADASTROS!$F$607</f>
        <v>3655-2</v>
      </c>
      <c r="H720" s="26" t="str">
        <f>CADASTROS!$G$607</f>
        <v>c/poup</v>
      </c>
      <c r="I720" s="16" t="str">
        <f>CADASTROS!$H$607</f>
        <v>1002383-1</v>
      </c>
      <c r="J720" s="18">
        <f t="shared" si="27"/>
        <v>0</v>
      </c>
    </row>
    <row r="721" spans="1:10" ht="15.75" x14ac:dyDescent="0.25">
      <c r="A721" s="24">
        <f>CADASTROS!$B$608</f>
        <v>606</v>
      </c>
      <c r="B721" s="15" t="str">
        <f>CADASTROS!$C$608</f>
        <v>Vailson Magno dos Anjos</v>
      </c>
      <c r="C721" s="25"/>
      <c r="D721" s="35">
        <f>PLANILHA_COLHEITA_DIÁRIA!$I$975</f>
        <v>0</v>
      </c>
      <c r="E721" s="17">
        <v>6</v>
      </c>
      <c r="F721" s="26" t="str">
        <f>CADASTROS!$E$608</f>
        <v>Bradesco</v>
      </c>
      <c r="G721" s="24" t="str">
        <f>CADASTROS!$F$608</f>
        <v>3616-1</v>
      </c>
      <c r="H721" s="26" t="str">
        <f>CADASTROS!$G$608</f>
        <v>c/corr</v>
      </c>
      <c r="I721" s="16" t="str">
        <f>CADASTROS!$H$608</f>
        <v>0613246-4</v>
      </c>
      <c r="J721" s="18">
        <f t="shared" si="27"/>
        <v>0</v>
      </c>
    </row>
    <row r="722" spans="1:10" ht="15.75" x14ac:dyDescent="0.25">
      <c r="A722" s="24">
        <f>CADASTROS!$B$609</f>
        <v>607</v>
      </c>
      <c r="B722" s="15" t="str">
        <f>CADASTROS!$C$609</f>
        <v>Carlos Santana da Silva</v>
      </c>
      <c r="C722" s="25"/>
      <c r="D722" s="35">
        <f>PLANILHA_COLHEITA_DIÁRIA!$I$976</f>
        <v>0</v>
      </c>
      <c r="E722" s="17">
        <v>6</v>
      </c>
      <c r="F722" s="26" t="str">
        <f>CADASTROS!$E$609</f>
        <v>Cx. Econômica</v>
      </c>
      <c r="G722" s="24">
        <f>CADASTROS!$F$609</f>
        <v>4825</v>
      </c>
      <c r="H722" s="26" t="str">
        <f>CADASTROS!$G$609</f>
        <v>013</v>
      </c>
      <c r="I722" s="16" t="str">
        <f>CADASTROS!$H$609</f>
        <v>00018078-3</v>
      </c>
      <c r="J722" s="18">
        <f t="shared" si="27"/>
        <v>0</v>
      </c>
    </row>
    <row r="723" spans="1:10" ht="15.75" x14ac:dyDescent="0.25">
      <c r="A723" s="24">
        <f>CADASTROS!$B$610</f>
        <v>608</v>
      </c>
      <c r="B723" s="15" t="str">
        <f>CADASTROS!$C$610</f>
        <v>Gerivan G. Ferreira</v>
      </c>
      <c r="C723" s="25"/>
      <c r="D723" s="35">
        <f>PLANILHA_COLHEITA_DIÁRIA!$I$977</f>
        <v>0</v>
      </c>
      <c r="E723" s="17">
        <v>6</v>
      </c>
      <c r="F723" s="26" t="str">
        <f>CADASTROS!$E$610</f>
        <v>Cx. Econômica</v>
      </c>
      <c r="G723" s="24">
        <f>CADASTROS!$F$610</f>
        <v>4818</v>
      </c>
      <c r="H723" s="26" t="str">
        <f>CADASTROS!$G$610</f>
        <v>013</v>
      </c>
      <c r="I723" s="16" t="str">
        <f>CADASTROS!$H$610</f>
        <v>00007532-9</v>
      </c>
      <c r="J723" s="18">
        <f t="shared" si="27"/>
        <v>0</v>
      </c>
    </row>
    <row r="724" spans="1:10" ht="15.75" x14ac:dyDescent="0.25">
      <c r="A724" s="24">
        <f>CADASTROS!$B$611</f>
        <v>609</v>
      </c>
      <c r="B724" s="15" t="str">
        <f>CADASTROS!$C$611</f>
        <v>Juciara Oliveira Vieira</v>
      </c>
      <c r="C724" s="25"/>
      <c r="D724" s="35">
        <f>PLANILHA_COLHEITA_DIÁRIA!$I$978</f>
        <v>0</v>
      </c>
      <c r="E724" s="17">
        <v>6</v>
      </c>
      <c r="F724" s="26" t="str">
        <f>CADASTROS!$E$611</f>
        <v>Cx. Econômica</v>
      </c>
      <c r="G724" s="24">
        <f>CADASTROS!$F$611</f>
        <v>949</v>
      </c>
      <c r="H724" s="26" t="str">
        <f>CADASTROS!$G$611</f>
        <v>013</v>
      </c>
      <c r="I724" s="16" t="str">
        <f>CADASTROS!$H$611</f>
        <v>00037856-0</v>
      </c>
      <c r="J724" s="18">
        <f t="shared" si="27"/>
        <v>0</v>
      </c>
    </row>
    <row r="725" spans="1:10" ht="15.75" x14ac:dyDescent="0.25">
      <c r="A725" s="24">
        <f>CADASTROS!$B$612</f>
        <v>610</v>
      </c>
      <c r="B725" s="15" t="str">
        <f>CADASTROS!$C$612</f>
        <v>Ana Lucia Santana Souza</v>
      </c>
      <c r="C725" s="25"/>
      <c r="D725" s="35">
        <f>PLANILHA_COLHEITA_DIÁRIA!$I$979</f>
        <v>0</v>
      </c>
      <c r="E725" s="17">
        <v>6</v>
      </c>
      <c r="F725" s="26" t="str">
        <f>CADASTROS!$E$612</f>
        <v>Cx. Econômica</v>
      </c>
      <c r="G725" s="24">
        <f>CADASTROS!$F$612</f>
        <v>949</v>
      </c>
      <c r="H725" s="26" t="str">
        <f>CADASTROS!$G$612</f>
        <v>023</v>
      </c>
      <c r="I725" s="16" t="str">
        <f>CADASTROS!$H$612</f>
        <v>00023188-5</v>
      </c>
      <c r="J725" s="18">
        <f t="shared" si="27"/>
        <v>0</v>
      </c>
    </row>
    <row r="726" spans="1:10" ht="15.75" x14ac:dyDescent="0.25">
      <c r="A726" s="24">
        <f>CADASTROS!$B$613</f>
        <v>611</v>
      </c>
      <c r="B726" s="15" t="str">
        <f>CADASTROS!$C$613</f>
        <v>Marcos Cesar Araújo</v>
      </c>
      <c r="C726" s="25"/>
      <c r="D726" s="35">
        <f>PLANILHA_COLHEITA_DIÁRIA!$I$980</f>
        <v>0</v>
      </c>
      <c r="E726" s="17">
        <v>6</v>
      </c>
      <c r="F726" s="26" t="str">
        <f>CADASTROS!$E$613</f>
        <v>Cx. Econômica</v>
      </c>
      <c r="G726" s="24">
        <f>CADASTROS!$F$613</f>
        <v>4818</v>
      </c>
      <c r="H726" s="26" t="str">
        <f>CADASTROS!$G$613</f>
        <v>013</v>
      </c>
      <c r="I726" s="16" t="str">
        <f>CADASTROS!$H$613</f>
        <v>00007978-2</v>
      </c>
      <c r="J726" s="18">
        <f t="shared" si="27"/>
        <v>0</v>
      </c>
    </row>
    <row r="727" spans="1:10" ht="15.75" x14ac:dyDescent="0.25">
      <c r="A727" s="24">
        <f>CADASTROS!$B$614</f>
        <v>612</v>
      </c>
      <c r="B727" s="15" t="str">
        <f>CADASTROS!$C$614</f>
        <v>Edimar Araújo da Silva</v>
      </c>
      <c r="C727" s="25"/>
      <c r="D727" s="52">
        <f>PLANILHA_COLHEITA_DIÁRIA!$I$1083</f>
        <v>0</v>
      </c>
      <c r="E727" s="17">
        <v>6</v>
      </c>
      <c r="F727" s="26" t="str">
        <f>CADASTROS!$E$614</f>
        <v>Cx. Econômica</v>
      </c>
      <c r="G727" s="24">
        <f>CADASTROS!$F$614</f>
        <v>949</v>
      </c>
      <c r="H727" s="26" t="str">
        <f>CADASTROS!$G$614</f>
        <v>013</v>
      </c>
      <c r="I727" s="16" t="str">
        <f>CADASTROS!$H$614</f>
        <v>00038071-9</v>
      </c>
      <c r="J727" s="18">
        <f t="shared" si="27"/>
        <v>0</v>
      </c>
    </row>
    <row r="728" spans="1:10" ht="15.75" x14ac:dyDescent="0.25">
      <c r="A728" s="24">
        <f>CADASTROS!$B$615</f>
        <v>613</v>
      </c>
      <c r="B728" s="15" t="str">
        <f>CADASTROS!$C$615</f>
        <v>Cosme Miranda de Andrade</v>
      </c>
      <c r="C728" s="25"/>
      <c r="D728" s="52">
        <f>PLANILHA_COLHEITA_DIÁRIA!$I$1084</f>
        <v>0</v>
      </c>
      <c r="E728" s="17">
        <v>6</v>
      </c>
      <c r="F728" s="26" t="str">
        <f>CADASTROS!$E$615</f>
        <v>Cx. Econômica</v>
      </c>
      <c r="G728" s="24">
        <f>CADASTROS!$F$615</f>
        <v>949</v>
      </c>
      <c r="H728" s="26" t="str">
        <f>CADASTROS!$G$615</f>
        <v>023</v>
      </c>
      <c r="I728" s="16" t="str">
        <f>CADASTROS!$H$615</f>
        <v>00029519-0</v>
      </c>
      <c r="J728" s="18">
        <f t="shared" si="27"/>
        <v>0</v>
      </c>
    </row>
    <row r="729" spans="1:10" ht="15.75" x14ac:dyDescent="0.25">
      <c r="A729" s="24">
        <f>CADASTROS!$B$616</f>
        <v>614</v>
      </c>
      <c r="B729" s="15" t="str">
        <f>CADASTROS!$C$616</f>
        <v>Luis Inácio Souza Santos</v>
      </c>
      <c r="C729" s="25"/>
      <c r="D729" s="35">
        <f>PLANILHA_COLHEITA_DIÁRIA!$I$1085</f>
        <v>0</v>
      </c>
      <c r="E729" s="17">
        <v>6</v>
      </c>
      <c r="F729" s="26" t="str">
        <f>CADASTROS!$E$616</f>
        <v>Cx. Econômica</v>
      </c>
      <c r="G729" s="24">
        <f>CADASTROS!$F$616</f>
        <v>4818</v>
      </c>
      <c r="H729" s="26" t="str">
        <f>CADASTROS!$G$616</f>
        <v>013</v>
      </c>
      <c r="I729" s="16" t="str">
        <f>CADASTROS!$H$616</f>
        <v>00008271-6</v>
      </c>
      <c r="J729" s="18">
        <f t="shared" si="27"/>
        <v>0</v>
      </c>
    </row>
    <row r="730" spans="1:10" ht="15.75" x14ac:dyDescent="0.25">
      <c r="A730" s="24">
        <f>CADASTROS!$B$617</f>
        <v>615</v>
      </c>
      <c r="B730" s="15" t="str">
        <f>CADASTROS!$C$617</f>
        <v>Claudinei Baraúna Souza</v>
      </c>
      <c r="C730" s="25"/>
      <c r="D730" s="35">
        <f>PLANILHA_COLHEITA_DIÁRIA!$I$1086</f>
        <v>0</v>
      </c>
      <c r="E730" s="17">
        <v>6</v>
      </c>
      <c r="F730" s="26" t="str">
        <f>CADASTROS!$E$617</f>
        <v>Cx. Econômica</v>
      </c>
      <c r="G730" s="24">
        <f>CADASTROS!$F$617</f>
        <v>13</v>
      </c>
      <c r="H730" s="26" t="str">
        <f>CADASTROS!$G$617</f>
        <v>013</v>
      </c>
      <c r="I730" s="16" t="str">
        <f>CADASTROS!$H$617</f>
        <v>00063967-5</v>
      </c>
      <c r="J730" s="18">
        <f t="shared" si="27"/>
        <v>0</v>
      </c>
    </row>
    <row r="731" spans="1:10" ht="15.75" x14ac:dyDescent="0.25">
      <c r="A731" s="24">
        <f>CADASTROS!$B$618</f>
        <v>616</v>
      </c>
      <c r="B731" s="15" t="str">
        <f>CADASTROS!$C$618</f>
        <v>Maria Edileusa O Souza</v>
      </c>
      <c r="C731" s="25"/>
      <c r="D731" s="52">
        <f>PLANILHA_COLHEITA_DIÁRIA!$I$1087</f>
        <v>0</v>
      </c>
      <c r="E731" s="17">
        <v>6</v>
      </c>
      <c r="F731" s="26" t="str">
        <f>CADASTROS!$E$618</f>
        <v>Cx. Econômica</v>
      </c>
      <c r="G731" s="24">
        <f>CADASTROS!$F$618</f>
        <v>4825</v>
      </c>
      <c r="H731" s="26" t="str">
        <f>CADASTROS!$G$618</f>
        <v>013</v>
      </c>
      <c r="I731" s="16" t="str">
        <f>CADASTROS!$H$618</f>
        <v>00003221-0</v>
      </c>
      <c r="J731" s="18">
        <f t="shared" si="27"/>
        <v>0</v>
      </c>
    </row>
    <row r="732" spans="1:10" ht="15.75" x14ac:dyDescent="0.25">
      <c r="A732" s="24">
        <f>CADASTROS!$B$619</f>
        <v>617</v>
      </c>
      <c r="B732" s="15" t="str">
        <f>CADASTROS!$C$619</f>
        <v>Tereza Sena dos Santos</v>
      </c>
      <c r="C732" s="25"/>
      <c r="D732" s="52">
        <f>PLANILHA_COLHEITA_DIÁRIA!$I$1088</f>
        <v>0</v>
      </c>
      <c r="E732" s="17">
        <v>6</v>
      </c>
      <c r="F732" s="26" t="str">
        <f>CADASTROS!$E$619</f>
        <v>Cx. Econômica</v>
      </c>
      <c r="G732" s="24">
        <f>CADASTROS!$F$619</f>
        <v>780</v>
      </c>
      <c r="H732" s="26" t="str">
        <f>CADASTROS!$G$619</f>
        <v>023</v>
      </c>
      <c r="I732" s="16" t="str">
        <f>CADASTROS!$H$619</f>
        <v>00024713-9</v>
      </c>
      <c r="J732" s="18">
        <f t="shared" si="27"/>
        <v>0</v>
      </c>
    </row>
    <row r="733" spans="1:10" ht="15.75" x14ac:dyDescent="0.25">
      <c r="A733" s="24">
        <f>CADASTROS!$B$620</f>
        <v>618</v>
      </c>
      <c r="B733" s="15" t="str">
        <f>CADASTROS!$C$620</f>
        <v>Zilda de Souza Dias</v>
      </c>
      <c r="C733" s="25"/>
      <c r="D733" s="53">
        <f>PLANILHA_COLHEITA_DIÁRIA!$I$1089</f>
        <v>0</v>
      </c>
      <c r="E733" s="17">
        <v>6</v>
      </c>
      <c r="F733" s="26" t="str">
        <f>CADASTROS!$E$620</f>
        <v>Cx. Econômica</v>
      </c>
      <c r="G733" s="24">
        <f>CADASTROS!$F$620</f>
        <v>4825</v>
      </c>
      <c r="H733" s="26" t="str">
        <f>CADASTROS!$G$620</f>
        <v>1288</v>
      </c>
      <c r="I733" s="16" t="str">
        <f>CADASTROS!$H$620</f>
        <v>798925888-0</v>
      </c>
      <c r="J733" s="18">
        <f t="shared" si="27"/>
        <v>0</v>
      </c>
    </row>
    <row r="734" spans="1:10" ht="15.75" x14ac:dyDescent="0.25">
      <c r="A734" s="24">
        <f>CADASTROS!$B$621</f>
        <v>619</v>
      </c>
      <c r="B734" s="15" t="str">
        <f>CADASTROS!$C$621</f>
        <v>Patrícia Barauna Oliveira</v>
      </c>
      <c r="C734" s="25"/>
      <c r="D734" s="53">
        <f>PLANILHA_COLHEITA_DIÁRIA!$I$1090</f>
        <v>0</v>
      </c>
      <c r="E734" s="17">
        <v>6</v>
      </c>
      <c r="F734" s="26" t="str">
        <f>CADASTROS!$E$621</f>
        <v>Cx. Econômica</v>
      </c>
      <c r="G734" s="24">
        <f>CADASTROS!$F$621</f>
        <v>4825</v>
      </c>
      <c r="H734" s="26" t="str">
        <f>CADASTROS!$G$621</f>
        <v>013</v>
      </c>
      <c r="I734" s="16" t="str">
        <f>CADASTROS!$H$621</f>
        <v>00015213-5</v>
      </c>
      <c r="J734" s="18">
        <f t="shared" si="27"/>
        <v>0</v>
      </c>
    </row>
    <row r="735" spans="1:10" ht="15.75" x14ac:dyDescent="0.25">
      <c r="A735" s="24">
        <f>CADASTROS!$B$622</f>
        <v>620</v>
      </c>
      <c r="B735" s="15" t="str">
        <f>CADASTROS!$C$622</f>
        <v>Raquel Oliveira Santos</v>
      </c>
      <c r="C735" s="25"/>
      <c r="D735" s="53">
        <f>PLANILHA_COLHEITA_DIÁRIA!$I$1091</f>
        <v>0</v>
      </c>
      <c r="E735" s="17">
        <v>6</v>
      </c>
      <c r="F735" s="26" t="str">
        <f>CADASTROS!$E$622</f>
        <v>Cx. Econômica</v>
      </c>
      <c r="G735" s="24">
        <f>CADASTROS!$F$622</f>
        <v>780</v>
      </c>
      <c r="H735" s="26" t="str">
        <f>CADASTROS!$G$622</f>
        <v>023</v>
      </c>
      <c r="I735" s="16" t="str">
        <f>CADASTROS!$H$622</f>
        <v>00012208-5</v>
      </c>
      <c r="J735" s="18">
        <f t="shared" si="27"/>
        <v>0</v>
      </c>
    </row>
    <row r="736" spans="1:10" ht="15.75" x14ac:dyDescent="0.25">
      <c r="A736" s="24">
        <f>CADASTROS!$B$623</f>
        <v>621</v>
      </c>
      <c r="B736" s="15" t="str">
        <f>CADASTROS!$C$623</f>
        <v>Ednalva Soares de Lima</v>
      </c>
      <c r="C736" s="25"/>
      <c r="D736" s="52">
        <f>PLANILHA_COLHEITA_DIÁRIA!$I$1092</f>
        <v>0</v>
      </c>
      <c r="E736" s="17">
        <v>6</v>
      </c>
      <c r="F736" s="26" t="str">
        <f>CADASTROS!$E$623</f>
        <v>Cx. Econômica</v>
      </c>
      <c r="G736" s="24">
        <f>CADASTROS!$F$623</f>
        <v>4825</v>
      </c>
      <c r="H736" s="26" t="str">
        <f>CADASTROS!$G$623</f>
        <v>013</v>
      </c>
      <c r="I736" s="16" t="str">
        <f>CADASTROS!$H$623</f>
        <v>00012401-8</v>
      </c>
      <c r="J736" s="18">
        <f t="shared" si="27"/>
        <v>0</v>
      </c>
    </row>
    <row r="737" spans="1:10" ht="15.75" x14ac:dyDescent="0.25">
      <c r="A737" s="24">
        <f>CADASTROS!$B$624</f>
        <v>622</v>
      </c>
      <c r="B737" s="15" t="str">
        <f>CADASTROS!$C$624</f>
        <v>Gesiana de Oliveira Souza</v>
      </c>
      <c r="C737" s="25"/>
      <c r="D737" s="35">
        <f>PLANILHA_COLHEITA_DIÁRIA!$I$1093</f>
        <v>0</v>
      </c>
      <c r="E737" s="17">
        <v>6</v>
      </c>
      <c r="F737" s="26" t="str">
        <f>CADASTROS!$E$624</f>
        <v>Cx. Econômica</v>
      </c>
      <c r="G737" s="24">
        <f>CADASTROS!$F$624</f>
        <v>780</v>
      </c>
      <c r="H737" s="26" t="str">
        <f>CADASTROS!$G$624</f>
        <v>023</v>
      </c>
      <c r="I737" s="16" t="str">
        <f>CADASTROS!$H$624</f>
        <v>00012319-7</v>
      </c>
      <c r="J737" s="18">
        <f t="shared" si="27"/>
        <v>0</v>
      </c>
    </row>
    <row r="738" spans="1:10" ht="15.75" x14ac:dyDescent="0.25">
      <c r="A738" s="24">
        <f>CADASTROS!$B$625</f>
        <v>623</v>
      </c>
      <c r="B738" s="15" t="str">
        <f>CADASTROS!$C$625</f>
        <v>Janete de Souza</v>
      </c>
      <c r="C738" s="25"/>
      <c r="D738" s="35">
        <f>PLANILHA_COLHEITA_DIÁRIA!$I$1094</f>
        <v>0</v>
      </c>
      <c r="E738" s="17">
        <v>6</v>
      </c>
      <c r="F738" s="26" t="str">
        <f>CADASTROS!$E$625</f>
        <v>Bradesco</v>
      </c>
      <c r="G738" s="24">
        <f>CADASTROS!$F$625</f>
        <v>3862</v>
      </c>
      <c r="H738" s="26">
        <f>CADASTROS!$G$625</f>
        <v>0</v>
      </c>
      <c r="I738" s="16" t="str">
        <f>CADASTROS!$H$625</f>
        <v>588355-5</v>
      </c>
      <c r="J738" s="18">
        <f t="shared" si="27"/>
        <v>0</v>
      </c>
    </row>
    <row r="739" spans="1:10" ht="15.75" x14ac:dyDescent="0.25">
      <c r="A739" s="24">
        <f>CADASTROS!$B$626</f>
        <v>624</v>
      </c>
      <c r="B739" s="15" t="str">
        <f>CADASTROS!$C$626</f>
        <v>Paula dos Reis Silva</v>
      </c>
      <c r="C739" s="25"/>
      <c r="D739" s="52">
        <f>PLANILHA_COLHEITA_DIÁRIA!$I$1095</f>
        <v>0</v>
      </c>
      <c r="E739" s="17">
        <v>6</v>
      </c>
      <c r="F739" s="26" t="str">
        <f>CADASTROS!$E$626</f>
        <v>Cx. Econômica</v>
      </c>
      <c r="G739" s="24">
        <f>CADASTROS!$F$626</f>
        <v>4825</v>
      </c>
      <c r="H739" s="26" t="str">
        <f>CADASTROS!$G$626</f>
        <v>013</v>
      </c>
      <c r="I739" s="16" t="str">
        <f>CADASTROS!$H$626</f>
        <v>00011960-0</v>
      </c>
      <c r="J739" s="18">
        <f t="shared" si="27"/>
        <v>0</v>
      </c>
    </row>
    <row r="740" spans="1:10" ht="15.75" x14ac:dyDescent="0.25">
      <c r="A740" s="24">
        <f>CADASTROS!$B$627</f>
        <v>625</v>
      </c>
      <c r="B740" s="15" t="str">
        <f>CADASTROS!$C$627</f>
        <v>Marivania Teles de Oliveira</v>
      </c>
      <c r="C740" s="25"/>
      <c r="D740" s="35">
        <f>PLANILHA_COLHEITA_DIÁRIA!$I$1096</f>
        <v>0</v>
      </c>
      <c r="E740" s="17">
        <v>6</v>
      </c>
      <c r="F740" s="26" t="str">
        <f>CADASTROS!$E$627</f>
        <v>Cx. Econômica</v>
      </c>
      <c r="G740" s="24">
        <f>CADASTROS!$F$627</f>
        <v>780</v>
      </c>
      <c r="H740" s="26" t="str">
        <f>CADASTROS!$G$627</f>
        <v>023</v>
      </c>
      <c r="I740" s="16" t="str">
        <f>CADASTROS!$H$627</f>
        <v>00011412-0</v>
      </c>
      <c r="J740" s="18">
        <f t="shared" si="27"/>
        <v>0</v>
      </c>
    </row>
    <row r="741" spans="1:10" ht="15.75" x14ac:dyDescent="0.25">
      <c r="A741" s="24">
        <f>CADASTROS!$B$628</f>
        <v>626</v>
      </c>
      <c r="B741" s="15" t="str">
        <f>CADASTROS!$C$628</f>
        <v xml:space="preserve">Aristides F Sena </v>
      </c>
      <c r="C741" s="25"/>
      <c r="D741" s="35">
        <f>PLANILHA_COLHEITA_DIÁRIA!$I$1097</f>
        <v>0</v>
      </c>
      <c r="E741" s="17">
        <v>6</v>
      </c>
      <c r="F741" s="26" t="str">
        <f>CADASTROS!$E$628</f>
        <v>Banco do Brasil</v>
      </c>
      <c r="G741" s="24" t="str">
        <f>CADASTROS!$F$628</f>
        <v>2760-X</v>
      </c>
      <c r="H741" s="26" t="str">
        <f>CADASTROS!$G$628</f>
        <v>c/corr</v>
      </c>
      <c r="I741" s="16" t="str">
        <f>CADASTROS!$H$628</f>
        <v>5.673-1</v>
      </c>
      <c r="J741" s="18">
        <f t="shared" si="27"/>
        <v>0</v>
      </c>
    </row>
    <row r="742" spans="1:10" ht="15.75" x14ac:dyDescent="0.25">
      <c r="A742" s="24">
        <f>CADASTROS!$B$629</f>
        <v>627</v>
      </c>
      <c r="B742" s="15" t="str">
        <f>CADASTROS!$C$629</f>
        <v>Ademilson Maria Oliveira</v>
      </c>
      <c r="C742" s="25"/>
      <c r="D742" s="35">
        <f>PLANILHA_COLHEITA_DIÁRIA!$I$1098</f>
        <v>0</v>
      </c>
      <c r="E742" s="17">
        <v>6</v>
      </c>
      <c r="F742" s="26" t="str">
        <f>CADASTROS!$E$629</f>
        <v>Banco do Brasil</v>
      </c>
      <c r="G742" s="24" t="str">
        <f>CADASTROS!$F$629</f>
        <v>1099-5</v>
      </c>
      <c r="H742" s="26" t="str">
        <f>CADASTROS!$G$629</f>
        <v>c/corr</v>
      </c>
      <c r="I742" s="16" t="str">
        <f>CADASTROS!$H$629</f>
        <v>22.791-9</v>
      </c>
      <c r="J742" s="18">
        <f t="shared" si="27"/>
        <v>0</v>
      </c>
    </row>
    <row r="743" spans="1:10" ht="15.75" x14ac:dyDescent="0.25">
      <c r="A743" s="24">
        <f>CADASTROS!$B$630</f>
        <v>628</v>
      </c>
      <c r="B743" s="15" t="str">
        <f>CADASTROS!$C$630</f>
        <v>Edna Rosa da Fonseca</v>
      </c>
      <c r="C743" s="25"/>
      <c r="D743" s="41">
        <f>PLANILHA_COLHEITA_DIÁRIA!$I$1099</f>
        <v>0</v>
      </c>
      <c r="E743" s="17">
        <v>6</v>
      </c>
      <c r="F743" s="26" t="str">
        <f>CADASTROS!$E$630</f>
        <v>Cx. Econômica</v>
      </c>
      <c r="G743" s="24">
        <f>CADASTROS!$F$630</f>
        <v>4825</v>
      </c>
      <c r="H743" s="26" t="str">
        <f>CADASTROS!$G$630</f>
        <v>013</v>
      </c>
      <c r="I743" s="16" t="str">
        <f>CADASTROS!$H$630</f>
        <v>00017306-0</v>
      </c>
      <c r="J743" s="18">
        <f t="shared" si="27"/>
        <v>0</v>
      </c>
    </row>
    <row r="744" spans="1:10" ht="15.75" x14ac:dyDescent="0.25">
      <c r="A744" s="24">
        <f>CADASTROS!$B$631</f>
        <v>629</v>
      </c>
      <c r="B744" s="15" t="str">
        <f>CADASTROS!$C$631</f>
        <v>Rosimeire Oliveira Jesus</v>
      </c>
      <c r="C744" s="25"/>
      <c r="D744" s="35">
        <f>PLANILHA_COLHEITA_DIÁRIA!$I$1100</f>
        <v>0</v>
      </c>
      <c r="E744" s="17">
        <v>6</v>
      </c>
      <c r="F744" s="26" t="str">
        <f>CADASTROS!$E$631</f>
        <v>Cx. Econômica</v>
      </c>
      <c r="G744" s="24">
        <f>CADASTROS!$F$631</f>
        <v>949</v>
      </c>
      <c r="H744" s="26" t="str">
        <f>CADASTROS!$G$631</f>
        <v>023</v>
      </c>
      <c r="I744" s="16" t="str">
        <f>CADASTROS!$H$631</f>
        <v>00015732-4</v>
      </c>
      <c r="J744" s="18">
        <f t="shared" si="27"/>
        <v>0</v>
      </c>
    </row>
    <row r="745" spans="1:10" ht="15.75" x14ac:dyDescent="0.25">
      <c r="B745" s="220"/>
      <c r="C745" s="220"/>
      <c r="D745" s="12">
        <f>SUM(D700:D744)</f>
        <v>13.5</v>
      </c>
      <c r="E745" s="12"/>
      <c r="F745" s="162"/>
      <c r="G745" s="163"/>
      <c r="H745" s="163"/>
      <c r="I745" s="164"/>
      <c r="J745" s="14">
        <f>SUM(J700:J744)</f>
        <v>81</v>
      </c>
    </row>
    <row r="748" spans="1:10" ht="15.75" x14ac:dyDescent="0.25">
      <c r="A748" s="213" t="s">
        <v>4816</v>
      </c>
      <c r="B748" s="213"/>
      <c r="C748" s="213"/>
      <c r="D748" s="213"/>
      <c r="E748" s="213"/>
      <c r="F748" s="213"/>
      <c r="G748" s="213"/>
      <c r="H748" s="213"/>
      <c r="I748" s="213"/>
      <c r="J748" s="213"/>
    </row>
    <row r="749" spans="1:10" ht="16.5" thickBot="1" x14ac:dyDescent="0.3">
      <c r="A749" s="214" t="s">
        <v>4843</v>
      </c>
      <c r="B749" s="214"/>
      <c r="C749" s="214"/>
      <c r="D749" s="214"/>
      <c r="E749" s="214"/>
      <c r="F749" s="214"/>
      <c r="G749" s="214"/>
      <c r="H749" s="214"/>
      <c r="I749" s="214"/>
      <c r="J749" s="214"/>
    </row>
    <row r="750" spans="1:10" ht="17.25" thickTop="1" thickBot="1" x14ac:dyDescent="0.3">
      <c r="A750" s="215" t="s">
        <v>4844</v>
      </c>
      <c r="B750" s="215"/>
      <c r="C750" s="215"/>
      <c r="D750" s="215"/>
      <c r="E750" s="215"/>
      <c r="F750" s="215"/>
      <c r="G750" s="215"/>
      <c r="H750" s="215"/>
      <c r="I750" s="215"/>
      <c r="J750" s="215"/>
    </row>
    <row r="751" spans="1:10" ht="19.149999999999999" customHeight="1" x14ac:dyDescent="0.25">
      <c r="A751" s="19" t="s">
        <v>4846</v>
      </c>
      <c r="B751" s="216" t="s">
        <v>1</v>
      </c>
      <c r="C751" s="221" t="s">
        <v>2</v>
      </c>
      <c r="D751" s="223" t="s">
        <v>4847</v>
      </c>
      <c r="E751" s="20" t="s">
        <v>4848</v>
      </c>
      <c r="F751" s="216" t="s">
        <v>3</v>
      </c>
      <c r="G751" s="216" t="s">
        <v>4</v>
      </c>
      <c r="H751" s="216" t="s">
        <v>5</v>
      </c>
      <c r="I751" s="216" t="s">
        <v>6</v>
      </c>
      <c r="J751" s="218" t="s">
        <v>4849</v>
      </c>
    </row>
    <row r="752" spans="1:10" ht="19.5" customHeight="1" thickBot="1" x14ac:dyDescent="0.3">
      <c r="A752" s="21" t="s">
        <v>4850</v>
      </c>
      <c r="B752" s="217"/>
      <c r="C752" s="222"/>
      <c r="D752" s="224"/>
      <c r="E752" s="161" t="s">
        <v>4851</v>
      </c>
      <c r="F752" s="217"/>
      <c r="G752" s="217"/>
      <c r="H752" s="217"/>
      <c r="I752" s="217"/>
      <c r="J752" s="219"/>
    </row>
    <row r="753" spans="1:10" ht="15.75" x14ac:dyDescent="0.25">
      <c r="A753" s="24">
        <f>CADASTROS!$B$632</f>
        <v>630</v>
      </c>
      <c r="B753" s="15" t="str">
        <f>CADASTROS!$C$632</f>
        <v>Ana Gleide Rosa Sateles</v>
      </c>
      <c r="C753" s="25"/>
      <c r="D753" s="25">
        <f>PLANILHA_COLHEITA_DIÁRIA!$I$287</f>
        <v>0</v>
      </c>
      <c r="E753" s="17">
        <v>6</v>
      </c>
      <c r="F753" s="26" t="str">
        <f>CADASTROS!$E$632</f>
        <v>Cx. Econômica</v>
      </c>
      <c r="G753" s="24">
        <f>CADASTROS!$F$632</f>
        <v>4825</v>
      </c>
      <c r="H753" s="26" t="str">
        <f>CADASTROS!$G$632</f>
        <v>013</v>
      </c>
      <c r="I753" s="16" t="str">
        <f>CADASTROS!$H$632</f>
        <v>00004236-4</v>
      </c>
      <c r="J753" s="18">
        <f t="shared" ref="J753:J797" si="28">D753*E753</f>
        <v>0</v>
      </c>
    </row>
    <row r="754" spans="1:10" ht="15.75" x14ac:dyDescent="0.25">
      <c r="A754" s="24">
        <f>CADASTROS!$B$633</f>
        <v>631</v>
      </c>
      <c r="B754" s="15" t="str">
        <f>CADASTROS!$C$633</f>
        <v>Lindinalva J Fernandes</v>
      </c>
      <c r="C754" s="25"/>
      <c r="D754" s="25">
        <f>PLANILHA_COLHEITA_DIÁRIA!$I$288</f>
        <v>0</v>
      </c>
      <c r="E754" s="17">
        <v>6</v>
      </c>
      <c r="F754" s="26" t="str">
        <f>CADASTROS!$E$633</f>
        <v>Cx. Econômica</v>
      </c>
      <c r="G754" s="24">
        <f>CADASTROS!$F$633</f>
        <v>4825</v>
      </c>
      <c r="H754" s="26" t="str">
        <f>CADASTROS!$G$633</f>
        <v>013</v>
      </c>
      <c r="I754" s="16" t="str">
        <f>CADASTROS!$H$633</f>
        <v>00002047-6</v>
      </c>
      <c r="J754" s="18">
        <f t="shared" si="28"/>
        <v>0</v>
      </c>
    </row>
    <row r="755" spans="1:10" ht="15.75" x14ac:dyDescent="0.25">
      <c r="A755" s="24">
        <f>CADASTROS!$B$634</f>
        <v>632</v>
      </c>
      <c r="B755" s="15" t="str">
        <f>CADASTROS!$C$634</f>
        <v>Glecione de Novais Anjos</v>
      </c>
      <c r="C755" s="25"/>
      <c r="D755" s="25">
        <f>PLANILHA_COLHEITA_DIÁRIA!$I$289</f>
        <v>0</v>
      </c>
      <c r="E755" s="17">
        <v>6</v>
      </c>
      <c r="F755" s="26" t="str">
        <f>CADASTROS!$E$634</f>
        <v>Cx. Econômica</v>
      </c>
      <c r="G755" s="24">
        <f>CADASTROS!$F$634</f>
        <v>4825</v>
      </c>
      <c r="H755" s="26" t="str">
        <f>CADASTROS!$G$634</f>
        <v>013</v>
      </c>
      <c r="I755" s="16" t="str">
        <f>CADASTROS!$H$634</f>
        <v>00011188-9</v>
      </c>
      <c r="J755" s="18">
        <f t="shared" si="28"/>
        <v>0</v>
      </c>
    </row>
    <row r="756" spans="1:10" ht="15.75" x14ac:dyDescent="0.25">
      <c r="A756" s="24">
        <f>CADASTROS!$B$635</f>
        <v>633</v>
      </c>
      <c r="B756" s="15" t="str">
        <f>CADASTROS!$C$635</f>
        <v>José Romilton M da Silva</v>
      </c>
      <c r="C756" s="25"/>
      <c r="D756" s="25">
        <f>PLANILHA_COLHEITA_DIÁRIA!$I$290</f>
        <v>0</v>
      </c>
      <c r="E756" s="17">
        <v>6</v>
      </c>
      <c r="F756" s="26" t="str">
        <f>CADASTROS!$E$635</f>
        <v>Cx. Econômica</v>
      </c>
      <c r="G756" s="24">
        <f>CADASTROS!$F$635</f>
        <v>4825</v>
      </c>
      <c r="H756" s="26" t="str">
        <f>CADASTROS!$G$635</f>
        <v>013</v>
      </c>
      <c r="I756" s="16" t="str">
        <f>CADASTROS!$H$635</f>
        <v>00016872-4</v>
      </c>
      <c r="J756" s="18">
        <f t="shared" si="28"/>
        <v>0</v>
      </c>
    </row>
    <row r="757" spans="1:10" ht="15.75" x14ac:dyDescent="0.25">
      <c r="A757" s="24">
        <f>CADASTROS!$B$636</f>
        <v>634</v>
      </c>
      <c r="B757" s="15" t="str">
        <f>CADASTROS!$C$636</f>
        <v>Sorlete Rodrigues Almeida</v>
      </c>
      <c r="C757" s="25"/>
      <c r="D757" s="25">
        <f>PLANILHA_COLHEITA_DIÁRIA!$I$291</f>
        <v>0</v>
      </c>
      <c r="E757" s="17">
        <v>6</v>
      </c>
      <c r="F757" s="26" t="str">
        <f>CADASTROS!$E$636</f>
        <v>Cx. Econômica</v>
      </c>
      <c r="G757" s="24">
        <f>CADASTROS!$F$636</f>
        <v>780</v>
      </c>
      <c r="H757" s="26" t="str">
        <f>CADASTROS!$G$636</f>
        <v>023</v>
      </c>
      <c r="I757" s="16" t="str">
        <f>CADASTROS!$H$636</f>
        <v>00011696-4</v>
      </c>
      <c r="J757" s="18">
        <f t="shared" si="28"/>
        <v>0</v>
      </c>
    </row>
    <row r="758" spans="1:10" ht="15.75" x14ac:dyDescent="0.25">
      <c r="A758" s="24">
        <f>CADASTROS!$B$637</f>
        <v>635</v>
      </c>
      <c r="B758" s="15" t="str">
        <f>CADASTROS!$C$637</f>
        <v>Marizete Francisco de Oliveira</v>
      </c>
      <c r="C758" s="25"/>
      <c r="D758" s="25">
        <f>PLANILHA_COLHEITA_DIÁRIA!$I$997</f>
        <v>0</v>
      </c>
      <c r="E758" s="17">
        <v>6</v>
      </c>
      <c r="F758" s="26" t="str">
        <f>CADASTROS!$E$637</f>
        <v>Bradesco</v>
      </c>
      <c r="G758" s="24" t="str">
        <f>CADASTROS!$F$637</f>
        <v>1880-5</v>
      </c>
      <c r="H758" s="26" t="str">
        <f>CADASTROS!$G$637</f>
        <v>poup</v>
      </c>
      <c r="I758" s="16" t="str">
        <f>CADASTROS!$H$637</f>
        <v>1007096-1</v>
      </c>
      <c r="J758" s="18">
        <f t="shared" si="28"/>
        <v>0</v>
      </c>
    </row>
    <row r="759" spans="1:10" ht="15.75" x14ac:dyDescent="0.25">
      <c r="A759" s="24">
        <f>CADASTROS!$B$638</f>
        <v>636</v>
      </c>
      <c r="B759" s="15" t="str">
        <f>CADASTROS!$C$638</f>
        <v>Ronaldo Souza Santos</v>
      </c>
      <c r="C759" s="25"/>
      <c r="D759" s="25">
        <f>PLANILHA_COLHEITA_DIÁRIA!$I$998</f>
        <v>0</v>
      </c>
      <c r="E759" s="17">
        <v>6</v>
      </c>
      <c r="F759" s="26" t="str">
        <f>CADASTROS!$E$638</f>
        <v>Cx. Econômica</v>
      </c>
      <c r="G759" s="24">
        <f>CADASTROS!$F$638</f>
        <v>4825</v>
      </c>
      <c r="H759" s="26" t="str">
        <f>CADASTROS!$G$638</f>
        <v>013</v>
      </c>
      <c r="I759" s="16" t="str">
        <f>CADASTROS!$H$638</f>
        <v>00005551-2</v>
      </c>
      <c r="J759" s="18">
        <f t="shared" si="28"/>
        <v>0</v>
      </c>
    </row>
    <row r="760" spans="1:10" ht="15.75" x14ac:dyDescent="0.25">
      <c r="A760" s="24">
        <f>CADASTROS!$B$639</f>
        <v>637</v>
      </c>
      <c r="B760" s="15" t="str">
        <f>CADASTROS!$C$639</f>
        <v>Lindaci Santana Lopes</v>
      </c>
      <c r="C760" s="25"/>
      <c r="D760" s="25">
        <f>PLANILHA_COLHEITA_DIÁRIA!$I$999</f>
        <v>0</v>
      </c>
      <c r="E760" s="17">
        <v>6</v>
      </c>
      <c r="F760" s="26" t="str">
        <f>CADASTROS!$E$639</f>
        <v>Cx. Econômica</v>
      </c>
      <c r="G760" s="24">
        <f>CADASTROS!$F$639</f>
        <v>4825</v>
      </c>
      <c r="H760" s="26" t="str">
        <f>CADASTROS!$G$639</f>
        <v>013</v>
      </c>
      <c r="I760" s="16" t="str">
        <f>CADASTROS!$H$639</f>
        <v>00015151-1</v>
      </c>
      <c r="J760" s="18">
        <f t="shared" si="28"/>
        <v>0</v>
      </c>
    </row>
    <row r="761" spans="1:10" ht="15.75" x14ac:dyDescent="0.25">
      <c r="A761" s="24">
        <f>CADASTROS!$B$640</f>
        <v>638</v>
      </c>
      <c r="B761" s="15" t="str">
        <f>CADASTROS!$C$640</f>
        <v>Lidiane Teles Miranda</v>
      </c>
      <c r="C761" s="25"/>
      <c r="D761" s="25">
        <f>PLANILHA_COLHEITA_DIÁRIA!$I$1000</f>
        <v>50</v>
      </c>
      <c r="E761" s="17">
        <v>6</v>
      </c>
      <c r="F761" s="26" t="str">
        <f>CADASTROS!$E$640</f>
        <v>Cx. Econômica</v>
      </c>
      <c r="G761" s="24">
        <f>CADASTROS!$F$640</f>
        <v>780</v>
      </c>
      <c r="H761" s="26" t="str">
        <f>CADASTROS!$G$640</f>
        <v>023</v>
      </c>
      <c r="I761" s="16" t="str">
        <f>CADASTROS!$H$640</f>
        <v>00011409-0</v>
      </c>
      <c r="J761" s="18">
        <f t="shared" si="28"/>
        <v>300</v>
      </c>
    </row>
    <row r="762" spans="1:10" ht="15.75" x14ac:dyDescent="0.25">
      <c r="A762" s="24">
        <f>CADASTROS!$B$641</f>
        <v>639</v>
      </c>
      <c r="B762" s="15" t="str">
        <f>CADASTROS!$C$641</f>
        <v>Geiciane Mendes da Silva</v>
      </c>
      <c r="C762" s="25"/>
      <c r="D762" s="25">
        <f>PLANILHA_COLHEITA_DIÁRIA!$I$1001</f>
        <v>0</v>
      </c>
      <c r="E762" s="17">
        <v>6</v>
      </c>
      <c r="F762" s="26" t="str">
        <f>CADASTROS!$E$641</f>
        <v>Cx. Econômica</v>
      </c>
      <c r="G762" s="24">
        <f>CADASTROS!$F$641</f>
        <v>780</v>
      </c>
      <c r="H762" s="26" t="str">
        <f>CADASTROS!$G$641</f>
        <v>013</v>
      </c>
      <c r="I762" s="16" t="str">
        <f>CADASTROS!$H$641</f>
        <v>00010218-4</v>
      </c>
      <c r="J762" s="18">
        <f t="shared" si="28"/>
        <v>0</v>
      </c>
    </row>
    <row r="763" spans="1:10" ht="15.75" x14ac:dyDescent="0.25">
      <c r="A763" s="24">
        <f>CADASTROS!$B$642</f>
        <v>640</v>
      </c>
      <c r="B763" s="15" t="str">
        <f>CADASTROS!$C$642</f>
        <v>Zenaide de Jesus Santos</v>
      </c>
      <c r="C763" s="25"/>
      <c r="D763" s="41">
        <f>PLANILHA_COLHEITA_DIÁRIA!$I$1002</f>
        <v>0</v>
      </c>
      <c r="E763" s="17">
        <v>6</v>
      </c>
      <c r="F763" s="26" t="str">
        <f>CADASTROS!$E$642</f>
        <v>Cx. Econômica</v>
      </c>
      <c r="G763" s="24">
        <f>CADASTROS!$F$642</f>
        <v>4825</v>
      </c>
      <c r="H763" s="26" t="str">
        <f>CADASTROS!$G$642</f>
        <v>013</v>
      </c>
      <c r="I763" s="16" t="str">
        <f>CADASTROS!$H$642</f>
        <v>00011884-0</v>
      </c>
      <c r="J763" s="18">
        <f t="shared" si="28"/>
        <v>0</v>
      </c>
    </row>
    <row r="764" spans="1:10" ht="15.75" x14ac:dyDescent="0.25">
      <c r="A764" s="24">
        <f>CADASTROS!$B$643</f>
        <v>641</v>
      </c>
      <c r="B764" s="15" t="str">
        <f>CADASTROS!$C$643</f>
        <v>Marivalda Souza Corte</v>
      </c>
      <c r="C764" s="25"/>
      <c r="D764" s="25">
        <f>PLANILHA_COLHEITA_DIÁRIA!$I$1003</f>
        <v>0</v>
      </c>
      <c r="E764" s="17">
        <v>6</v>
      </c>
      <c r="F764" s="26" t="str">
        <f>CADASTROS!$E$643</f>
        <v>Cx. Econômica</v>
      </c>
      <c r="G764" s="24">
        <f>CADASTROS!$F$643</f>
        <v>780</v>
      </c>
      <c r="H764" s="26" t="str">
        <f>CADASTROS!$G$643</f>
        <v>023</v>
      </c>
      <c r="I764" s="16" t="str">
        <f>CADASTROS!$H$643</f>
        <v>00011140-7</v>
      </c>
      <c r="J764" s="18">
        <f t="shared" si="28"/>
        <v>0</v>
      </c>
    </row>
    <row r="765" spans="1:10" ht="15.75" x14ac:dyDescent="0.25">
      <c r="A765" s="24">
        <f>CADASTROS!$B$644</f>
        <v>642</v>
      </c>
      <c r="B765" s="15" t="str">
        <f>CADASTROS!$C$644</f>
        <v>Eva Maria de Souza</v>
      </c>
      <c r="C765" s="25"/>
      <c r="D765" s="25">
        <f>PLANILHA_COLHEITA_DIÁRIA!$I$1004</f>
        <v>0</v>
      </c>
      <c r="E765" s="17">
        <v>6</v>
      </c>
      <c r="F765" s="26" t="str">
        <f>CADASTROS!$E$644</f>
        <v>Cx. Econômica</v>
      </c>
      <c r="G765" s="24">
        <f>CADASTROS!$F$644</f>
        <v>780</v>
      </c>
      <c r="H765" s="26" t="str">
        <f>CADASTROS!$G$644</f>
        <v>023</v>
      </c>
      <c r="I765" s="16" t="str">
        <f>CADASTROS!$H$644</f>
        <v>00012191-7</v>
      </c>
      <c r="J765" s="18">
        <f t="shared" si="28"/>
        <v>0</v>
      </c>
    </row>
    <row r="766" spans="1:10" ht="15.75" x14ac:dyDescent="0.25">
      <c r="A766" s="24">
        <f>CADASTROS!$B$645</f>
        <v>643</v>
      </c>
      <c r="B766" s="15" t="str">
        <f>CADASTROS!$C$645</f>
        <v>José Luiz Pereira Santos</v>
      </c>
      <c r="C766" s="25"/>
      <c r="D766" s="25">
        <f>PLANILHA_COLHEITA_DIÁRIA!$I$1005</f>
        <v>0</v>
      </c>
      <c r="E766" s="17">
        <v>6</v>
      </c>
      <c r="F766" s="26" t="str">
        <f>CADASTROS!$E$645</f>
        <v>Cx. Econômica</v>
      </c>
      <c r="G766" s="24">
        <f>CADASTROS!$F$645</f>
        <v>4535</v>
      </c>
      <c r="H766" s="26" t="str">
        <f>CADASTROS!$G$645</f>
        <v>013</v>
      </c>
      <c r="I766" s="16" t="str">
        <f>CADASTROS!$H$645</f>
        <v>00001734-7</v>
      </c>
      <c r="J766" s="18">
        <f t="shared" si="28"/>
        <v>0</v>
      </c>
    </row>
    <row r="767" spans="1:10" ht="15.75" x14ac:dyDescent="0.25">
      <c r="A767" s="24">
        <f>CADASTROS!$B$646</f>
        <v>644</v>
      </c>
      <c r="B767" s="15" t="str">
        <f>CADASTROS!$C$646</f>
        <v>Maria Aparecida S Nascimento</v>
      </c>
      <c r="C767" s="25"/>
      <c r="D767" s="25">
        <f>PLANILHA_COLHEITA_DIÁRIA!$I$1006</f>
        <v>0</v>
      </c>
      <c r="E767" s="17">
        <v>6</v>
      </c>
      <c r="F767" s="26" t="str">
        <f>CADASTROS!$E$646</f>
        <v>Cx. Econômica</v>
      </c>
      <c r="G767" s="24">
        <f>CADASTROS!$F$646</f>
        <v>1510</v>
      </c>
      <c r="H767" s="26" t="str">
        <f>CADASTROS!$G$646</f>
        <v>013</v>
      </c>
      <c r="I767" s="16" t="str">
        <f>CADASTROS!$H$646</f>
        <v>00036167-1</v>
      </c>
      <c r="J767" s="18">
        <f t="shared" si="28"/>
        <v>0</v>
      </c>
    </row>
    <row r="768" spans="1:10" ht="15.75" x14ac:dyDescent="0.25">
      <c r="A768" s="24">
        <f>CADASTROS!$B$647</f>
        <v>645</v>
      </c>
      <c r="B768" s="15" t="str">
        <f>CADASTROS!$C$647</f>
        <v>Emerson Alves da Silva</v>
      </c>
      <c r="C768" s="25"/>
      <c r="D768" s="41">
        <f>PLANILHA_COLHEITA_DIÁRIA!$I$1007</f>
        <v>0</v>
      </c>
      <c r="E768" s="17">
        <v>6</v>
      </c>
      <c r="F768" s="26" t="str">
        <f>CADASTROS!$E$647</f>
        <v>Cx. Econômica</v>
      </c>
      <c r="G768" s="24">
        <f>CADASTROS!$F$647</f>
        <v>634</v>
      </c>
      <c r="H768" s="26">
        <f>CADASTROS!$G$647</f>
        <v>0</v>
      </c>
      <c r="I768" s="16" t="str">
        <f>CADASTROS!$H$647</f>
        <v>000801038618-7</v>
      </c>
      <c r="J768" s="18">
        <f t="shared" si="28"/>
        <v>0</v>
      </c>
    </row>
    <row r="769" spans="1:10" ht="15.75" x14ac:dyDescent="0.25">
      <c r="A769" s="24">
        <f>CADASTROS!$B$648</f>
        <v>646</v>
      </c>
      <c r="B769" s="15" t="str">
        <f>CADASTROS!$C$648</f>
        <v>Josemar José dos Santos</v>
      </c>
      <c r="C769" s="25"/>
      <c r="D769" s="25">
        <f>PLANILHA_COLHEITA_DIÁRIA!$I$1008</f>
        <v>0</v>
      </c>
      <c r="E769" s="17">
        <v>6</v>
      </c>
      <c r="F769" s="26" t="str">
        <f>CADASTROS!$E$648</f>
        <v>Cx. Econômica</v>
      </c>
      <c r="G769" s="24">
        <f>CADASTROS!$F$648</f>
        <v>4825</v>
      </c>
      <c r="H769" s="26" t="str">
        <f>CADASTROS!$G$648</f>
        <v>013</v>
      </c>
      <c r="I769" s="16" t="str">
        <f>CADASTROS!$H$648</f>
        <v>00008523-3</v>
      </c>
      <c r="J769" s="18">
        <f t="shared" si="28"/>
        <v>0</v>
      </c>
    </row>
    <row r="770" spans="1:10" ht="15.75" x14ac:dyDescent="0.25">
      <c r="A770" s="24">
        <f>CADASTROS!$B$649</f>
        <v>647</v>
      </c>
      <c r="B770" s="15" t="str">
        <f>CADASTROS!$C$649</f>
        <v>Antônio Rosa dos Santos</v>
      </c>
      <c r="C770" s="25"/>
      <c r="D770" s="25">
        <f>PLANILHA_COLHEITA_DIÁRIA!$I$1009</f>
        <v>0</v>
      </c>
      <c r="E770" s="17">
        <v>6</v>
      </c>
      <c r="F770" s="26" t="str">
        <f>CADASTROS!$E$649</f>
        <v>Cx. Econômica</v>
      </c>
      <c r="G770" s="24">
        <f>CADASTROS!$F$649</f>
        <v>3204</v>
      </c>
      <c r="H770" s="26" t="str">
        <f>CADASTROS!$G$649</f>
        <v>013</v>
      </c>
      <c r="I770" s="16" t="str">
        <f>CADASTROS!$H$649</f>
        <v>00027073-2</v>
      </c>
      <c r="J770" s="18">
        <f t="shared" si="28"/>
        <v>0</v>
      </c>
    </row>
    <row r="771" spans="1:10" ht="15.75" x14ac:dyDescent="0.25">
      <c r="A771" s="24">
        <f>CADASTROS!$B$650</f>
        <v>648</v>
      </c>
      <c r="B771" s="15" t="str">
        <f>CADASTROS!$C$650</f>
        <v>Josivan Santos Ferreira</v>
      </c>
      <c r="C771" s="25"/>
      <c r="D771" s="41">
        <f>PLANILHA_COLHEITA_DIÁRIA!$I$1010</f>
        <v>0</v>
      </c>
      <c r="E771" s="17">
        <v>6</v>
      </c>
      <c r="F771" s="26" t="str">
        <f>CADASTROS!$E$650</f>
        <v>Cx. Econômica</v>
      </c>
      <c r="G771" s="24">
        <f>CADASTROS!$F$650</f>
        <v>128</v>
      </c>
      <c r="H771" s="26" t="str">
        <f>CADASTROS!$G$650</f>
        <v>013</v>
      </c>
      <c r="I771" s="16" t="str">
        <f>CADASTROS!$H$650</f>
        <v>00008423-7</v>
      </c>
      <c r="J771" s="18">
        <f t="shared" si="28"/>
        <v>0</v>
      </c>
    </row>
    <row r="772" spans="1:10" ht="15.75" x14ac:dyDescent="0.25">
      <c r="A772" s="24">
        <f>CADASTROS!$B$651</f>
        <v>649</v>
      </c>
      <c r="B772" s="15" t="str">
        <f>CADASTROS!$C$651</f>
        <v>Gessi Maria de Jesus</v>
      </c>
      <c r="C772" s="25"/>
      <c r="D772" s="25">
        <f>PLANILHA_COLHEITA_DIÁRIA!$I$1011</f>
        <v>24.5</v>
      </c>
      <c r="E772" s="17">
        <v>6</v>
      </c>
      <c r="F772" s="26" t="str">
        <f>CADASTROS!$E$651</f>
        <v>Cx. Econômica</v>
      </c>
      <c r="G772" s="24">
        <f>CADASTROS!$F$651</f>
        <v>780</v>
      </c>
      <c r="H772" s="26" t="str">
        <f>CADASTROS!$G$651</f>
        <v>023</v>
      </c>
      <c r="I772" s="16" t="str">
        <f>CADASTROS!$H$651</f>
        <v>00027646-5</v>
      </c>
      <c r="J772" s="18">
        <f t="shared" si="28"/>
        <v>147</v>
      </c>
    </row>
    <row r="773" spans="1:10" ht="15.75" x14ac:dyDescent="0.25">
      <c r="A773" s="24">
        <f>CADASTROS!$B$652</f>
        <v>650</v>
      </c>
      <c r="B773" s="15" t="str">
        <f>CADASTROS!$C$652</f>
        <v>Lucas Miranda Pereira</v>
      </c>
      <c r="C773" s="25"/>
      <c r="D773" s="25">
        <f>PLANILHA_COLHEITA_DIÁRIA!$I$1012</f>
        <v>0</v>
      </c>
      <c r="E773" s="17">
        <v>6</v>
      </c>
      <c r="F773" s="26" t="str">
        <f>CADASTROS!$E$652</f>
        <v>Cx. Econômica</v>
      </c>
      <c r="G773" s="24">
        <f>CADASTROS!$F$652</f>
        <v>4825</v>
      </c>
      <c r="H773" s="26" t="str">
        <f>CADASTROS!$G$652</f>
        <v>013</v>
      </c>
      <c r="I773" s="16" t="str">
        <f>CADASTROS!$H$652</f>
        <v>00012643-6</v>
      </c>
      <c r="J773" s="18">
        <f t="shared" si="28"/>
        <v>0</v>
      </c>
    </row>
    <row r="774" spans="1:10" ht="15.75" x14ac:dyDescent="0.25">
      <c r="A774" s="24">
        <f>CADASTROS!$B$653</f>
        <v>651</v>
      </c>
      <c r="B774" s="15" t="str">
        <f>CADASTROS!$C$653</f>
        <v>Ivan de Jesus Santos</v>
      </c>
      <c r="C774" s="25"/>
      <c r="D774" s="25">
        <f>PLANILHA_COLHEITA_DIÁRIA!$I$1013</f>
        <v>0</v>
      </c>
      <c r="E774" s="17">
        <v>6</v>
      </c>
      <c r="F774" s="26" t="str">
        <f>CADASTROS!$E$653</f>
        <v>Cx. Econômica</v>
      </c>
      <c r="G774" s="24">
        <f>CADASTROS!$F$653</f>
        <v>2010</v>
      </c>
      <c r="H774" s="26" t="str">
        <f>CADASTROS!$G$653</f>
        <v>013</v>
      </c>
      <c r="I774" s="16" t="str">
        <f>CADASTROS!$H$653</f>
        <v>00124148-8</v>
      </c>
      <c r="J774" s="18">
        <f t="shared" si="28"/>
        <v>0</v>
      </c>
    </row>
    <row r="775" spans="1:10" ht="15.75" x14ac:dyDescent="0.25">
      <c r="A775" s="24">
        <f>CADASTROS!$B$654</f>
        <v>652</v>
      </c>
      <c r="B775" s="15" t="str">
        <f>CADASTROS!$C$654</f>
        <v>Renilda Pereira Lima</v>
      </c>
      <c r="C775" s="25"/>
      <c r="D775" s="25">
        <f>PLANILHA_COLHEITA_DIÁRIA!$I$1014</f>
        <v>0</v>
      </c>
      <c r="E775" s="17">
        <v>6</v>
      </c>
      <c r="F775" s="26" t="str">
        <f>CADASTROS!$E$654</f>
        <v>Cx. Econômica</v>
      </c>
      <c r="G775" s="24">
        <f>CADASTROS!$F$654</f>
        <v>359</v>
      </c>
      <c r="H775" s="26" t="str">
        <f>CADASTROS!$G$654</f>
        <v>013</v>
      </c>
      <c r="I775" s="16" t="str">
        <f>CADASTROS!$H$654</f>
        <v>00018963-9</v>
      </c>
      <c r="J775" s="18">
        <f t="shared" si="28"/>
        <v>0</v>
      </c>
    </row>
    <row r="776" spans="1:10" ht="15.75" x14ac:dyDescent="0.25">
      <c r="A776" s="24">
        <f>CADASTROS!$B$655</f>
        <v>653</v>
      </c>
      <c r="B776" s="15" t="str">
        <f>CADASTROS!$C$655</f>
        <v>Antônio dos Anjos Souza</v>
      </c>
      <c r="C776" s="25"/>
      <c r="D776" s="41">
        <f>PLANILHA_COLHEITA_DIÁRIA!$I$1015</f>
        <v>0</v>
      </c>
      <c r="E776" s="17">
        <v>6</v>
      </c>
      <c r="F776" s="26" t="str">
        <f>CADASTROS!$E$655</f>
        <v>Bradesco</v>
      </c>
      <c r="G776" s="24" t="str">
        <f>CADASTROS!$F$655</f>
        <v>3801-6</v>
      </c>
      <c r="H776" s="26" t="str">
        <f>CADASTROS!$G$655</f>
        <v>c/corr</v>
      </c>
      <c r="I776" s="16" t="str">
        <f>CADASTROS!$H$655</f>
        <v>0000746-3</v>
      </c>
      <c r="J776" s="18">
        <f t="shared" si="28"/>
        <v>0</v>
      </c>
    </row>
    <row r="777" spans="1:10" ht="15.75" x14ac:dyDescent="0.25">
      <c r="A777" s="24">
        <f>CADASTROS!$B$656</f>
        <v>654</v>
      </c>
      <c r="B777" s="15" t="str">
        <f>CADASTROS!$C$656</f>
        <v>Ailton Bispo de Souza</v>
      </c>
      <c r="C777" s="25"/>
      <c r="D777" s="25">
        <f>PLANILHA_COLHEITA_DIÁRIA!$I$1016</f>
        <v>0</v>
      </c>
      <c r="E777" s="17">
        <v>6</v>
      </c>
      <c r="F777" s="26" t="str">
        <f>CADASTROS!$E$656</f>
        <v>Cx. Econômica</v>
      </c>
      <c r="G777" s="24">
        <f>CADASTROS!$F$656</f>
        <v>4825</v>
      </c>
      <c r="H777" s="26" t="str">
        <f>CADASTROS!$G$656</f>
        <v>013</v>
      </c>
      <c r="I777" s="16" t="str">
        <f>CADASTROS!$H$656</f>
        <v>00009445-3</v>
      </c>
      <c r="J777" s="18">
        <f t="shared" si="28"/>
        <v>0</v>
      </c>
    </row>
    <row r="778" spans="1:10" ht="15.75" x14ac:dyDescent="0.25">
      <c r="A778" s="24">
        <f>CADASTROS!$B$657</f>
        <v>655</v>
      </c>
      <c r="B778" s="15" t="str">
        <f>CADASTROS!$C$657</f>
        <v>Irineu Marcal de Oliveira</v>
      </c>
      <c r="C778" s="25"/>
      <c r="D778" s="25">
        <f>PLANILHA_COLHEITA_DIÁRIA!$I$1017</f>
        <v>0</v>
      </c>
      <c r="E778" s="17">
        <v>6</v>
      </c>
      <c r="F778" s="26" t="str">
        <f>CADASTROS!$E$657</f>
        <v>Cx. Econômica</v>
      </c>
      <c r="G778" s="24">
        <f>CADASTROS!$F$657</f>
        <v>4825</v>
      </c>
      <c r="H778" s="26">
        <f>CADASTROS!$G$657</f>
        <v>0</v>
      </c>
      <c r="I778" s="16" t="str">
        <f>CADASTROS!$H$657</f>
        <v>000806145064-8</v>
      </c>
      <c r="J778" s="18">
        <f t="shared" si="28"/>
        <v>0</v>
      </c>
    </row>
    <row r="779" spans="1:10" ht="15.75" x14ac:dyDescent="0.25">
      <c r="A779" s="24">
        <f>CADASTROS!$B$658</f>
        <v>656</v>
      </c>
      <c r="B779" s="15" t="str">
        <f>CADASTROS!$C$658</f>
        <v>Ana Maria dos Santos</v>
      </c>
      <c r="C779" s="25"/>
      <c r="D779" s="25">
        <f>PLANILHA_COLHEITA_DIÁRIA!$I$1018</f>
        <v>0</v>
      </c>
      <c r="E779" s="17">
        <v>6</v>
      </c>
      <c r="F779" s="26" t="str">
        <f>CADASTROS!$E$658</f>
        <v>Cx. Econômica</v>
      </c>
      <c r="G779" s="24">
        <f>CADASTROS!$F$658</f>
        <v>780</v>
      </c>
      <c r="H779" s="26">
        <f>CADASTROS!$G$658</f>
        <v>13</v>
      </c>
      <c r="I779" s="16" t="str">
        <f>CADASTROS!$H$658</f>
        <v>00031990-6</v>
      </c>
      <c r="J779" s="18">
        <f t="shared" si="28"/>
        <v>0</v>
      </c>
    </row>
    <row r="780" spans="1:10" ht="15.75" x14ac:dyDescent="0.25">
      <c r="A780" s="24">
        <f>CADASTROS!$B$659</f>
        <v>657</v>
      </c>
      <c r="B780" s="15" t="str">
        <f>CADASTROS!$C$659</f>
        <v>Edileuza Rosa de Souza</v>
      </c>
      <c r="C780" s="25"/>
      <c r="D780" s="41">
        <f>PLANILHA_COLHEITA_DIÁRIA!$I$1019</f>
        <v>0</v>
      </c>
      <c r="E780" s="17">
        <v>6</v>
      </c>
      <c r="F780" s="26" t="str">
        <f>CADASTROS!$E$659</f>
        <v>Cx. Econômica</v>
      </c>
      <c r="G780" s="24">
        <f>CADASTROS!$F$659</f>
        <v>4825</v>
      </c>
      <c r="H780" s="26">
        <f>CADASTROS!$G$659</f>
        <v>13</v>
      </c>
      <c r="I780" s="16" t="str">
        <f>CADASTROS!$H$659</f>
        <v>00009022-9</v>
      </c>
      <c r="J780" s="18">
        <f t="shared" si="28"/>
        <v>0</v>
      </c>
    </row>
    <row r="781" spans="1:10" ht="15.75" x14ac:dyDescent="0.25">
      <c r="A781" s="24">
        <f>CADASTROS!$B$660</f>
        <v>658</v>
      </c>
      <c r="B781" s="15" t="str">
        <f>CADASTROS!$C$660</f>
        <v>Eliana Ribeiro Boaventura</v>
      </c>
      <c r="C781" s="25"/>
      <c r="D781" s="25">
        <f>PLANILHA_COLHEITA_DIÁRIA!$I$1020</f>
        <v>0</v>
      </c>
      <c r="E781" s="17">
        <v>6</v>
      </c>
      <c r="F781" s="26" t="str">
        <f>CADASTROS!$E$660</f>
        <v>Bradesco</v>
      </c>
      <c r="G781" s="24">
        <f>CADASTROS!$F$660</f>
        <v>3899</v>
      </c>
      <c r="H781" s="26">
        <f>CADASTROS!$G$660</f>
        <v>0</v>
      </c>
      <c r="I781" s="16" t="str">
        <f>CADASTROS!$H$660</f>
        <v>113250-4</v>
      </c>
      <c r="J781" s="18">
        <f t="shared" si="28"/>
        <v>0</v>
      </c>
    </row>
    <row r="782" spans="1:10" ht="15.75" x14ac:dyDescent="0.25">
      <c r="A782" s="24">
        <f>CADASTROS!$B$661</f>
        <v>659</v>
      </c>
      <c r="B782" s="15" t="str">
        <f>CADASTROS!$C$661</f>
        <v>Ailton da Cruz Lima</v>
      </c>
      <c r="C782" s="25"/>
      <c r="D782" s="41">
        <f>PLANILHA_COLHEITA_DIÁRIA!$I$1021</f>
        <v>0</v>
      </c>
      <c r="E782" s="17">
        <v>6</v>
      </c>
      <c r="F782" s="26" t="str">
        <f>CADASTROS!$E$661</f>
        <v>Cx. Econômica</v>
      </c>
      <c r="G782" s="24">
        <f>CADASTROS!$F$661</f>
        <v>4825</v>
      </c>
      <c r="H782" s="26">
        <f>CADASTROS!$G$661</f>
        <v>13</v>
      </c>
      <c r="I782" s="16" t="str">
        <f>CADASTROS!$H$661</f>
        <v>00001328-3</v>
      </c>
      <c r="J782" s="18">
        <f t="shared" si="28"/>
        <v>0</v>
      </c>
    </row>
    <row r="783" spans="1:10" ht="15.75" x14ac:dyDescent="0.25">
      <c r="A783" s="24">
        <f>CADASTROS!$B$662</f>
        <v>660</v>
      </c>
      <c r="B783" s="15" t="str">
        <f>CADASTROS!$C$662</f>
        <v>Maria Silva S Oliveira</v>
      </c>
      <c r="C783" s="25"/>
      <c r="D783" s="25">
        <f>PLANILHA_COLHEITA_DIÁRIA!$I$1022</f>
        <v>0</v>
      </c>
      <c r="E783" s="17">
        <v>6</v>
      </c>
      <c r="F783" s="26" t="str">
        <f>CADASTROS!$E$662</f>
        <v>Cx. Econômica</v>
      </c>
      <c r="G783" s="24">
        <f>CADASTROS!$F$662</f>
        <v>780</v>
      </c>
      <c r="H783" s="26">
        <f>CADASTROS!$G$662</f>
        <v>23</v>
      </c>
      <c r="I783" s="16" t="str">
        <f>CADASTROS!$H$662</f>
        <v>00010444-3</v>
      </c>
      <c r="J783" s="18">
        <f t="shared" si="28"/>
        <v>0</v>
      </c>
    </row>
    <row r="784" spans="1:10" ht="15.75" x14ac:dyDescent="0.25">
      <c r="A784" s="24">
        <f>CADASTROS!$B$663</f>
        <v>661</v>
      </c>
      <c r="B784" s="15" t="str">
        <f>CADASTROS!$C$663</f>
        <v>Rosivan Pereira Santos</v>
      </c>
      <c r="C784" s="25"/>
      <c r="D784" s="41">
        <f>PLANILHA_COLHEITA_DIÁRIA!$I$1023</f>
        <v>0</v>
      </c>
      <c r="E784" s="17">
        <v>6</v>
      </c>
      <c r="F784" s="26" t="str">
        <f>CADASTROS!$E$663</f>
        <v>Cx. Econômica</v>
      </c>
      <c r="G784" s="24">
        <f>CADASTROS!$F$663</f>
        <v>4825</v>
      </c>
      <c r="H784" s="26">
        <f>CADASTROS!$G$663</f>
        <v>13</v>
      </c>
      <c r="I784" s="16" t="str">
        <f>CADASTROS!$H$663</f>
        <v>00003571-6</v>
      </c>
      <c r="J784" s="18">
        <f t="shared" si="28"/>
        <v>0</v>
      </c>
    </row>
    <row r="785" spans="1:10" ht="15.75" x14ac:dyDescent="0.25">
      <c r="A785" s="24">
        <f>CADASTROS!$B$664</f>
        <v>662</v>
      </c>
      <c r="B785" s="15" t="str">
        <f>CADASTROS!$C$664</f>
        <v>Lourisvaldo Brito Silva</v>
      </c>
      <c r="C785" s="25"/>
      <c r="D785" s="41">
        <f>PLANILHA_COLHEITA_DIÁRIA!$I$1040</f>
        <v>0</v>
      </c>
      <c r="E785" s="17">
        <v>6</v>
      </c>
      <c r="F785" s="26" t="str">
        <f>CADASTROS!$E$664</f>
        <v>Cx. Econômica</v>
      </c>
      <c r="G785" s="24">
        <f>CADASTROS!$F$664</f>
        <v>4818</v>
      </c>
      <c r="H785" s="26">
        <f>CADASTROS!$G$664</f>
        <v>13</v>
      </c>
      <c r="I785" s="16" t="str">
        <f>CADASTROS!$H$664</f>
        <v>00005919-6</v>
      </c>
      <c r="J785" s="18">
        <f t="shared" si="28"/>
        <v>0</v>
      </c>
    </row>
    <row r="786" spans="1:10" ht="15.75" x14ac:dyDescent="0.25">
      <c r="A786" s="24">
        <f>CADASTROS!$B$665</f>
        <v>663</v>
      </c>
      <c r="B786" s="15" t="str">
        <f>CADASTROS!$C$665</f>
        <v>Valderico J da Silva</v>
      </c>
      <c r="C786" s="25"/>
      <c r="D786" s="41">
        <f>PLANILHA_COLHEITA_DIÁRIA!$I$1041</f>
        <v>0</v>
      </c>
      <c r="E786" s="17">
        <v>6</v>
      </c>
      <c r="F786" s="26" t="str">
        <f>CADASTROS!$E$665</f>
        <v>Banco do Brasil</v>
      </c>
      <c r="G786" s="24" t="str">
        <f>CADASTROS!$F$665</f>
        <v>2760-X</v>
      </c>
      <c r="H786" s="26" t="str">
        <f>CADASTROS!$G$665</f>
        <v>poup</v>
      </c>
      <c r="I786" s="16" t="str">
        <f>CADASTROS!$H$665</f>
        <v>8.376-3</v>
      </c>
      <c r="J786" s="18">
        <f t="shared" si="28"/>
        <v>0</v>
      </c>
    </row>
    <row r="787" spans="1:10" ht="15.75" x14ac:dyDescent="0.25">
      <c r="A787" s="24">
        <f>CADASTROS!$B$666</f>
        <v>664</v>
      </c>
      <c r="B787" s="15" t="str">
        <f>CADASTROS!$C$666</f>
        <v>Robenilton Paixão Nago</v>
      </c>
      <c r="C787" s="25"/>
      <c r="D787" s="35">
        <f>PLANILHA_COLHEITA_DIÁRIA!$I$1042</f>
        <v>0</v>
      </c>
      <c r="E787" s="17">
        <v>6</v>
      </c>
      <c r="F787" s="26" t="str">
        <f>CADASTROS!$E$666</f>
        <v>Cx. Econômica</v>
      </c>
      <c r="G787" s="24">
        <f>CADASTROS!$F$666</f>
        <v>2734</v>
      </c>
      <c r="H787" s="26">
        <f>CADASTROS!$G$666</f>
        <v>13</v>
      </c>
      <c r="I787" s="16" t="str">
        <f>CADASTROS!$H$666</f>
        <v>00059835-4</v>
      </c>
      <c r="J787" s="18">
        <f t="shared" si="28"/>
        <v>0</v>
      </c>
    </row>
    <row r="788" spans="1:10" ht="15.75" x14ac:dyDescent="0.25">
      <c r="A788" s="24">
        <f>CADASTROS!$B$667</f>
        <v>665</v>
      </c>
      <c r="B788" s="15" t="str">
        <f>CADASTROS!$C$667</f>
        <v>Eloísio Cruz da Silva</v>
      </c>
      <c r="C788" s="25"/>
      <c r="D788" s="35">
        <f>PLANILHA_COLHEITA_DIÁRIA!$I$1043</f>
        <v>0</v>
      </c>
      <c r="E788" s="17">
        <v>6</v>
      </c>
      <c r="F788" s="26" t="str">
        <f>CADASTROS!$E$667</f>
        <v>Cx. Econômica</v>
      </c>
      <c r="G788" s="24">
        <f>CADASTROS!$F$667</f>
        <v>4818</v>
      </c>
      <c r="H788" s="26">
        <f>CADASTROS!$G$667</f>
        <v>13</v>
      </c>
      <c r="I788" s="16" t="str">
        <f>CADASTROS!$H$667</f>
        <v>00010689-5</v>
      </c>
      <c r="J788" s="18">
        <f t="shared" si="28"/>
        <v>0</v>
      </c>
    </row>
    <row r="789" spans="1:10" ht="15.75" x14ac:dyDescent="0.25">
      <c r="A789" s="24">
        <f>CADASTROS!$B$668</f>
        <v>666</v>
      </c>
      <c r="B789" s="15" t="str">
        <f>CADASTROS!$C$668</f>
        <v>Carlos Ronei Machado Silva</v>
      </c>
      <c r="C789" s="25"/>
      <c r="D789" s="42">
        <f>PLANILHA_COLHEITA_DIÁRIA!$I$1044</f>
        <v>0</v>
      </c>
      <c r="E789" s="17">
        <v>6</v>
      </c>
      <c r="F789" s="26" t="str">
        <f>CADASTROS!$E$668</f>
        <v>Cx. Econômica</v>
      </c>
      <c r="G789" s="24">
        <f>CADASTROS!$F$668</f>
        <v>949</v>
      </c>
      <c r="H789" s="26">
        <f>CADASTROS!$G$668</f>
        <v>13</v>
      </c>
      <c r="I789" s="16" t="str">
        <f>CADASTROS!$H$668</f>
        <v>00028643-7</v>
      </c>
      <c r="J789" s="18">
        <f t="shared" si="28"/>
        <v>0</v>
      </c>
    </row>
    <row r="790" spans="1:10" ht="15.75" x14ac:dyDescent="0.25">
      <c r="A790" s="24">
        <f>CADASTROS!$B$669</f>
        <v>667</v>
      </c>
      <c r="B790" s="15" t="str">
        <f>CADASTROS!$C$669</f>
        <v>Vera Lúcia F Silva</v>
      </c>
      <c r="C790" s="25"/>
      <c r="D790" s="35">
        <f>PLANILHA_COLHEITA_DIÁRIA!$I$1045</f>
        <v>0</v>
      </c>
      <c r="E790" s="17">
        <v>6</v>
      </c>
      <c r="F790" s="26" t="str">
        <f>CADASTROS!$E$669</f>
        <v>Cx. Econômica</v>
      </c>
      <c r="G790" s="24">
        <f>CADASTROS!$F$669</f>
        <v>4825</v>
      </c>
      <c r="H790" s="26">
        <f>CADASTROS!$G$669</f>
        <v>13</v>
      </c>
      <c r="I790" s="16" t="str">
        <f>CADASTROS!$H$669</f>
        <v>00007422-3</v>
      </c>
      <c r="J790" s="18">
        <f t="shared" si="28"/>
        <v>0</v>
      </c>
    </row>
    <row r="791" spans="1:10" ht="15.75" x14ac:dyDescent="0.25">
      <c r="A791" s="24">
        <f>CADASTROS!$B$670</f>
        <v>668</v>
      </c>
      <c r="B791" s="15" t="str">
        <f>CADASTROS!$C$670</f>
        <v>Rosemeire Paraguai Pereira</v>
      </c>
      <c r="C791" s="25"/>
      <c r="D791" s="35">
        <f>PLANILHA_COLHEITA_DIÁRIA!$I$1046</f>
        <v>0</v>
      </c>
      <c r="E791" s="17">
        <v>6</v>
      </c>
      <c r="F791" s="26" t="str">
        <f>CADASTROS!$E$670</f>
        <v>Cx. Econômica</v>
      </c>
      <c r="G791" s="24">
        <f>CADASTROS!$F$670</f>
        <v>2734</v>
      </c>
      <c r="H791" s="26">
        <f>CADASTROS!$G$670</f>
        <v>13</v>
      </c>
      <c r="I791" s="16" t="str">
        <f>CADASTROS!$H$670</f>
        <v>00036378-0</v>
      </c>
      <c r="J791" s="18">
        <f t="shared" si="28"/>
        <v>0</v>
      </c>
    </row>
    <row r="792" spans="1:10" ht="15.75" x14ac:dyDescent="0.25">
      <c r="A792" s="24">
        <f>CADASTROS!$B$671</f>
        <v>669</v>
      </c>
      <c r="B792" s="15" t="str">
        <f>CADASTROS!$C$671</f>
        <v>Joseane de Jesus Moreira</v>
      </c>
      <c r="C792" s="25"/>
      <c r="D792" s="41">
        <f>PLANILHA_COLHEITA_DIÁRIA!$I$1047</f>
        <v>8.5</v>
      </c>
      <c r="E792" s="17">
        <v>6</v>
      </c>
      <c r="F792" s="26" t="str">
        <f>CADASTROS!$E$671</f>
        <v>Cx. Econômica</v>
      </c>
      <c r="G792" s="24">
        <f>CADASTROS!$F$671</f>
        <v>780</v>
      </c>
      <c r="H792" s="26">
        <f>CADASTROS!$G$671</f>
        <v>13</v>
      </c>
      <c r="I792" s="16" t="str">
        <f>CADASTROS!$H$671</f>
        <v>00009916-7</v>
      </c>
      <c r="J792" s="18">
        <f t="shared" si="28"/>
        <v>51</v>
      </c>
    </row>
    <row r="793" spans="1:10" ht="15.75" x14ac:dyDescent="0.25">
      <c r="A793" s="24">
        <f>CADASTROS!$B$672</f>
        <v>670</v>
      </c>
      <c r="B793" s="15" t="str">
        <f>CADASTROS!$C$672</f>
        <v>Eliana Lima Nascimento</v>
      </c>
      <c r="C793" s="25"/>
      <c r="D793" s="35">
        <f>PLANILHA_COLHEITA_DIÁRIA!$I$1048</f>
        <v>0</v>
      </c>
      <c r="E793" s="17">
        <v>6</v>
      </c>
      <c r="F793" s="26" t="str">
        <f>CADASTROS!$E$672</f>
        <v>Cx. Econômica</v>
      </c>
      <c r="G793" s="24">
        <f>CADASTROS!$F$672</f>
        <v>2970</v>
      </c>
      <c r="H793" s="26">
        <f>CADASTROS!$G$672</f>
        <v>13</v>
      </c>
      <c r="I793" s="16" t="str">
        <f>CADASTROS!$H$672</f>
        <v>00019611-0</v>
      </c>
      <c r="J793" s="18">
        <f t="shared" si="28"/>
        <v>0</v>
      </c>
    </row>
    <row r="794" spans="1:10" ht="15.75" x14ac:dyDescent="0.25">
      <c r="A794" s="24">
        <f>CADASTROS!$B$673</f>
        <v>671</v>
      </c>
      <c r="B794" s="15" t="str">
        <f>CADASTROS!$C$673</f>
        <v>Carlos Candido Profeta</v>
      </c>
      <c r="C794" s="25"/>
      <c r="D794" s="35">
        <f>PLANILHA_COLHEITA_DIÁRIA!$I$1049</f>
        <v>36.5</v>
      </c>
      <c r="E794" s="17">
        <v>6</v>
      </c>
      <c r="F794" s="26" t="str">
        <f>CADASTROS!$E$673</f>
        <v>Cx. Econômica</v>
      </c>
      <c r="G794" s="24">
        <f>CADASTROS!$F$673</f>
        <v>150</v>
      </c>
      <c r="H794" s="26">
        <f>CADASTROS!$G$673</f>
        <v>13</v>
      </c>
      <c r="I794" s="16" t="str">
        <f>CADASTROS!$H$673</f>
        <v>00014917-7</v>
      </c>
      <c r="J794" s="18">
        <f t="shared" si="28"/>
        <v>219</v>
      </c>
    </row>
    <row r="795" spans="1:10" ht="15.75" x14ac:dyDescent="0.25">
      <c r="A795" s="24">
        <f>CADASTROS!$B$674</f>
        <v>672</v>
      </c>
      <c r="B795" s="15" t="str">
        <f>CADASTROS!$C$674</f>
        <v>Ronivaldo Sousa Santos</v>
      </c>
      <c r="C795" s="25"/>
      <c r="D795" s="35">
        <f>PLANILHA_COLHEITA_DIÁRIA!$I$1050</f>
        <v>0</v>
      </c>
      <c r="E795" s="17">
        <v>6</v>
      </c>
      <c r="F795" s="26" t="str">
        <f>CADASTROS!$E$674</f>
        <v>Cx. Econômica</v>
      </c>
      <c r="G795" s="24">
        <f>CADASTROS!$F$674</f>
        <v>4825</v>
      </c>
      <c r="H795" s="26">
        <f>CADASTROS!$G$674</f>
        <v>13</v>
      </c>
      <c r="I795" s="16" t="str">
        <f>CADASTROS!$H$674</f>
        <v>00009036-9</v>
      </c>
      <c r="J795" s="18">
        <f t="shared" si="28"/>
        <v>0</v>
      </c>
    </row>
    <row r="796" spans="1:10" ht="15.75" x14ac:dyDescent="0.25">
      <c r="A796" s="24">
        <f>CADASTROS!$B$675</f>
        <v>673</v>
      </c>
      <c r="B796" s="15" t="str">
        <f>CADASTROS!$C$675</f>
        <v>Mauricio F Silva</v>
      </c>
      <c r="C796" s="25"/>
      <c r="D796" s="41">
        <f>PLANILHA_COLHEITA_DIÁRIA!$I$1051</f>
        <v>0</v>
      </c>
      <c r="E796" s="17">
        <v>6</v>
      </c>
      <c r="F796" s="26" t="str">
        <f>CADASTROS!$E$675</f>
        <v>Banco do Brasil</v>
      </c>
      <c r="G796" s="24" t="str">
        <f>CADASTROS!$F$675</f>
        <v>2760-X</v>
      </c>
      <c r="H796" s="26" t="str">
        <f>CADASTROS!$G$675</f>
        <v>poup</v>
      </c>
      <c r="I796" s="16" t="str">
        <f>CADASTROS!$H$675</f>
        <v>16.455-0</v>
      </c>
      <c r="J796" s="18">
        <f t="shared" si="28"/>
        <v>0</v>
      </c>
    </row>
    <row r="797" spans="1:10" ht="15.75" x14ac:dyDescent="0.25">
      <c r="A797" s="24">
        <f>CADASTROS!$B$676</f>
        <v>674</v>
      </c>
      <c r="B797" s="15" t="str">
        <f>CADASTROS!$C$676</f>
        <v>Robertania Mª de Queiróz</v>
      </c>
      <c r="C797" s="25"/>
      <c r="D797" s="35">
        <f>PLANILHA_COLHEITA_DIÁRIA!$I$1052</f>
        <v>0</v>
      </c>
      <c r="E797" s="17">
        <v>6</v>
      </c>
      <c r="F797" s="26" t="str">
        <f>CADASTROS!$E$676</f>
        <v>Cx. Econômica</v>
      </c>
      <c r="G797" s="24">
        <f>CADASTROS!$F$676</f>
        <v>4825</v>
      </c>
      <c r="H797" s="26">
        <f>CADASTROS!$G$676</f>
        <v>13</v>
      </c>
      <c r="I797" s="16" t="str">
        <f>CADASTROS!$H$676</f>
        <v>00014749-2</v>
      </c>
      <c r="J797" s="18">
        <f t="shared" si="28"/>
        <v>0</v>
      </c>
    </row>
    <row r="798" spans="1:10" ht="15.75" x14ac:dyDescent="0.25">
      <c r="B798" s="220"/>
      <c r="C798" s="220"/>
      <c r="D798" s="12">
        <f>SUM(D753:D797)</f>
        <v>119.5</v>
      </c>
      <c r="E798" s="12"/>
      <c r="F798" s="225"/>
      <c r="G798" s="226"/>
      <c r="H798" s="226"/>
      <c r="I798" s="227"/>
      <c r="J798" s="14">
        <f>SUM(J753:J797)</f>
        <v>717</v>
      </c>
    </row>
    <row r="800" spans="1:10" ht="15.75" x14ac:dyDescent="0.25">
      <c r="A800" s="213" t="s">
        <v>4816</v>
      </c>
      <c r="B800" s="213"/>
      <c r="C800" s="213"/>
      <c r="D800" s="213"/>
      <c r="E800" s="213"/>
      <c r="F800" s="213"/>
      <c r="G800" s="213"/>
      <c r="H800" s="213"/>
      <c r="I800" s="213"/>
      <c r="J800" s="213"/>
    </row>
    <row r="801" spans="1:20" ht="16.5" thickBot="1" x14ac:dyDescent="0.3">
      <c r="A801" s="214" t="s">
        <v>4843</v>
      </c>
      <c r="B801" s="214"/>
      <c r="C801" s="214"/>
      <c r="D801" s="214"/>
      <c r="E801" s="214"/>
      <c r="F801" s="214"/>
      <c r="G801" s="214"/>
      <c r="H801" s="214"/>
      <c r="I801" s="214"/>
      <c r="J801" s="214"/>
    </row>
    <row r="802" spans="1:20" ht="17.25" thickTop="1" thickBot="1" x14ac:dyDescent="0.3">
      <c r="A802" s="215" t="s">
        <v>4844</v>
      </c>
      <c r="B802" s="215"/>
      <c r="C802" s="215"/>
      <c r="D802" s="215"/>
      <c r="E802" s="215"/>
      <c r="F802" s="215"/>
      <c r="G802" s="215"/>
      <c r="H802" s="215"/>
      <c r="I802" s="215"/>
      <c r="J802" s="215"/>
    </row>
    <row r="803" spans="1:20" ht="18.600000000000001" customHeight="1" x14ac:dyDescent="0.25">
      <c r="A803" s="19" t="s">
        <v>4846</v>
      </c>
      <c r="B803" s="216" t="s">
        <v>1</v>
      </c>
      <c r="C803" s="221" t="s">
        <v>2</v>
      </c>
      <c r="D803" s="223" t="s">
        <v>4847</v>
      </c>
      <c r="E803" s="20" t="s">
        <v>4848</v>
      </c>
      <c r="F803" s="216" t="s">
        <v>3</v>
      </c>
      <c r="G803" s="216" t="s">
        <v>4</v>
      </c>
      <c r="H803" s="216" t="s">
        <v>5</v>
      </c>
      <c r="I803" s="216" t="s">
        <v>6</v>
      </c>
      <c r="J803" s="218" t="s">
        <v>4849</v>
      </c>
      <c r="K803" s="213"/>
      <c r="L803" s="213"/>
      <c r="M803" s="213"/>
      <c r="N803" s="213"/>
      <c r="O803" s="213"/>
      <c r="P803" s="213"/>
      <c r="Q803" s="213"/>
      <c r="R803" s="213"/>
      <c r="S803" s="213"/>
      <c r="T803" s="213"/>
    </row>
    <row r="804" spans="1:20" ht="20.100000000000001" customHeight="1" thickBot="1" x14ac:dyDescent="0.3">
      <c r="A804" s="21" t="s">
        <v>4850</v>
      </c>
      <c r="B804" s="217"/>
      <c r="C804" s="222"/>
      <c r="D804" s="224"/>
      <c r="E804" s="161" t="s">
        <v>4851</v>
      </c>
      <c r="F804" s="217"/>
      <c r="G804" s="217"/>
      <c r="H804" s="217"/>
      <c r="I804" s="217"/>
      <c r="J804" s="219"/>
    </row>
    <row r="805" spans="1:20" ht="15.75" x14ac:dyDescent="0.25">
      <c r="A805" s="24">
        <f>CADASTROS!$B$677</f>
        <v>675</v>
      </c>
      <c r="B805" s="15" t="str">
        <f>CADASTROS!$C$677</f>
        <v>Romário Cruz Carvalho</v>
      </c>
      <c r="C805" s="25"/>
      <c r="D805" s="35">
        <f>PLANILHA_COLHEITA_DIÁRIA!$I$1053</f>
        <v>0</v>
      </c>
      <c r="E805" s="17">
        <v>6</v>
      </c>
      <c r="F805" s="26" t="str">
        <f>CADASTROS!$E$677</f>
        <v>Cx. Econômica</v>
      </c>
      <c r="G805" s="24">
        <f>CADASTROS!$F$677</f>
        <v>4825</v>
      </c>
      <c r="H805" s="26">
        <f>CADASTROS!$G$677</f>
        <v>13</v>
      </c>
      <c r="I805" s="16" t="str">
        <f>CADASTROS!$H$677</f>
        <v>00005394-3</v>
      </c>
      <c r="J805" s="18">
        <f t="shared" ref="J805:J849" si="29">D805*E805</f>
        <v>0</v>
      </c>
    </row>
    <row r="806" spans="1:20" ht="15.75" x14ac:dyDescent="0.25">
      <c r="A806" s="24">
        <f>CADASTROS!$B$678</f>
        <v>676</v>
      </c>
      <c r="B806" s="15" t="str">
        <f>CADASTROS!$C$678</f>
        <v>Robério P Santos</v>
      </c>
      <c r="C806" s="25"/>
      <c r="D806" s="35">
        <f>PLANILHA_COLHEITA_DIÁRIA!$I$1054</f>
        <v>0</v>
      </c>
      <c r="E806" s="17">
        <v>6</v>
      </c>
      <c r="F806" s="26" t="str">
        <f>CADASTROS!$E$678</f>
        <v>Banco do Brasil</v>
      </c>
      <c r="G806" s="24" t="str">
        <f>CADASTROS!$F$678</f>
        <v>1696-9</v>
      </c>
      <c r="H806" s="26" t="str">
        <f>CADASTROS!$G$678</f>
        <v>poup</v>
      </c>
      <c r="I806" s="16" t="str">
        <f>CADASTROS!$H$678</f>
        <v>16.867-X</v>
      </c>
      <c r="J806" s="18">
        <f t="shared" si="29"/>
        <v>0</v>
      </c>
    </row>
    <row r="807" spans="1:20" ht="15.75" x14ac:dyDescent="0.25">
      <c r="A807" s="24">
        <f>CADASTROS!$B$679</f>
        <v>677</v>
      </c>
      <c r="B807" s="15" t="str">
        <f>CADASTROS!$C$679</f>
        <v>Gilzene A Borges</v>
      </c>
      <c r="C807" s="25"/>
      <c r="D807" s="42">
        <f>PLANILHA_COLHEITA_DIÁRIA!$I$1055</f>
        <v>0</v>
      </c>
      <c r="E807" s="17">
        <v>6</v>
      </c>
      <c r="F807" s="26" t="str">
        <f>CADASTROS!$E$679</f>
        <v>Cx. Econômica</v>
      </c>
      <c r="G807" s="24">
        <f>CADASTROS!$F$679</f>
        <v>4825</v>
      </c>
      <c r="H807" s="26">
        <f>CADASTROS!$G$679</f>
        <v>13</v>
      </c>
      <c r="I807" s="16" t="str">
        <f>CADASTROS!$H$679</f>
        <v>00016673-0</v>
      </c>
      <c r="J807" s="18">
        <f t="shared" si="29"/>
        <v>0</v>
      </c>
    </row>
    <row r="808" spans="1:20" ht="15.75" x14ac:dyDescent="0.25">
      <c r="A808" s="24">
        <f>CADASTROS!$B$680</f>
        <v>678</v>
      </c>
      <c r="B808" s="15" t="str">
        <f>CADASTROS!$C$680</f>
        <v>Ailson Oliveira dos Santos</v>
      </c>
      <c r="C808" s="25"/>
      <c r="D808" s="35">
        <f>PLANILHA_COLHEITA_DIÁRIA!$I$1056</f>
        <v>0</v>
      </c>
      <c r="E808" s="17">
        <v>6</v>
      </c>
      <c r="F808" s="26" t="str">
        <f>CADASTROS!$E$680</f>
        <v>Cx. Econômica</v>
      </c>
      <c r="G808" s="24">
        <f>CADASTROS!$F$680</f>
        <v>4825</v>
      </c>
      <c r="H808" s="26">
        <f>CADASTROS!$G$680</f>
        <v>13</v>
      </c>
      <c r="I808" s="16" t="str">
        <f>CADASTROS!$H$680</f>
        <v>00012369-0</v>
      </c>
      <c r="J808" s="18">
        <f t="shared" si="29"/>
        <v>0</v>
      </c>
    </row>
    <row r="809" spans="1:20" ht="15.75" x14ac:dyDescent="0.25">
      <c r="A809" s="24">
        <f>CADASTROS!$B$681</f>
        <v>679</v>
      </c>
      <c r="B809" s="15" t="str">
        <f>CADASTROS!$C$681</f>
        <v>Ilzaene F Souza</v>
      </c>
      <c r="C809" s="25"/>
      <c r="D809" s="35">
        <f>PLANILHA_COLHEITA_DIÁRIA!$I$1057</f>
        <v>0</v>
      </c>
      <c r="E809" s="17">
        <v>6</v>
      </c>
      <c r="F809" s="26" t="str">
        <f>CADASTROS!$E$681</f>
        <v>Cx. Econômica</v>
      </c>
      <c r="G809" s="24">
        <f>CADASTROS!$F$681</f>
        <v>780</v>
      </c>
      <c r="H809" s="26">
        <f>CADASTROS!$G$681</f>
        <v>23</v>
      </c>
      <c r="I809" s="16" t="str">
        <f>CADASTROS!$H$681</f>
        <v>00027657-0</v>
      </c>
      <c r="J809" s="18">
        <f t="shared" si="29"/>
        <v>0</v>
      </c>
    </row>
    <row r="810" spans="1:20" ht="15.75" x14ac:dyDescent="0.25">
      <c r="A810" s="24">
        <f>CADASTROS!$B$682</f>
        <v>680</v>
      </c>
      <c r="B810" s="15" t="str">
        <f>CADASTROS!$C$682</f>
        <v>Eliana Souza da Cruz</v>
      </c>
      <c r="C810" s="25"/>
      <c r="D810" s="35">
        <f>PLANILHA_COLHEITA_DIÁRIA!$I$1058</f>
        <v>0</v>
      </c>
      <c r="E810" s="17">
        <v>6</v>
      </c>
      <c r="F810" s="26" t="str">
        <f>CADASTROS!$E$682</f>
        <v>Cx. Econômica</v>
      </c>
      <c r="G810" s="24">
        <f>CADASTROS!$F$682</f>
        <v>780</v>
      </c>
      <c r="H810" s="26">
        <f>CADASTROS!$G$682</f>
        <v>13</v>
      </c>
      <c r="I810" s="16" t="str">
        <f>CADASTROS!$H$682</f>
        <v>00006992-6</v>
      </c>
      <c r="J810" s="18">
        <f t="shared" si="29"/>
        <v>0</v>
      </c>
    </row>
    <row r="811" spans="1:20" ht="15.75" x14ac:dyDescent="0.25">
      <c r="A811" s="24">
        <f>CADASTROS!$B$683</f>
        <v>681</v>
      </c>
      <c r="B811" s="15" t="str">
        <f>CADASTROS!$C$683</f>
        <v>Florisvaldo R. da Silva</v>
      </c>
      <c r="C811" s="25"/>
      <c r="D811" s="35">
        <f>PLANILHA_COLHEITA_DIÁRIA!$I$1059</f>
        <v>44.5</v>
      </c>
      <c r="E811" s="17">
        <v>6</v>
      </c>
      <c r="F811" s="26" t="str">
        <f>CADASTROS!$E$683</f>
        <v>Cx. Econômica</v>
      </c>
      <c r="G811" s="24">
        <f>CADASTROS!$F$683</f>
        <v>4825</v>
      </c>
      <c r="H811" s="26">
        <f>CADASTROS!$G$683</f>
        <v>13</v>
      </c>
      <c r="I811" s="16" t="str">
        <f>CADASTROS!$H$683</f>
        <v>00004839-7</v>
      </c>
      <c r="J811" s="18">
        <f t="shared" si="29"/>
        <v>267</v>
      </c>
    </row>
    <row r="812" spans="1:20" ht="15.75" x14ac:dyDescent="0.25">
      <c r="A812" s="24">
        <f>CADASTROS!$B$684</f>
        <v>682</v>
      </c>
      <c r="B812" s="15" t="str">
        <f>CADASTROS!$C$684</f>
        <v>João Batista C de Jesus</v>
      </c>
      <c r="C812" s="25"/>
      <c r="D812" s="35">
        <f>PLANILHA_COLHEITA_DIÁRIA!$I$1060</f>
        <v>0</v>
      </c>
      <c r="E812" s="17">
        <v>6</v>
      </c>
      <c r="F812" s="26" t="str">
        <f>CADASTROS!$E$684</f>
        <v>Cx. Econômica</v>
      </c>
      <c r="G812" s="24">
        <f>CADASTROS!$F$684</f>
        <v>4818</v>
      </c>
      <c r="H812" s="26">
        <f>CADASTROS!$G$684</f>
        <v>23</v>
      </c>
      <c r="I812" s="16" t="str">
        <f>CADASTROS!$H$684</f>
        <v>00000968-4</v>
      </c>
      <c r="J812" s="18">
        <f t="shared" si="29"/>
        <v>0</v>
      </c>
    </row>
    <row r="813" spans="1:20" ht="15.75" x14ac:dyDescent="0.25">
      <c r="A813" s="24">
        <f>CADASTROS!$B$685</f>
        <v>683</v>
      </c>
      <c r="B813" s="15" t="str">
        <f>CADASTROS!$C$685</f>
        <v>Ivanilson de Sousa Pinto</v>
      </c>
      <c r="C813" s="25"/>
      <c r="D813" s="35">
        <f>PLANILHA_COLHEITA_DIÁRIA!$I$1061</f>
        <v>0</v>
      </c>
      <c r="E813" s="17">
        <v>6</v>
      </c>
      <c r="F813" s="26" t="str">
        <f>CADASTROS!$E$685</f>
        <v>Cx. Econômica</v>
      </c>
      <c r="G813" s="24">
        <f>CADASTROS!$F$685</f>
        <v>4825</v>
      </c>
      <c r="H813" s="26">
        <f>CADASTROS!$G$685</f>
        <v>13</v>
      </c>
      <c r="I813" s="16" t="str">
        <f>CADASTROS!$H$685</f>
        <v>00009553-0</v>
      </c>
      <c r="J813" s="18">
        <f t="shared" si="29"/>
        <v>0</v>
      </c>
    </row>
    <row r="814" spans="1:20" ht="15.75" x14ac:dyDescent="0.25">
      <c r="A814" s="24">
        <f>CADASTROS!$B$686</f>
        <v>684</v>
      </c>
      <c r="B814" s="15" t="str">
        <f>CADASTROS!$C$686</f>
        <v>Janete da Silva Gonçalves</v>
      </c>
      <c r="C814" s="25"/>
      <c r="D814" s="35">
        <f>PLANILHA_COLHEITA_DIÁRIA!$I$1062</f>
        <v>0</v>
      </c>
      <c r="E814" s="17">
        <v>6</v>
      </c>
      <c r="F814" s="26" t="str">
        <f>CADASTROS!$E$686</f>
        <v>Cx. Econômica</v>
      </c>
      <c r="G814" s="24">
        <f>CADASTROS!$F$686</f>
        <v>4825</v>
      </c>
      <c r="H814" s="26">
        <f>CADASTROS!$G$686</f>
        <v>0</v>
      </c>
      <c r="I814" s="16" t="str">
        <f>CADASTROS!$H$686</f>
        <v>000837229866-0</v>
      </c>
      <c r="J814" s="18">
        <f t="shared" si="29"/>
        <v>0</v>
      </c>
    </row>
    <row r="815" spans="1:20" ht="15.75" x14ac:dyDescent="0.25">
      <c r="A815" s="24">
        <f>CADASTROS!$B$687</f>
        <v>685</v>
      </c>
      <c r="B815" s="15" t="str">
        <f>CADASTROS!$C$687</f>
        <v>Ademilton Oliveira Santos</v>
      </c>
      <c r="C815" s="25"/>
      <c r="D815" s="35">
        <f>PLANILHA_COLHEITA_DIÁRIA!$I$1063</f>
        <v>0</v>
      </c>
      <c r="E815" s="17">
        <v>6</v>
      </c>
      <c r="F815" s="26" t="str">
        <f>CADASTROS!$E$687</f>
        <v>Cx. Econômica</v>
      </c>
      <c r="G815" s="24">
        <f>CADASTROS!$F$687</f>
        <v>4535</v>
      </c>
      <c r="H815" s="26">
        <f>CADASTROS!$G$687</f>
        <v>13</v>
      </c>
      <c r="I815" s="16" t="str">
        <f>CADASTROS!$H$687</f>
        <v>00001793-2</v>
      </c>
      <c r="J815" s="18">
        <f t="shared" si="29"/>
        <v>0</v>
      </c>
    </row>
    <row r="816" spans="1:20" ht="15.75" x14ac:dyDescent="0.25">
      <c r="A816" s="24">
        <f>CADASTROS!$B$688</f>
        <v>686</v>
      </c>
      <c r="B816" s="15" t="str">
        <f>CADASTROS!$C$688</f>
        <v>Denize Baraúna de Souza</v>
      </c>
      <c r="C816" s="25"/>
      <c r="D816" s="52">
        <f>PLANILHA_COLHEITA_DIÁRIA!$I$1064</f>
        <v>0</v>
      </c>
      <c r="E816" s="17">
        <v>6</v>
      </c>
      <c r="F816" s="26" t="str">
        <f>CADASTROS!$E$688</f>
        <v>Bradesco</v>
      </c>
      <c r="G816" s="24" t="str">
        <f>CADASTROS!$F$688</f>
        <v>3801-6</v>
      </c>
      <c r="H816" s="26" t="str">
        <f>CADASTROS!$G$688</f>
        <v>c/corr</v>
      </c>
      <c r="I816" s="16" t="str">
        <f>CADASTROS!$H$688</f>
        <v>00000610-6</v>
      </c>
      <c r="J816" s="18">
        <f t="shared" si="29"/>
        <v>0</v>
      </c>
    </row>
    <row r="817" spans="1:10" ht="15.75" x14ac:dyDescent="0.25">
      <c r="A817" s="24">
        <f>CADASTROS!$B$689</f>
        <v>687</v>
      </c>
      <c r="B817" s="15" t="str">
        <f>CADASTROS!$C$689</f>
        <v>Gelson Pereira dos Santos</v>
      </c>
      <c r="C817" s="25"/>
      <c r="D817" s="41">
        <f>PLANILHA_COLHEITA_DIÁRIA!$I$1065</f>
        <v>33.5</v>
      </c>
      <c r="E817" s="17">
        <v>6</v>
      </c>
      <c r="F817" s="26" t="str">
        <f>CADASTROS!$E$689</f>
        <v>Cx. Econômica</v>
      </c>
      <c r="G817" s="24">
        <f>CADASTROS!$F$689</f>
        <v>4535</v>
      </c>
      <c r="H817" s="26">
        <f>CADASTROS!$G$689</f>
        <v>13</v>
      </c>
      <c r="I817" s="16" t="str">
        <f>CADASTROS!$H$689</f>
        <v>00001737-1</v>
      </c>
      <c r="J817" s="18">
        <f t="shared" si="29"/>
        <v>201</v>
      </c>
    </row>
    <row r="818" spans="1:10" ht="15.75" x14ac:dyDescent="0.25">
      <c r="A818" s="24">
        <f>CADASTROS!$B$690</f>
        <v>688</v>
      </c>
      <c r="B818" s="15" t="str">
        <f>CADASTROS!$C$690</f>
        <v>Francisco Fracion M SI</v>
      </c>
      <c r="C818" s="25"/>
      <c r="D818" s="52">
        <f>PLANILHA_COLHEITA_DIÁRIA!$I$1066</f>
        <v>0</v>
      </c>
      <c r="E818" s="17">
        <v>6</v>
      </c>
      <c r="F818" s="26" t="str">
        <f>CADASTROS!$E$690</f>
        <v>Cx. Econômica</v>
      </c>
      <c r="G818" s="24">
        <f>CADASTROS!$F$690</f>
        <v>3401</v>
      </c>
      <c r="H818" s="26">
        <f>CADASTROS!$G$690</f>
        <v>13</v>
      </c>
      <c r="I818" s="16" t="str">
        <f>CADASTROS!$H$690</f>
        <v>00000470-7</v>
      </c>
      <c r="J818" s="18">
        <f t="shared" si="29"/>
        <v>0</v>
      </c>
    </row>
    <row r="819" spans="1:10" ht="15.75" x14ac:dyDescent="0.25">
      <c r="A819" s="24">
        <f>CADASTROS!$B$691</f>
        <v>689</v>
      </c>
      <c r="B819" s="15" t="str">
        <f>CADASTROS!$C$691</f>
        <v>Gerônimo Alves de Jesus</v>
      </c>
      <c r="C819" s="25"/>
      <c r="D819" s="35">
        <f>PLANILHA_COLHEITA_DIÁRIA!$I$1126</f>
        <v>0</v>
      </c>
      <c r="E819" s="17">
        <v>6</v>
      </c>
      <c r="F819" s="26" t="str">
        <f>CADASTROS!$E$691</f>
        <v>Cx. Econômica</v>
      </c>
      <c r="G819" s="24">
        <f>CADASTROS!$F$691</f>
        <v>3401</v>
      </c>
      <c r="H819" s="26">
        <f>CADASTROS!$G$691</f>
        <v>13</v>
      </c>
      <c r="I819" s="16" t="str">
        <f>CADASTROS!$H$691</f>
        <v>00000431-6</v>
      </c>
      <c r="J819" s="18">
        <f t="shared" si="29"/>
        <v>0</v>
      </c>
    </row>
    <row r="820" spans="1:10" ht="15.75" x14ac:dyDescent="0.25">
      <c r="A820" s="24">
        <f>CADASTROS!$B$692</f>
        <v>690</v>
      </c>
      <c r="B820" s="15" t="str">
        <f>CADASTROS!$C$692</f>
        <v>João Batista da Silva</v>
      </c>
      <c r="C820" s="25"/>
      <c r="D820" s="35">
        <f>PLANILHA_COLHEITA_DIÁRIA!$I$1127</f>
        <v>0</v>
      </c>
      <c r="E820" s="17">
        <v>6</v>
      </c>
      <c r="F820" s="26" t="str">
        <f>CADASTROS!$E$692</f>
        <v>Cx. Econômica</v>
      </c>
      <c r="G820" s="24">
        <f>CADASTROS!$F$692</f>
        <v>780</v>
      </c>
      <c r="H820" s="26">
        <f>CADASTROS!$G$692</f>
        <v>23</v>
      </c>
      <c r="I820" s="16" t="str">
        <f>CADASTROS!$H$692</f>
        <v>00027483-7</v>
      </c>
      <c r="J820" s="18">
        <f t="shared" si="29"/>
        <v>0</v>
      </c>
    </row>
    <row r="821" spans="1:10" ht="15.75" x14ac:dyDescent="0.25">
      <c r="A821" s="24">
        <f>CADASTROS!$B$693</f>
        <v>691</v>
      </c>
      <c r="B821" s="15" t="str">
        <f>CADASTROS!$C$693</f>
        <v>Mirian de Souza Barbosa</v>
      </c>
      <c r="C821" s="25"/>
      <c r="D821" s="35">
        <f>PLANILHA_COLHEITA_DIÁRIA!$I$1128</f>
        <v>0</v>
      </c>
      <c r="E821" s="17">
        <v>6</v>
      </c>
      <c r="F821" s="26" t="str">
        <f>CADASTROS!$E$693</f>
        <v>Cx. Econômica</v>
      </c>
      <c r="G821" s="24">
        <f>CADASTROS!$F$693</f>
        <v>4825</v>
      </c>
      <c r="H821" s="26">
        <f>CADASTROS!$G$693</f>
        <v>13</v>
      </c>
      <c r="I821" s="16" t="str">
        <f>CADASTROS!$H$693</f>
        <v>00010485-8</v>
      </c>
      <c r="J821" s="18">
        <f t="shared" si="29"/>
        <v>0</v>
      </c>
    </row>
    <row r="822" spans="1:10" ht="15.75" x14ac:dyDescent="0.25">
      <c r="A822" s="24">
        <f>CADASTROS!$B$694</f>
        <v>692</v>
      </c>
      <c r="B822" s="15" t="str">
        <f>CADASTROS!$C$694</f>
        <v>Roziane Conceição de Mendes</v>
      </c>
      <c r="C822" s="25"/>
      <c r="D822" s="35">
        <f>PLANILHA_COLHEITA_DIÁRIA!$I$1129</f>
        <v>0</v>
      </c>
      <c r="E822" s="17">
        <v>6</v>
      </c>
      <c r="F822" s="26" t="str">
        <f>CADASTROS!$E$694</f>
        <v>Cx. Econômica</v>
      </c>
      <c r="G822" s="24">
        <f>CADASTROS!$F$694</f>
        <v>4825</v>
      </c>
      <c r="H822" s="26">
        <f>CADASTROS!$G$694</f>
        <v>13</v>
      </c>
      <c r="I822" s="16" t="str">
        <f>CADASTROS!$H$694</f>
        <v>00006391-4</v>
      </c>
      <c r="J822" s="18">
        <f t="shared" si="29"/>
        <v>0</v>
      </c>
    </row>
    <row r="823" spans="1:10" ht="15.75" x14ac:dyDescent="0.25">
      <c r="A823" s="24">
        <f>CADASTROS!$B$695</f>
        <v>693</v>
      </c>
      <c r="B823" s="15" t="str">
        <f>CADASTROS!$C$695</f>
        <v>Vigínia Silva S Pereira</v>
      </c>
      <c r="C823" s="25"/>
      <c r="D823" s="35">
        <f>PLANILHA_COLHEITA_DIÁRIA!$I$1130</f>
        <v>0</v>
      </c>
      <c r="E823" s="17">
        <v>6</v>
      </c>
      <c r="F823" s="26" t="str">
        <f>CADASTROS!$E$695</f>
        <v>Cx. Econômica</v>
      </c>
      <c r="G823" s="24">
        <f>CADASTROS!$F$695</f>
        <v>4825</v>
      </c>
      <c r="H823" s="26">
        <f>CADASTROS!$G$695</f>
        <v>13</v>
      </c>
      <c r="I823" s="16" t="str">
        <f>CADASTROS!$H$695</f>
        <v>00006087-7</v>
      </c>
      <c r="J823" s="18">
        <f t="shared" si="29"/>
        <v>0</v>
      </c>
    </row>
    <row r="824" spans="1:10" ht="15.75" x14ac:dyDescent="0.25">
      <c r="A824" s="24">
        <f>CADASTROS!$B$696</f>
        <v>694</v>
      </c>
      <c r="B824" s="15" t="str">
        <f>CADASTROS!$C$696</f>
        <v>Alex Sandro Rosa de Souza</v>
      </c>
      <c r="C824" s="25"/>
      <c r="D824" s="35">
        <f>PLANILHA_COLHEITA_DIÁRIA!$I$1131</f>
        <v>0</v>
      </c>
      <c r="E824" s="17">
        <v>6</v>
      </c>
      <c r="F824" s="26" t="str">
        <f>CADASTROS!$E$696</f>
        <v>Cx. Econômica</v>
      </c>
      <c r="G824" s="24">
        <f>CADASTROS!$F$696</f>
        <v>4825</v>
      </c>
      <c r="H824" s="26">
        <f>CADASTROS!$G$696</f>
        <v>13</v>
      </c>
      <c r="I824" s="16" t="str">
        <f>CADASTROS!$H$696</f>
        <v>00004040-0</v>
      </c>
      <c r="J824" s="18">
        <f t="shared" si="29"/>
        <v>0</v>
      </c>
    </row>
    <row r="825" spans="1:10" ht="15.75" x14ac:dyDescent="0.25">
      <c r="A825" s="24">
        <f>CADASTROS!$B$697</f>
        <v>695</v>
      </c>
      <c r="B825" s="15" t="str">
        <f>CADASTROS!$C$697</f>
        <v>Nair Oliveira dos Santos</v>
      </c>
      <c r="C825" s="25"/>
      <c r="D825" s="35">
        <f>PLANILHA_COLHEITA_DIÁRIA!$I$1132</f>
        <v>32</v>
      </c>
      <c r="E825" s="17">
        <v>6</v>
      </c>
      <c r="F825" s="26" t="str">
        <f>CADASTROS!$E$697</f>
        <v>Cx. Econômica</v>
      </c>
      <c r="G825" s="24">
        <f>CADASTROS!$F$697</f>
        <v>4825</v>
      </c>
      <c r="H825" s="26">
        <f>CADASTROS!$G$697</f>
        <v>13</v>
      </c>
      <c r="I825" s="16" t="str">
        <f>CADASTROS!$H$697</f>
        <v>00007432-0</v>
      </c>
      <c r="J825" s="18">
        <f t="shared" si="29"/>
        <v>192</v>
      </c>
    </row>
    <row r="826" spans="1:10" ht="15.75" x14ac:dyDescent="0.25">
      <c r="A826" s="24">
        <f>CADASTROS!$B$698</f>
        <v>696</v>
      </c>
      <c r="B826" s="15" t="str">
        <f>CADASTROS!$C$698</f>
        <v>Márcio Antônio Hora Cavalcante</v>
      </c>
      <c r="C826" s="25"/>
      <c r="D826" s="52">
        <f>PLANILHA_COLHEITA_DIÁRIA!$I$1133</f>
        <v>0</v>
      </c>
      <c r="E826" s="17">
        <v>6</v>
      </c>
      <c r="F826" s="26" t="str">
        <f>CADASTROS!$E$698</f>
        <v>Banco do Brasil</v>
      </c>
      <c r="G826" s="24" t="str">
        <f>CADASTROS!$F$698</f>
        <v>0595-9</v>
      </c>
      <c r="H826" s="26" t="str">
        <f>CADASTROS!$G$698</f>
        <v>poup</v>
      </c>
      <c r="I826" s="16" t="str">
        <f>CADASTROS!$H$698</f>
        <v>9.983-x</v>
      </c>
      <c r="J826" s="18">
        <f t="shared" si="29"/>
        <v>0</v>
      </c>
    </row>
    <row r="827" spans="1:10" ht="15.75" x14ac:dyDescent="0.25">
      <c r="A827" s="24">
        <f>CADASTROS!$B$699</f>
        <v>697</v>
      </c>
      <c r="B827" s="15" t="str">
        <f>CADASTROS!$C$699</f>
        <v>Aenio Gonzaga de Oliveira</v>
      </c>
      <c r="C827" s="25"/>
      <c r="D827" s="35">
        <f>PLANILHA_COLHEITA_DIÁRIA!$I$1134</f>
        <v>0</v>
      </c>
      <c r="E827" s="17">
        <v>6</v>
      </c>
      <c r="F827" s="26" t="str">
        <f>CADASTROS!$E$699</f>
        <v>Cx. Econômica</v>
      </c>
      <c r="G827" s="24">
        <f>CADASTROS!$F$699</f>
        <v>4825</v>
      </c>
      <c r="H827" s="26">
        <f>CADASTROS!$G$699</f>
        <v>1288</v>
      </c>
      <c r="I827" s="16" t="str">
        <f>CADASTROS!$H$699</f>
        <v>833542725-7</v>
      </c>
      <c r="J827" s="18">
        <f t="shared" si="29"/>
        <v>0</v>
      </c>
    </row>
    <row r="828" spans="1:10" ht="15.75" x14ac:dyDescent="0.25">
      <c r="A828" s="24">
        <f>CADASTROS!$B$700</f>
        <v>698</v>
      </c>
      <c r="B828" s="15" t="str">
        <f>CADASTROS!$C$700</f>
        <v>Rozeli dos Anjos Rocha</v>
      </c>
      <c r="C828" s="25"/>
      <c r="D828" s="35">
        <f>PLANILHA_COLHEITA_DIÁRIA!$I$1135</f>
        <v>0</v>
      </c>
      <c r="E828" s="17">
        <v>6</v>
      </c>
      <c r="F828" s="26" t="str">
        <f>CADASTROS!$E$700</f>
        <v>Cx. Econômica</v>
      </c>
      <c r="G828" s="24">
        <f>CADASTROS!$F$700</f>
        <v>4825</v>
      </c>
      <c r="H828" s="26">
        <f>CADASTROS!$G$700</f>
        <v>13</v>
      </c>
      <c r="I828" s="16" t="str">
        <f>CADASTROS!$H$700</f>
        <v>00011524-8</v>
      </c>
      <c r="J828" s="18">
        <f t="shared" si="29"/>
        <v>0</v>
      </c>
    </row>
    <row r="829" spans="1:10" ht="15.75" x14ac:dyDescent="0.25">
      <c r="A829" s="24">
        <f>CADASTROS!$B$701</f>
        <v>699</v>
      </c>
      <c r="B829" s="15" t="str">
        <f>CADASTROS!$C$701</f>
        <v>Graciene Araújo Silva</v>
      </c>
      <c r="C829" s="25"/>
      <c r="D829" s="35">
        <f>PLANILHA_COLHEITA_DIÁRIA!$I$1136</f>
        <v>0</v>
      </c>
      <c r="E829" s="17">
        <v>6</v>
      </c>
      <c r="F829" s="26" t="str">
        <f>CADASTROS!$E$701</f>
        <v>Cx. Econômica</v>
      </c>
      <c r="G829" s="24">
        <f>CADASTROS!$F$701</f>
        <v>4825</v>
      </c>
      <c r="H829" s="26">
        <f>CADASTROS!$G$701</f>
        <v>13</v>
      </c>
      <c r="I829" s="16" t="str">
        <f>CADASTROS!$H$701</f>
        <v>00007275-1</v>
      </c>
      <c r="J829" s="18">
        <f t="shared" si="29"/>
        <v>0</v>
      </c>
    </row>
    <row r="830" spans="1:10" ht="15.75" x14ac:dyDescent="0.25">
      <c r="A830" s="24">
        <f>CADASTROS!$B$702</f>
        <v>700</v>
      </c>
      <c r="B830" s="15" t="str">
        <f>CADASTROS!$C$702</f>
        <v>Carlos Cardoso dos Santos</v>
      </c>
      <c r="C830" s="25"/>
      <c r="D830" s="35">
        <f>PLANILHA_COLHEITA_DIÁRIA!$I$1137</f>
        <v>0</v>
      </c>
      <c r="E830" s="17">
        <v>6</v>
      </c>
      <c r="F830" s="26" t="str">
        <f>CADASTROS!$E$702</f>
        <v>Cx. Econômica</v>
      </c>
      <c r="G830" s="24">
        <f>CADASTROS!$F$702</f>
        <v>4818</v>
      </c>
      <c r="H830" s="26">
        <f>CADASTROS!$G$702</f>
        <v>13</v>
      </c>
      <c r="I830" s="16" t="str">
        <f>CADASTROS!$H$702</f>
        <v>00002854-1</v>
      </c>
      <c r="J830" s="18">
        <f t="shared" si="29"/>
        <v>0</v>
      </c>
    </row>
    <row r="831" spans="1:10" ht="15.75" x14ac:dyDescent="0.25">
      <c r="A831" s="24">
        <f>CADASTROS!$B$703</f>
        <v>701</v>
      </c>
      <c r="B831" s="15" t="str">
        <f>CADASTROS!$C$703</f>
        <v>Ivonete de Arruda Santos</v>
      </c>
      <c r="C831" s="25"/>
      <c r="D831" s="35">
        <f>PLANILHA_COLHEITA_DIÁRIA!$I$1138</f>
        <v>0</v>
      </c>
      <c r="E831" s="17">
        <v>6</v>
      </c>
      <c r="F831" s="26" t="str">
        <f>CADASTROS!$E$703</f>
        <v>Cx. Econômica</v>
      </c>
      <c r="G831" s="24">
        <f>CADASTROS!$F$703</f>
        <v>949</v>
      </c>
      <c r="H831" s="26">
        <f>CADASTROS!$G$703</f>
        <v>23</v>
      </c>
      <c r="I831" s="16" t="str">
        <f>CADASTROS!$H$703</f>
        <v>00020438-1</v>
      </c>
      <c r="J831" s="18">
        <f t="shared" si="29"/>
        <v>0</v>
      </c>
    </row>
    <row r="832" spans="1:10" ht="15.75" x14ac:dyDescent="0.25">
      <c r="A832" s="24">
        <f>CADASTROS!$B$704</f>
        <v>702</v>
      </c>
      <c r="B832" s="15" t="str">
        <f>CADASTROS!$C$704</f>
        <v>Direne Rodrigues de Oliveira</v>
      </c>
      <c r="C832" s="25"/>
      <c r="D832" s="35">
        <f>PLANILHA_COLHEITA_DIÁRIA!$I$1139</f>
        <v>0</v>
      </c>
      <c r="E832" s="17">
        <v>6</v>
      </c>
      <c r="F832" s="26" t="str">
        <f>CADASTROS!$E$704</f>
        <v>Cx. Econômica</v>
      </c>
      <c r="G832" s="24">
        <f>CADASTROS!$F$704</f>
        <v>4825</v>
      </c>
      <c r="H832" s="26">
        <f>CADASTROS!$G$704</f>
        <v>13</v>
      </c>
      <c r="I832" s="16" t="str">
        <f>CADASTROS!$H$704</f>
        <v>00012780-7</v>
      </c>
      <c r="J832" s="18">
        <f t="shared" si="29"/>
        <v>0</v>
      </c>
    </row>
    <row r="833" spans="1:10" ht="15.75" x14ac:dyDescent="0.25">
      <c r="A833" s="24">
        <f>CADASTROS!$B$705</f>
        <v>703</v>
      </c>
      <c r="B833" s="15" t="str">
        <f>CADASTROS!$C$705</f>
        <v>Maria Evangelista Bahia dos Santos</v>
      </c>
      <c r="C833" s="25"/>
      <c r="D833" s="35">
        <f>PLANILHA_COLHEITA_DIÁRIA!$I$1140</f>
        <v>0</v>
      </c>
      <c r="E833" s="17">
        <v>6</v>
      </c>
      <c r="F833" s="26" t="str">
        <f>CADASTROS!$E$705</f>
        <v>Bradesco</v>
      </c>
      <c r="G833" s="24">
        <f>CADASTROS!$F$705</f>
        <v>3076</v>
      </c>
      <c r="H833" s="26" t="str">
        <f>CADASTROS!$G$705</f>
        <v>c/poup</v>
      </c>
      <c r="I833" s="16" t="str">
        <f>CADASTROS!$H$705</f>
        <v>1000029-7</v>
      </c>
      <c r="J833" s="18">
        <f t="shared" si="29"/>
        <v>0</v>
      </c>
    </row>
    <row r="834" spans="1:10" ht="15.75" x14ac:dyDescent="0.25">
      <c r="A834" s="24">
        <f>CADASTROS!$B$706</f>
        <v>704</v>
      </c>
      <c r="B834" s="15" t="str">
        <f>CADASTROS!$C$706</f>
        <v>Bernadete Rodrigues Oliveira</v>
      </c>
      <c r="C834" s="25"/>
      <c r="D834" s="35">
        <f>PLANILHA_COLHEITA_DIÁRIA!$I$1141</f>
        <v>0</v>
      </c>
      <c r="E834" s="17">
        <v>6</v>
      </c>
      <c r="F834" s="26" t="str">
        <f>CADASTROS!$E$706</f>
        <v>Cx. Econômica</v>
      </c>
      <c r="G834" s="24">
        <f>CADASTROS!$F$706</f>
        <v>4825</v>
      </c>
      <c r="H834" s="26">
        <f>CADASTROS!$G$706</f>
        <v>13</v>
      </c>
      <c r="I834" s="16" t="str">
        <f>CADASTROS!$H$706</f>
        <v>00011859-0</v>
      </c>
      <c r="J834" s="18">
        <f t="shared" si="29"/>
        <v>0</v>
      </c>
    </row>
    <row r="835" spans="1:10" ht="15.75" x14ac:dyDescent="0.25">
      <c r="A835" s="24">
        <f>CADASTROS!$B$707</f>
        <v>705</v>
      </c>
      <c r="B835" s="15" t="str">
        <f>CADASTROS!$C$707</f>
        <v>Roziane Teles de Oliveira</v>
      </c>
      <c r="C835" s="25"/>
      <c r="D835" s="35">
        <f>PLANILHA_COLHEITA_DIÁRIA!$I$1142</f>
        <v>0</v>
      </c>
      <c r="E835" s="17">
        <v>6</v>
      </c>
      <c r="F835" s="26" t="str">
        <f>CADASTROS!$E$707</f>
        <v>Cx. Econômica</v>
      </c>
      <c r="G835" s="24">
        <f>CADASTROS!$F$707</f>
        <v>4825</v>
      </c>
      <c r="H835" s="26">
        <f>CADASTROS!$G$707</f>
        <v>13</v>
      </c>
      <c r="I835" s="16" t="str">
        <f>CADASTROS!$H$707</f>
        <v>00012978-8</v>
      </c>
      <c r="J835" s="18">
        <f t="shared" si="29"/>
        <v>0</v>
      </c>
    </row>
    <row r="836" spans="1:10" ht="15.75" x14ac:dyDescent="0.25">
      <c r="A836" s="24">
        <f>CADASTROS!$B$708</f>
        <v>706</v>
      </c>
      <c r="B836" s="15" t="str">
        <f>CADASTROS!$C$708</f>
        <v>Aline Santos Cruz</v>
      </c>
      <c r="C836" s="25"/>
      <c r="D836" s="35">
        <f>PLANILHA_COLHEITA_DIÁRIA!$I$1143</f>
        <v>0</v>
      </c>
      <c r="E836" s="17">
        <v>6</v>
      </c>
      <c r="F836" s="26" t="str">
        <f>CADASTROS!$E$708</f>
        <v>Cx. Econômica</v>
      </c>
      <c r="G836" s="24">
        <f>CADASTROS!$F$708</f>
        <v>4825</v>
      </c>
      <c r="H836" s="26">
        <f>CADASTROS!$G$708</f>
        <v>13</v>
      </c>
      <c r="I836" s="16" t="str">
        <f>CADASTROS!$H$708</f>
        <v>00008616-7</v>
      </c>
      <c r="J836" s="18">
        <f t="shared" si="29"/>
        <v>0</v>
      </c>
    </row>
    <row r="837" spans="1:10" ht="15.75" x14ac:dyDescent="0.25">
      <c r="A837" s="24">
        <f>CADASTROS!$B$709</f>
        <v>707</v>
      </c>
      <c r="B837" s="15" t="str">
        <f>CADASTROS!$C$709</f>
        <v>Odacir Ribeiro</v>
      </c>
      <c r="C837" s="25"/>
      <c r="D837" s="41">
        <f>PLANILHA_COLHEITA_DIÁRIA!$I$1144</f>
        <v>0</v>
      </c>
      <c r="E837" s="17">
        <v>6</v>
      </c>
      <c r="F837" s="26" t="str">
        <f>CADASTROS!$E$709</f>
        <v>Cx. Econômica</v>
      </c>
      <c r="G837" s="24">
        <f>CADASTROS!$F$709</f>
        <v>4825</v>
      </c>
      <c r="H837" s="26">
        <f>CADASTROS!$G$709</f>
        <v>13</v>
      </c>
      <c r="I837" s="16" t="str">
        <f>CADASTROS!$H$709</f>
        <v>00005733-7</v>
      </c>
      <c r="J837" s="18">
        <f t="shared" si="29"/>
        <v>0</v>
      </c>
    </row>
    <row r="838" spans="1:10" ht="15.75" x14ac:dyDescent="0.25">
      <c r="A838" s="24">
        <f>CADASTROS!$B$710</f>
        <v>708</v>
      </c>
      <c r="B838" s="15" t="str">
        <f>CADASTROS!$C$710</f>
        <v>Wilton Guimarães de Lima</v>
      </c>
      <c r="C838" s="25"/>
      <c r="D838" s="35">
        <f>PLANILHA_COLHEITA_DIÁRIA!$I$1145</f>
        <v>17.5</v>
      </c>
      <c r="E838" s="17">
        <v>6</v>
      </c>
      <c r="F838" s="26" t="str">
        <f>CADASTROS!$E$710</f>
        <v>Cx. Econômica</v>
      </c>
      <c r="G838" s="24">
        <f>CADASTROS!$F$710</f>
        <v>4825</v>
      </c>
      <c r="H838" s="26">
        <f>CADASTROS!$G$710</f>
        <v>13</v>
      </c>
      <c r="I838" s="16" t="str">
        <f>CADASTROS!$H$710</f>
        <v>00009958-7</v>
      </c>
      <c r="J838" s="18">
        <f t="shared" si="29"/>
        <v>105</v>
      </c>
    </row>
    <row r="839" spans="1:10" ht="15.75" x14ac:dyDescent="0.25">
      <c r="A839" s="24">
        <f>CADASTROS!$B$711</f>
        <v>709</v>
      </c>
      <c r="B839" s="15" t="str">
        <f>CADASTROS!$C$711</f>
        <v>Edivan Baraúna de Oliveira</v>
      </c>
      <c r="C839" s="25"/>
      <c r="D839" s="35">
        <f>PLANILHA_COLHEITA_DIÁRIA!$I$1146</f>
        <v>0</v>
      </c>
      <c r="E839" s="17">
        <v>6</v>
      </c>
      <c r="F839" s="26" t="str">
        <f>CADASTROS!$E$711</f>
        <v>Cx. Econômica</v>
      </c>
      <c r="G839" s="24">
        <f>CADASTROS!$F$711</f>
        <v>3639</v>
      </c>
      <c r="H839" s="26">
        <f>CADASTROS!$G$711</f>
        <v>13</v>
      </c>
      <c r="I839" s="16" t="str">
        <f>CADASTROS!$H$711</f>
        <v>00003360-4</v>
      </c>
      <c r="J839" s="18">
        <f t="shared" si="29"/>
        <v>0</v>
      </c>
    </row>
    <row r="840" spans="1:10" ht="15.75" x14ac:dyDescent="0.25">
      <c r="A840" s="24">
        <f>CADASTROS!$B$712</f>
        <v>710</v>
      </c>
      <c r="B840" s="15" t="str">
        <f>CADASTROS!$C$712</f>
        <v>Adenildo Alves de Oliveira</v>
      </c>
      <c r="C840" s="25"/>
      <c r="D840" s="35">
        <f>PLANILHA_COLHEITA_DIÁRIA!$I$1147</f>
        <v>0</v>
      </c>
      <c r="E840" s="17">
        <v>6</v>
      </c>
      <c r="F840" s="26" t="str">
        <f>CADASTROS!$E$712</f>
        <v>Cx. Econômica</v>
      </c>
      <c r="G840" s="24">
        <f>CADASTROS!$F$712</f>
        <v>4825</v>
      </c>
      <c r="H840" s="26">
        <f>CADASTROS!$G$712</f>
        <v>13</v>
      </c>
      <c r="I840" s="16" t="str">
        <f>CADASTROS!$H$712</f>
        <v>00018740-0</v>
      </c>
      <c r="J840" s="18">
        <f t="shared" si="29"/>
        <v>0</v>
      </c>
    </row>
    <row r="841" spans="1:10" ht="15.75" x14ac:dyDescent="0.25">
      <c r="A841" s="24">
        <f>CADASTROS!$B$713</f>
        <v>711</v>
      </c>
      <c r="B841" s="15" t="str">
        <f>CADASTROS!$C$713</f>
        <v>Alvanice Lima Lopes</v>
      </c>
      <c r="C841" s="25"/>
      <c r="D841" s="35">
        <f>PLANILHA_COLHEITA_DIÁRIA!$I$1148</f>
        <v>0</v>
      </c>
      <c r="E841" s="17">
        <v>6</v>
      </c>
      <c r="F841" s="26" t="str">
        <f>CADASTROS!$E$713</f>
        <v>Cx. Econômica</v>
      </c>
      <c r="G841" s="24">
        <f>CADASTROS!$F$713</f>
        <v>4825</v>
      </c>
      <c r="H841" s="26">
        <f>CADASTROS!$G$713</f>
        <v>13</v>
      </c>
      <c r="I841" s="16" t="str">
        <f>CADASTROS!$H$713</f>
        <v>00009193-4</v>
      </c>
      <c r="J841" s="18">
        <f t="shared" si="29"/>
        <v>0</v>
      </c>
    </row>
    <row r="842" spans="1:10" ht="15.75" x14ac:dyDescent="0.25">
      <c r="A842" s="24">
        <f>CADASTROS!$B$714</f>
        <v>712</v>
      </c>
      <c r="B842" s="15" t="str">
        <f>CADASTROS!$C$714</f>
        <v>Maria Aparecida Paixão</v>
      </c>
      <c r="C842" s="25"/>
      <c r="D842" s="35">
        <f>PLANILHA_COLHEITA_DIÁRIA!$I$1149</f>
        <v>0</v>
      </c>
      <c r="E842" s="17">
        <v>6</v>
      </c>
      <c r="F842" s="26" t="str">
        <f>CADASTROS!$E$714</f>
        <v>Cx. Econômica</v>
      </c>
      <c r="G842" s="24">
        <f>CADASTROS!$F$714</f>
        <v>949</v>
      </c>
      <c r="H842" s="26">
        <f>CADASTROS!$G$714</f>
        <v>23</v>
      </c>
      <c r="I842" s="16" t="str">
        <f>CADASTROS!$H$714</f>
        <v>00011658-0</v>
      </c>
      <c r="J842" s="18">
        <f t="shared" si="29"/>
        <v>0</v>
      </c>
    </row>
    <row r="843" spans="1:10" ht="15.75" x14ac:dyDescent="0.25">
      <c r="A843" s="24">
        <f>CADASTROS!$B$715</f>
        <v>713</v>
      </c>
      <c r="B843" s="15" t="str">
        <f>CADASTROS!$C$715</f>
        <v>Leandro Jesus de Souza</v>
      </c>
      <c r="C843" s="25"/>
      <c r="D843" s="35">
        <f>PLANILHA_COLHEITA_DIÁRIA!$I$1150</f>
        <v>0</v>
      </c>
      <c r="E843" s="17">
        <v>6</v>
      </c>
      <c r="F843" s="26" t="str">
        <f>CADASTROS!$E$715</f>
        <v>Cx. Econômica</v>
      </c>
      <c r="G843" s="24">
        <f>CADASTROS!$F$715</f>
        <v>4825</v>
      </c>
      <c r="H843" s="26">
        <f>CADASTROS!$G$715</f>
        <v>13</v>
      </c>
      <c r="I843" s="16" t="str">
        <f>CADASTROS!$H$715</f>
        <v>00004682-3</v>
      </c>
      <c r="J843" s="18">
        <f t="shared" si="29"/>
        <v>0</v>
      </c>
    </row>
    <row r="844" spans="1:10" ht="15.75" x14ac:dyDescent="0.25">
      <c r="A844" s="24">
        <f>CADASTROS!$B$716</f>
        <v>714</v>
      </c>
      <c r="B844" s="15" t="str">
        <f>CADASTROS!$C$716</f>
        <v>André Jesus de Souza</v>
      </c>
      <c r="C844" s="25"/>
      <c r="D844" s="35">
        <f>PLANILHA_COLHEITA_DIÁRIA!$I$1151</f>
        <v>0</v>
      </c>
      <c r="E844" s="17">
        <v>6</v>
      </c>
      <c r="F844" s="26" t="str">
        <f>CADASTROS!$E$716</f>
        <v>Cx. Econômica</v>
      </c>
      <c r="G844" s="24">
        <f>CADASTROS!$F$716</f>
        <v>2734</v>
      </c>
      <c r="H844" s="26">
        <f>CADASTROS!$G$716</f>
        <v>13</v>
      </c>
      <c r="I844" s="16" t="str">
        <f>CADASTROS!$H$716</f>
        <v>00026991-8</v>
      </c>
      <c r="J844" s="18">
        <f t="shared" si="29"/>
        <v>0</v>
      </c>
    </row>
    <row r="845" spans="1:10" ht="15.75" x14ac:dyDescent="0.25">
      <c r="A845" s="24">
        <f>CADASTROS!$B$717</f>
        <v>715</v>
      </c>
      <c r="B845" s="15" t="str">
        <f>CADASTROS!$C$717</f>
        <v>Joceir Pereira de Souza</v>
      </c>
      <c r="C845" s="25"/>
      <c r="D845" s="35">
        <f>PLANILHA_COLHEITA_DIÁRIA!$I$1152</f>
        <v>0</v>
      </c>
      <c r="E845" s="17">
        <v>6</v>
      </c>
      <c r="F845" s="26" t="str">
        <f>CADASTROS!$E$717</f>
        <v>Bradesco</v>
      </c>
      <c r="G845" s="24" t="str">
        <f>CADASTROS!$F$717</f>
        <v>3801-6</v>
      </c>
      <c r="H845" s="26" t="str">
        <f>CADASTROS!$G$717</f>
        <v>c/corr</v>
      </c>
      <c r="I845" s="16" t="str">
        <f>CADASTROS!$H$717</f>
        <v>0000850-8</v>
      </c>
      <c r="J845" s="18">
        <f t="shared" si="29"/>
        <v>0</v>
      </c>
    </row>
    <row r="846" spans="1:10" ht="15.75" x14ac:dyDescent="0.25">
      <c r="A846" s="24">
        <f>CADASTROS!$B$718</f>
        <v>716</v>
      </c>
      <c r="B846" s="15" t="str">
        <f>CADASTROS!$C$718</f>
        <v>Lucas Souza dos Anjos</v>
      </c>
      <c r="C846" s="25"/>
      <c r="D846" s="35">
        <f>PLANILHA_COLHEITA_DIÁRIA!$I$1211</f>
        <v>0</v>
      </c>
      <c r="E846" s="17">
        <v>6</v>
      </c>
      <c r="F846" s="26" t="str">
        <f>CADASTROS!$E$718</f>
        <v>Cx. Econômica</v>
      </c>
      <c r="G846" s="24">
        <f>CADASTROS!$F$718</f>
        <v>4825</v>
      </c>
      <c r="H846" s="26">
        <f>CADASTROS!$G$718</f>
        <v>13</v>
      </c>
      <c r="I846" s="16" t="str">
        <f>CADASTROS!$H$718</f>
        <v>00009027-0</v>
      </c>
      <c r="J846" s="18">
        <f t="shared" si="29"/>
        <v>0</v>
      </c>
    </row>
    <row r="847" spans="1:10" ht="15.75" x14ac:dyDescent="0.25">
      <c r="A847" s="24">
        <f>CADASTROS!$B$719</f>
        <v>717</v>
      </c>
      <c r="B847" s="15" t="str">
        <f>CADASTROS!$C$719</f>
        <v>Cristina da Silva Dourado</v>
      </c>
      <c r="C847" s="25"/>
      <c r="D847" s="35">
        <f>PLANILHA_COLHEITA_DIÁRIA!$I$1212</f>
        <v>0</v>
      </c>
      <c r="E847" s="17">
        <v>6</v>
      </c>
      <c r="F847" s="26" t="str">
        <f>CADASTROS!$E$719</f>
        <v>Cx. Econômica</v>
      </c>
      <c r="G847" s="24">
        <f>CADASTROS!$F$719</f>
        <v>4825</v>
      </c>
      <c r="H847" s="26">
        <f>CADASTROS!$G$719</f>
        <v>13</v>
      </c>
      <c r="I847" s="16" t="str">
        <f>CADASTROS!$H$719</f>
        <v>00008477-6</v>
      </c>
      <c r="J847" s="18">
        <f t="shared" si="29"/>
        <v>0</v>
      </c>
    </row>
    <row r="848" spans="1:10" ht="15.75" x14ac:dyDescent="0.25">
      <c r="A848" s="24">
        <f>CADASTROS!$B$720</f>
        <v>718</v>
      </c>
      <c r="B848" s="15" t="str">
        <f>CADASTROS!$C$720</f>
        <v>André S. Fernandes</v>
      </c>
      <c r="C848" s="25"/>
      <c r="D848" s="41">
        <f>PLANILHA_COLHEITA_DIÁRIA!$I$1213</f>
        <v>0</v>
      </c>
      <c r="E848" s="17">
        <v>6</v>
      </c>
      <c r="F848" s="26" t="str">
        <f>CADASTROS!$E$720</f>
        <v>Banco do Brasil</v>
      </c>
      <c r="G848" s="24" t="str">
        <f>CADASTROS!$F$720</f>
        <v>2760-X</v>
      </c>
      <c r="H848" s="26" t="str">
        <f>CADASTROS!$G$720</f>
        <v>c/poup</v>
      </c>
      <c r="I848" s="16" t="str">
        <f>CADASTROS!$H$720</f>
        <v>12.844-9</v>
      </c>
      <c r="J848" s="18">
        <f t="shared" si="29"/>
        <v>0</v>
      </c>
    </row>
    <row r="849" spans="1:10" ht="15.75" x14ac:dyDescent="0.25">
      <c r="A849" s="24">
        <f>CADASTROS!$B$721</f>
        <v>719</v>
      </c>
      <c r="B849" s="15" t="str">
        <f>CADASTROS!$C$721</f>
        <v>Petrucia R Oliveira</v>
      </c>
      <c r="C849" s="25"/>
      <c r="D849" s="35">
        <f>PLANILHA_COLHEITA_DIÁRIA!$I$1214</f>
        <v>0</v>
      </c>
      <c r="E849" s="17">
        <v>6</v>
      </c>
      <c r="F849" s="26" t="str">
        <f>CADASTROS!$E$721</f>
        <v>Cx. Econômica</v>
      </c>
      <c r="G849" s="24">
        <f>CADASTROS!$F$721</f>
        <v>4825</v>
      </c>
      <c r="H849" s="26">
        <f>CADASTROS!$G$721</f>
        <v>1288</v>
      </c>
      <c r="I849" s="16" t="str">
        <f>CADASTROS!$H$721</f>
        <v>804939037-1</v>
      </c>
      <c r="J849" s="18">
        <f t="shared" si="29"/>
        <v>0</v>
      </c>
    </row>
    <row r="850" spans="1:10" ht="15.75" x14ac:dyDescent="0.25">
      <c r="B850" s="220"/>
      <c r="C850" s="220"/>
      <c r="D850" s="12">
        <f>SUM(D805:D849)</f>
        <v>127.5</v>
      </c>
      <c r="E850" s="12"/>
      <c r="F850" s="225"/>
      <c r="G850" s="226"/>
      <c r="H850" s="226"/>
      <c r="I850" s="227"/>
      <c r="J850" s="14">
        <f>SUM(J805:J849)</f>
        <v>765</v>
      </c>
    </row>
    <row r="853" spans="1:10" ht="15.75" x14ac:dyDescent="0.25">
      <c r="A853" s="213" t="s">
        <v>4816</v>
      </c>
      <c r="B853" s="213"/>
      <c r="C853" s="213"/>
      <c r="D853" s="213"/>
      <c r="E853" s="213"/>
      <c r="F853" s="213"/>
      <c r="G853" s="213"/>
      <c r="H853" s="213"/>
      <c r="I853" s="213"/>
      <c r="J853" s="213"/>
    </row>
    <row r="854" spans="1:10" ht="16.5" thickBot="1" x14ac:dyDescent="0.3">
      <c r="A854" s="214" t="s">
        <v>4843</v>
      </c>
      <c r="B854" s="214"/>
      <c r="C854" s="214"/>
      <c r="D854" s="214"/>
      <c r="E854" s="214"/>
      <c r="F854" s="214"/>
      <c r="G854" s="214"/>
      <c r="H854" s="214"/>
      <c r="I854" s="214"/>
      <c r="J854" s="214"/>
    </row>
    <row r="855" spans="1:10" ht="17.25" thickTop="1" thickBot="1" x14ac:dyDescent="0.3">
      <c r="A855" s="215" t="s">
        <v>4844</v>
      </c>
      <c r="B855" s="215"/>
      <c r="C855" s="215"/>
      <c r="D855" s="215"/>
      <c r="E855" s="215"/>
      <c r="F855" s="215"/>
      <c r="G855" s="215"/>
      <c r="H855" s="215"/>
      <c r="I855" s="215"/>
      <c r="J855" s="215"/>
    </row>
    <row r="856" spans="1:10" ht="19.149999999999999" customHeight="1" x14ac:dyDescent="0.25">
      <c r="A856" s="19" t="s">
        <v>4846</v>
      </c>
      <c r="B856" s="216" t="s">
        <v>1</v>
      </c>
      <c r="C856" s="221" t="s">
        <v>2</v>
      </c>
      <c r="D856" s="223" t="s">
        <v>4847</v>
      </c>
      <c r="E856" s="20" t="s">
        <v>4848</v>
      </c>
      <c r="F856" s="216" t="s">
        <v>3</v>
      </c>
      <c r="G856" s="216" t="s">
        <v>4</v>
      </c>
      <c r="H856" s="216" t="s">
        <v>5</v>
      </c>
      <c r="I856" s="216" t="s">
        <v>6</v>
      </c>
      <c r="J856" s="218" t="s">
        <v>4849</v>
      </c>
    </row>
    <row r="857" spans="1:10" ht="19.5" customHeight="1" thickBot="1" x14ac:dyDescent="0.3">
      <c r="A857" s="21" t="s">
        <v>4850</v>
      </c>
      <c r="B857" s="217"/>
      <c r="C857" s="222"/>
      <c r="D857" s="224"/>
      <c r="E857" s="161" t="s">
        <v>4851</v>
      </c>
      <c r="F857" s="217"/>
      <c r="G857" s="217"/>
      <c r="H857" s="217"/>
      <c r="I857" s="217"/>
      <c r="J857" s="219"/>
    </row>
    <row r="858" spans="1:10" ht="15.75" x14ac:dyDescent="0.25">
      <c r="A858" s="24">
        <f>CADASTROS!$B$722</f>
        <v>720</v>
      </c>
      <c r="B858" s="15" t="str">
        <f>CADASTROS!$C$722</f>
        <v>Renilton da Silva Lopes</v>
      </c>
      <c r="C858" s="25"/>
      <c r="D858" s="52">
        <f>PLANILHA_COLHEITA_DIÁRIA!$I$1101</f>
        <v>0</v>
      </c>
      <c r="E858" s="17">
        <v>6</v>
      </c>
      <c r="F858" s="26" t="str">
        <f>CADASTROS!$E$722</f>
        <v>Cx. Econômica</v>
      </c>
      <c r="G858" s="24">
        <f>CADASTROS!$F$722</f>
        <v>4825</v>
      </c>
      <c r="H858" s="26">
        <f>CADASTROS!$G$722</f>
        <v>13</v>
      </c>
      <c r="I858" s="16" t="str">
        <f>CADASTROS!$H$722</f>
        <v>00015644-0</v>
      </c>
      <c r="J858" s="18">
        <f t="shared" ref="J858:J867" si="30">D858*E858</f>
        <v>0</v>
      </c>
    </row>
    <row r="859" spans="1:10" ht="15.75" x14ac:dyDescent="0.25">
      <c r="A859" s="24">
        <f>CADASTROS!$B$723</f>
        <v>721</v>
      </c>
      <c r="B859" s="15" t="str">
        <f>CADASTROS!$C$723</f>
        <v>Joelma Maria de Jesus</v>
      </c>
      <c r="C859" s="25"/>
      <c r="D859" s="35">
        <f>PLANILHA_COLHEITA_DIÁRIA!$I$1102</f>
        <v>0</v>
      </c>
      <c r="E859" s="17">
        <v>6</v>
      </c>
      <c r="F859" s="26" t="str">
        <f>CADASTROS!$E$723</f>
        <v>Cx. Econômica</v>
      </c>
      <c r="G859" s="24">
        <f>CADASTROS!$F$723</f>
        <v>780</v>
      </c>
      <c r="H859" s="26">
        <f>CADASTROS!$G$723</f>
        <v>23</v>
      </c>
      <c r="I859" s="16" t="str">
        <f>CADASTROS!$H$723</f>
        <v>00009523-1</v>
      </c>
      <c r="J859" s="18">
        <f t="shared" si="30"/>
        <v>0</v>
      </c>
    </row>
    <row r="860" spans="1:10" ht="15.75" x14ac:dyDescent="0.25">
      <c r="A860" s="24">
        <f>CADASTROS!$B$724</f>
        <v>722</v>
      </c>
      <c r="B860" s="15" t="str">
        <f>CADASTROS!$C$724</f>
        <v>Zenilde Pereira da Cruz</v>
      </c>
      <c r="C860" s="25"/>
      <c r="D860" s="41">
        <f>PLANILHA_COLHEITA_DIÁRIA!$I$1103</f>
        <v>0</v>
      </c>
      <c r="E860" s="17">
        <v>6</v>
      </c>
      <c r="F860" s="26" t="str">
        <f>CADASTROS!$E$724</f>
        <v>Cx. Econômica</v>
      </c>
      <c r="G860" s="24">
        <f>CADASTROS!$F$724</f>
        <v>4825</v>
      </c>
      <c r="H860" s="26">
        <f>CADASTROS!$G$724</f>
        <v>13</v>
      </c>
      <c r="I860" s="16" t="str">
        <f>CADASTROS!$H$724</f>
        <v>00016309-9</v>
      </c>
      <c r="J860" s="18">
        <f t="shared" si="30"/>
        <v>0</v>
      </c>
    </row>
    <row r="861" spans="1:10" ht="15.75" x14ac:dyDescent="0.25">
      <c r="A861" s="24">
        <f>CADASTROS!$B$725</f>
        <v>723</v>
      </c>
      <c r="B861" s="15" t="str">
        <f>CADASTROS!$C$725</f>
        <v>Tatiane Jesus de Souza</v>
      </c>
      <c r="C861" s="25"/>
      <c r="D861" s="41">
        <f>PLANILHA_COLHEITA_DIÁRIA!$I$1104</f>
        <v>0</v>
      </c>
      <c r="E861" s="17">
        <v>6</v>
      </c>
      <c r="F861" s="26" t="str">
        <f>CADASTROS!$E$725</f>
        <v>Cx. Econômica</v>
      </c>
      <c r="G861" s="24">
        <f>CADASTROS!$F$725</f>
        <v>4825</v>
      </c>
      <c r="H861" s="26">
        <f>CADASTROS!$G$725</f>
        <v>13</v>
      </c>
      <c r="I861" s="16" t="str">
        <f>CADASTROS!$H$725</f>
        <v>00008513-6</v>
      </c>
      <c r="J861" s="18">
        <f t="shared" si="30"/>
        <v>0</v>
      </c>
    </row>
    <row r="862" spans="1:10" ht="15.75" x14ac:dyDescent="0.25">
      <c r="A862" s="24">
        <f>CADASTROS!$B$726</f>
        <v>724</v>
      </c>
      <c r="B862" s="15" t="str">
        <f>CADASTROS!$C$726</f>
        <v>Edileuza Rosa da Silva</v>
      </c>
      <c r="C862" s="25"/>
      <c r="D862" s="35">
        <f>PLANILHA_COLHEITA_DIÁRIA!$I$1105</f>
        <v>0</v>
      </c>
      <c r="E862" s="17">
        <v>6</v>
      </c>
      <c r="F862" s="26" t="str">
        <f>CADASTROS!$E$726</f>
        <v>Cx. Econômica</v>
      </c>
      <c r="G862" s="24">
        <f>CADASTROS!$F$726</f>
        <v>780</v>
      </c>
      <c r="H862" s="26">
        <f>CADASTROS!$G$726</f>
        <v>13</v>
      </c>
      <c r="I862" s="16" t="str">
        <f>CADASTROS!$H$726</f>
        <v>00071635-2</v>
      </c>
      <c r="J862" s="18">
        <f t="shared" si="30"/>
        <v>0</v>
      </c>
    </row>
    <row r="863" spans="1:10" ht="15.75" x14ac:dyDescent="0.25">
      <c r="A863" s="24">
        <f>CADASTROS!$B$727</f>
        <v>725</v>
      </c>
      <c r="B863" s="15" t="str">
        <f>CADASTROS!$C$727</f>
        <v>Valdionor Caetano de Souza</v>
      </c>
      <c r="C863" s="25"/>
      <c r="D863" s="35">
        <f>PLANILHA_COLHEITA_DIÁRIA!$I$1106</f>
        <v>66</v>
      </c>
      <c r="E863" s="17">
        <v>6</v>
      </c>
      <c r="F863" s="26" t="str">
        <f>CADASTROS!$E$727</f>
        <v>Cx. Econômica</v>
      </c>
      <c r="G863" s="24">
        <f>CADASTROS!$F$727</f>
        <v>780</v>
      </c>
      <c r="H863" s="26">
        <f>CADASTROS!$G$727</f>
        <v>13</v>
      </c>
      <c r="I863" s="16" t="str">
        <f>CADASTROS!$H$727</f>
        <v>00009893-4</v>
      </c>
      <c r="J863" s="18">
        <f t="shared" si="30"/>
        <v>396</v>
      </c>
    </row>
    <row r="864" spans="1:10" ht="15.75" x14ac:dyDescent="0.25">
      <c r="A864" s="24">
        <f>CADASTROS!$B$728</f>
        <v>726</v>
      </c>
      <c r="B864" s="15" t="str">
        <f>CADASTROS!$C$728</f>
        <v>José Silva Bispo</v>
      </c>
      <c r="C864" s="25"/>
      <c r="D864" s="35">
        <f>PLANILHA_COLHEITA_DIÁRIA!$I$1107</f>
        <v>0</v>
      </c>
      <c r="E864" s="17">
        <v>6</v>
      </c>
      <c r="F864" s="26" t="str">
        <f>CADASTROS!$E$728</f>
        <v>Cx. Econômica</v>
      </c>
      <c r="G864" s="24">
        <f>CADASTROS!$F$728</f>
        <v>4825</v>
      </c>
      <c r="H864" s="26">
        <f>CADASTROS!$G$728</f>
        <v>13</v>
      </c>
      <c r="I864" s="16" t="str">
        <f>CADASTROS!$H$728</f>
        <v>00012280-5</v>
      </c>
      <c r="J864" s="18">
        <f t="shared" si="30"/>
        <v>0</v>
      </c>
    </row>
    <row r="865" spans="1:10" ht="15.75" x14ac:dyDescent="0.25">
      <c r="A865" s="24">
        <f>CADASTROS!$B$729</f>
        <v>727</v>
      </c>
      <c r="B865" s="15" t="str">
        <f>CADASTROS!$C$729</f>
        <v>Leonardo Jesus Souza</v>
      </c>
      <c r="C865" s="25"/>
      <c r="D865" s="35">
        <f>PLANILHA_COLHEITA_DIÁRIA!$I$1108</f>
        <v>0</v>
      </c>
      <c r="E865" s="17">
        <v>6</v>
      </c>
      <c r="F865" s="26" t="str">
        <f>CADASTROS!$E$729</f>
        <v>Bradesco</v>
      </c>
      <c r="G865" s="24" t="str">
        <f>CADASTROS!$F$729</f>
        <v>3801-6</v>
      </c>
      <c r="H865" s="26" t="str">
        <f>CADASTROS!$G$729</f>
        <v>poup</v>
      </c>
      <c r="I865" s="16" t="str">
        <f>CADASTROS!$H$729</f>
        <v>0002266-7</v>
      </c>
      <c r="J865" s="18">
        <f t="shared" si="30"/>
        <v>0</v>
      </c>
    </row>
    <row r="866" spans="1:10" ht="15.75" x14ac:dyDescent="0.25">
      <c r="A866" s="24">
        <f>CADASTROS!$B$730</f>
        <v>728</v>
      </c>
      <c r="B866" s="15" t="str">
        <f>CADASTROS!$C$730</f>
        <v>Adilton Souza dos Santos</v>
      </c>
      <c r="C866" s="25"/>
      <c r="D866" s="35">
        <f>PLANILHA_COLHEITA_DIÁRIA!$I$1109</f>
        <v>0</v>
      </c>
      <c r="E866" s="17">
        <v>6</v>
      </c>
      <c r="F866" s="26" t="str">
        <f>CADASTROS!$E$730</f>
        <v>Cx. Econômica</v>
      </c>
      <c r="G866" s="24">
        <f>CADASTROS!$F$730</f>
        <v>4825</v>
      </c>
      <c r="H866" s="26">
        <f>CADASTROS!$G$730</f>
        <v>13</v>
      </c>
      <c r="I866" s="16" t="str">
        <f>CADASTROS!$H$730</f>
        <v>00005148-7</v>
      </c>
      <c r="J866" s="18">
        <f t="shared" si="30"/>
        <v>0</v>
      </c>
    </row>
    <row r="867" spans="1:10" ht="15.75" x14ac:dyDescent="0.25">
      <c r="A867" s="24">
        <f>CADASTROS!$B$731</f>
        <v>729</v>
      </c>
      <c r="B867" s="15" t="str">
        <f>CADASTROS!$C$731</f>
        <v>João Paulo S de Souza</v>
      </c>
      <c r="C867" s="25"/>
      <c r="D867" s="35">
        <f>PLANILHA_COLHEITA_DIÁRIA!$I$1169</f>
        <v>0</v>
      </c>
      <c r="E867" s="17">
        <v>6</v>
      </c>
      <c r="F867" s="26" t="str">
        <f>CADASTROS!$E$731</f>
        <v>Cx. Econômica</v>
      </c>
      <c r="G867" s="24">
        <f>CADASTROS!$F$731</f>
        <v>4825</v>
      </c>
      <c r="H867" s="26">
        <f>CADASTROS!$G$731</f>
        <v>13</v>
      </c>
      <c r="I867" s="16" t="str">
        <f>CADASTROS!$H$731</f>
        <v>00006453-8</v>
      </c>
      <c r="J867" s="18">
        <f t="shared" si="30"/>
        <v>0</v>
      </c>
    </row>
    <row r="868" spans="1:10" ht="15.75" x14ac:dyDescent="0.25">
      <c r="A868" s="24">
        <f>CADASTROS!$B$732</f>
        <v>730</v>
      </c>
      <c r="B868" s="15" t="str">
        <f>CADASTROS!$C$732</f>
        <v>Luciede Rosa Baraúna</v>
      </c>
      <c r="C868" s="25"/>
      <c r="D868" s="35">
        <f>PLANILHA_COLHEITA_DIÁRIA!$I$1170</f>
        <v>0</v>
      </c>
      <c r="E868" s="17">
        <v>6</v>
      </c>
      <c r="F868" s="26" t="str">
        <f>CADASTROS!$E$732</f>
        <v>Cx. Econômica</v>
      </c>
      <c r="G868" s="24">
        <f>CADASTROS!$F$732</f>
        <v>4825</v>
      </c>
      <c r="H868" s="26">
        <f>CADASTROS!$G$732</f>
        <v>13</v>
      </c>
      <c r="I868" s="16" t="str">
        <f>CADASTROS!$H$732</f>
        <v>00002265-7</v>
      </c>
      <c r="J868" s="18">
        <f>D868*E868</f>
        <v>0</v>
      </c>
    </row>
    <row r="869" spans="1:10" ht="15.75" x14ac:dyDescent="0.25">
      <c r="A869" s="24">
        <f>CADASTROS!$B$733</f>
        <v>731</v>
      </c>
      <c r="B869" s="15" t="str">
        <f>CADASTROS!$C$733</f>
        <v>Vilma Marcia Sá T de Oliveira</v>
      </c>
      <c r="C869" s="25"/>
      <c r="D869" s="35">
        <f>PLANILHA_COLHEITA_DIÁRIA!$I$1171</f>
        <v>0</v>
      </c>
      <c r="E869" s="17">
        <v>6</v>
      </c>
      <c r="F869" s="26" t="str">
        <f>CADASTROS!$E$733</f>
        <v>Bradesco</v>
      </c>
      <c r="G869" s="24" t="str">
        <f>CADASTROS!$F$733</f>
        <v>3801-6</v>
      </c>
      <c r="H869" s="26" t="str">
        <f>CADASTROS!$G$733</f>
        <v>c/corr</v>
      </c>
      <c r="I869" s="16" t="str">
        <f>CADASTROS!$H$733</f>
        <v>0061268-5</v>
      </c>
      <c r="J869" s="18">
        <f t="shared" ref="J869" si="31">D869*E869</f>
        <v>0</v>
      </c>
    </row>
    <row r="870" spans="1:10" ht="15.75" x14ac:dyDescent="0.25">
      <c r="A870" s="24">
        <f>CADASTROS!$B$734</f>
        <v>732</v>
      </c>
      <c r="B870" s="15" t="str">
        <f>CADASTROS!$C$734</f>
        <v>Abenilton M de Oliveira</v>
      </c>
      <c r="C870" s="25"/>
      <c r="D870" s="35">
        <f>PLANILHA_COLHEITA_DIÁRIA!$I$1172</f>
        <v>0</v>
      </c>
      <c r="E870" s="17">
        <v>6</v>
      </c>
      <c r="F870" s="26" t="str">
        <f>CADASTROS!$E$734</f>
        <v>Cx. Econômica</v>
      </c>
      <c r="G870" s="24">
        <f>CADASTROS!$F$734</f>
        <v>4379</v>
      </c>
      <c r="H870" s="26">
        <f>CADASTROS!$G$734</f>
        <v>13</v>
      </c>
      <c r="I870" s="16" t="str">
        <f>CADASTROS!$H$734</f>
        <v>00003375-2</v>
      </c>
      <c r="J870" s="18">
        <f>D870*E870</f>
        <v>0</v>
      </c>
    </row>
    <row r="871" spans="1:10" ht="15.75" x14ac:dyDescent="0.25">
      <c r="A871" s="24">
        <f>CADASTROS!$B$735</f>
        <v>733</v>
      </c>
      <c r="B871" s="15" t="str">
        <f>CADASTROS!$C$735</f>
        <v>Anita de Souza Santana</v>
      </c>
      <c r="C871" s="25"/>
      <c r="D871" s="35">
        <f>PLANILHA_COLHEITA_DIÁRIA!$I$1173</f>
        <v>0</v>
      </c>
      <c r="E871" s="17">
        <v>6</v>
      </c>
      <c r="F871" s="26" t="str">
        <f>CADASTROS!$E$735</f>
        <v>Cx. Econômica</v>
      </c>
      <c r="G871" s="24">
        <f>CADASTROS!$F$735</f>
        <v>780</v>
      </c>
      <c r="H871" s="26">
        <f>CADASTROS!$G$735</f>
        <v>13</v>
      </c>
      <c r="I871" s="16" t="str">
        <f>CADASTROS!$H$735</f>
        <v>00012073-5</v>
      </c>
      <c r="J871" s="18">
        <f t="shared" ref="J871:J902" si="32">D871*E871</f>
        <v>0</v>
      </c>
    </row>
    <row r="872" spans="1:10" ht="15.75" x14ac:dyDescent="0.25">
      <c r="A872" s="24">
        <f>CADASTROS!$B$736</f>
        <v>734</v>
      </c>
      <c r="B872" s="15" t="str">
        <f>CADASTROS!$C$736</f>
        <v>Marcionaria A de Oliveira</v>
      </c>
      <c r="C872" s="25"/>
      <c r="D872" s="35">
        <f>PLANILHA_COLHEITA_DIÁRIA!$I$1174</f>
        <v>0</v>
      </c>
      <c r="E872" s="17">
        <v>6</v>
      </c>
      <c r="F872" s="26" t="str">
        <f>CADASTROS!$E$736</f>
        <v>Cx. Econômica</v>
      </c>
      <c r="G872" s="24">
        <f>CADASTROS!$F$736</f>
        <v>4825</v>
      </c>
      <c r="H872" s="26">
        <f>CADASTROS!$G$736</f>
        <v>13</v>
      </c>
      <c r="I872" s="16" t="str">
        <f>CADASTROS!$H$736</f>
        <v>00005426-5</v>
      </c>
      <c r="J872" s="18">
        <f t="shared" si="32"/>
        <v>0</v>
      </c>
    </row>
    <row r="873" spans="1:10" ht="15.75" x14ac:dyDescent="0.25">
      <c r="A873" s="24">
        <f>CADASTROS!$B$737</f>
        <v>735</v>
      </c>
      <c r="B873" s="15" t="str">
        <f>CADASTROS!$C$737</f>
        <v>Marcos Antonio Ribeiro</v>
      </c>
      <c r="C873" s="25"/>
      <c r="D873" s="35">
        <f>PLANILHA_COLHEITA_DIÁRIA!$I$1175</f>
        <v>0</v>
      </c>
      <c r="E873" s="17">
        <v>6</v>
      </c>
      <c r="F873" s="26" t="str">
        <f>CADASTROS!$E$737</f>
        <v>Cx. Econômica</v>
      </c>
      <c r="G873" s="24">
        <f>CADASTROS!$F$737</f>
        <v>4825</v>
      </c>
      <c r="H873" s="26">
        <f>CADASTROS!$G$737</f>
        <v>13</v>
      </c>
      <c r="I873" s="16" t="str">
        <f>CADASTROS!$H$737</f>
        <v>00018541-6</v>
      </c>
      <c r="J873" s="18">
        <f t="shared" si="32"/>
        <v>0</v>
      </c>
    </row>
    <row r="874" spans="1:10" ht="15.75" x14ac:dyDescent="0.25">
      <c r="A874" s="24">
        <f>CADASTROS!$B$738</f>
        <v>736</v>
      </c>
      <c r="B874" s="15" t="str">
        <f>CADASTROS!$C$738</f>
        <v>José Rosa Pereira</v>
      </c>
      <c r="C874" s="25"/>
      <c r="D874" s="41">
        <f>PLANILHA_COLHEITA_DIÁRIA!$I$1176</f>
        <v>0</v>
      </c>
      <c r="E874" s="17">
        <v>6</v>
      </c>
      <c r="F874" s="26" t="str">
        <f>CADASTROS!$E$738</f>
        <v>Cx. Econômica</v>
      </c>
      <c r="G874" s="24">
        <f>CADASTROS!$F$738</f>
        <v>4825</v>
      </c>
      <c r="H874" s="26">
        <f>CADASTROS!$G$738</f>
        <v>0</v>
      </c>
      <c r="I874" s="16" t="str">
        <f>CADASTROS!$H$738</f>
        <v>000871264393-7</v>
      </c>
      <c r="J874" s="18">
        <f t="shared" si="32"/>
        <v>0</v>
      </c>
    </row>
    <row r="875" spans="1:10" ht="15.75" x14ac:dyDescent="0.25">
      <c r="A875" s="24">
        <f>CADASTROS!$B$739</f>
        <v>737</v>
      </c>
      <c r="B875" s="15" t="str">
        <f>CADASTROS!$C$739</f>
        <v>Avani Jesus de Souza</v>
      </c>
      <c r="C875" s="25"/>
      <c r="D875" s="35">
        <f>PLANILHA_COLHEITA_DIÁRIA!$I$1177</f>
        <v>0</v>
      </c>
      <c r="E875" s="17">
        <v>6</v>
      </c>
      <c r="F875" s="26" t="str">
        <f>CADASTROS!$E$739</f>
        <v>Cx. Econômica</v>
      </c>
      <c r="G875" s="24">
        <f>CADASTROS!$F$739</f>
        <v>4825</v>
      </c>
      <c r="H875" s="26">
        <f>CADASTROS!$G$739</f>
        <v>13</v>
      </c>
      <c r="I875" s="16" t="str">
        <f>CADASTROS!$H$739</f>
        <v>00000318-0</v>
      </c>
      <c r="J875" s="18">
        <f t="shared" si="32"/>
        <v>0</v>
      </c>
    </row>
    <row r="876" spans="1:10" ht="15.75" x14ac:dyDescent="0.25">
      <c r="A876" s="24">
        <f>CADASTROS!$B$740</f>
        <v>738</v>
      </c>
      <c r="B876" s="15" t="str">
        <f>CADASTROS!$C$740</f>
        <v>Zilma Pio Barbosa de Jesus</v>
      </c>
      <c r="C876" s="25"/>
      <c r="D876" s="35">
        <f>PLANILHA_COLHEITA_DIÁRIA!$I$1178</f>
        <v>0</v>
      </c>
      <c r="E876" s="17">
        <v>6</v>
      </c>
      <c r="F876" s="26" t="str">
        <f>CADASTROS!$E$740</f>
        <v>Cx. Econômica</v>
      </c>
      <c r="G876" s="24">
        <f>CADASTROS!$F$740</f>
        <v>780</v>
      </c>
      <c r="H876" s="26">
        <f>CADASTROS!$G$740</f>
        <v>23</v>
      </c>
      <c r="I876" s="16" t="str">
        <f>CADASTROS!$H$740</f>
        <v>00015339-8</v>
      </c>
      <c r="J876" s="18">
        <f t="shared" si="32"/>
        <v>0</v>
      </c>
    </row>
    <row r="877" spans="1:10" ht="15.75" x14ac:dyDescent="0.25">
      <c r="A877" s="24">
        <f>CADASTROS!$B$741</f>
        <v>739</v>
      </c>
      <c r="B877" s="15" t="str">
        <f>CADASTROS!$C$741</f>
        <v>Maria Madalena L Santos</v>
      </c>
      <c r="C877" s="25"/>
      <c r="D877" s="35">
        <f>PLANILHA_COLHEITA_DIÁRIA!$I$1179</f>
        <v>0</v>
      </c>
      <c r="E877" s="17">
        <v>6</v>
      </c>
      <c r="F877" s="26" t="str">
        <f>CADASTROS!$E$741</f>
        <v>Cx. Econômica</v>
      </c>
      <c r="G877" s="24">
        <f>CADASTROS!$F$741</f>
        <v>3233</v>
      </c>
      <c r="H877" s="26">
        <f>CADASTROS!$G$741</f>
        <v>23</v>
      </c>
      <c r="I877" s="16" t="str">
        <f>CADASTROS!$H$741</f>
        <v>00006551-4</v>
      </c>
      <c r="J877" s="18">
        <f t="shared" si="32"/>
        <v>0</v>
      </c>
    </row>
    <row r="878" spans="1:10" ht="15.75" x14ac:dyDescent="0.25">
      <c r="A878" s="24">
        <f>CADASTROS!$B$742</f>
        <v>740</v>
      </c>
      <c r="B878" s="15" t="str">
        <f>CADASTROS!$C$742</f>
        <v>Ana Lucia das Neves</v>
      </c>
      <c r="C878" s="25"/>
      <c r="D878" s="41">
        <f>PLANILHA_COLHEITA_DIÁRIA!$I$1180</f>
        <v>0</v>
      </c>
      <c r="E878" s="17">
        <v>6</v>
      </c>
      <c r="F878" s="26" t="str">
        <f>CADASTROS!$E$742</f>
        <v>Banco do Brasil</v>
      </c>
      <c r="G878" s="24" t="str">
        <f>CADASTROS!$F$742</f>
        <v>2760-X</v>
      </c>
      <c r="H878" s="26" t="str">
        <f>CADASTROS!$G$742</f>
        <v>poup</v>
      </c>
      <c r="I878" s="16" t="str">
        <f>CADASTROS!$H$742</f>
        <v>19.273-2</v>
      </c>
      <c r="J878" s="18">
        <f t="shared" si="32"/>
        <v>0</v>
      </c>
    </row>
    <row r="879" spans="1:10" ht="15.75" x14ac:dyDescent="0.25">
      <c r="A879" s="24">
        <f>CADASTROS!$B$743</f>
        <v>741</v>
      </c>
      <c r="B879" s="15" t="str">
        <f>CADASTROS!$C$743</f>
        <v>Valdir Ferreira Pinto</v>
      </c>
      <c r="C879" s="25"/>
      <c r="D879" s="35">
        <f>PLANILHA_COLHEITA_DIÁRIA!$I$1181</f>
        <v>0</v>
      </c>
      <c r="E879" s="17">
        <v>6</v>
      </c>
      <c r="F879" s="26" t="str">
        <f>CADASTROS!$E$743</f>
        <v>Cx. Econômica</v>
      </c>
      <c r="G879" s="24">
        <f>CADASTROS!$F$743</f>
        <v>2734</v>
      </c>
      <c r="H879" s="26">
        <f>CADASTROS!$G$743</f>
        <v>13</v>
      </c>
      <c r="I879" s="16" t="str">
        <f>CADASTROS!$H$743</f>
        <v>00025483-3</v>
      </c>
      <c r="J879" s="18">
        <f t="shared" si="32"/>
        <v>0</v>
      </c>
    </row>
    <row r="880" spans="1:10" ht="15.75" x14ac:dyDescent="0.25">
      <c r="A880" s="24">
        <f>CADASTROS!$B$744</f>
        <v>742</v>
      </c>
      <c r="B880" s="15" t="str">
        <f>CADASTROS!$C$744</f>
        <v>Rogério Enrique de Souza</v>
      </c>
      <c r="C880" s="25"/>
      <c r="D880" s="35">
        <f>PLANILHA_COLHEITA_DIÁRIA!$I$1182</f>
        <v>0</v>
      </c>
      <c r="E880" s="17">
        <v>6</v>
      </c>
      <c r="F880" s="26" t="str">
        <f>CADASTROS!$E$744</f>
        <v>Cx. Econômica</v>
      </c>
      <c r="G880" s="24">
        <f>CADASTROS!$F$744</f>
        <v>4825</v>
      </c>
      <c r="H880" s="26">
        <f>CADASTROS!$G$744</f>
        <v>13</v>
      </c>
      <c r="I880" s="16" t="str">
        <f>CADASTROS!$H$744</f>
        <v>00015565-7</v>
      </c>
      <c r="J880" s="18">
        <f t="shared" si="32"/>
        <v>0</v>
      </c>
    </row>
    <row r="881" spans="1:10" ht="15.75" x14ac:dyDescent="0.25">
      <c r="A881" s="24">
        <f>CADASTROS!$B$745</f>
        <v>743</v>
      </c>
      <c r="B881" s="15" t="str">
        <f>CADASTROS!$C$745</f>
        <v>Edileuza Teles Maciel</v>
      </c>
      <c r="C881" s="25"/>
      <c r="D881" s="35">
        <f>PLANILHA_COLHEITA_DIÁRIA!$I$1183</f>
        <v>0</v>
      </c>
      <c r="E881" s="17">
        <v>6</v>
      </c>
      <c r="F881" s="26" t="str">
        <f>CADASTROS!$E$745</f>
        <v>Cx. Econômica</v>
      </c>
      <c r="G881" s="24">
        <f>CADASTROS!$F$745</f>
        <v>4825</v>
      </c>
      <c r="H881" s="26">
        <f>CADASTROS!$G$745</f>
        <v>13</v>
      </c>
      <c r="I881" s="16" t="str">
        <f>CADASTROS!$H$745</f>
        <v>00004762-5</v>
      </c>
      <c r="J881" s="18">
        <f t="shared" si="32"/>
        <v>0</v>
      </c>
    </row>
    <row r="882" spans="1:10" ht="15.75" x14ac:dyDescent="0.25">
      <c r="A882" s="24">
        <f>CADASTROS!$B$746</f>
        <v>744</v>
      </c>
      <c r="B882" s="15" t="str">
        <f>CADASTROS!$C$746</f>
        <v>Rosimere Souza da Silva</v>
      </c>
      <c r="C882" s="25"/>
      <c r="D882" s="41">
        <f>PLANILHA_COLHEITA_DIÁRIA!$I$1184</f>
        <v>0</v>
      </c>
      <c r="E882" s="17">
        <v>6</v>
      </c>
      <c r="F882" s="26" t="str">
        <f>CADASTROS!$E$746</f>
        <v>Cx. Econômica</v>
      </c>
      <c r="G882" s="24">
        <f>CADASTROS!$F$746</f>
        <v>4825</v>
      </c>
      <c r="H882" s="26">
        <f>CADASTROS!$G$746</f>
        <v>13</v>
      </c>
      <c r="I882" s="16" t="str">
        <f>CADASTROS!$H$746</f>
        <v>00011167-6</v>
      </c>
      <c r="J882" s="18">
        <f t="shared" si="32"/>
        <v>0</v>
      </c>
    </row>
    <row r="883" spans="1:10" ht="15.75" x14ac:dyDescent="0.25">
      <c r="A883" s="24">
        <f>CADASTROS!$B$747</f>
        <v>745</v>
      </c>
      <c r="B883" s="15" t="str">
        <f>CADASTROS!$C$747</f>
        <v>Gilsinei Barbosa de Souza</v>
      </c>
      <c r="C883" s="25"/>
      <c r="D883" s="35">
        <f>PLANILHA_COLHEITA_DIÁRIA!$I$1185</f>
        <v>0</v>
      </c>
      <c r="E883" s="17">
        <v>6</v>
      </c>
      <c r="F883" s="26" t="str">
        <f>CADASTROS!$E$747</f>
        <v>Cx. Econômica</v>
      </c>
      <c r="G883" s="24">
        <f>CADASTROS!$F$747</f>
        <v>4825</v>
      </c>
      <c r="H883" s="26">
        <f>CADASTROS!$G$747</f>
        <v>13</v>
      </c>
      <c r="I883" s="16" t="str">
        <f>CADASTROS!$H$747</f>
        <v>00015801-0</v>
      </c>
      <c r="J883" s="18">
        <f t="shared" si="32"/>
        <v>0</v>
      </c>
    </row>
    <row r="884" spans="1:10" ht="15.75" x14ac:dyDescent="0.25">
      <c r="A884" s="24">
        <f>CADASTROS!$B$748</f>
        <v>746</v>
      </c>
      <c r="B884" s="15" t="str">
        <f>CADASTROS!$C$748</f>
        <v>Roque Rodrigues Dias</v>
      </c>
      <c r="C884" s="25"/>
      <c r="D884" s="35">
        <f>PLANILHA_COLHEITA_DIÁRIA!$I$1186</f>
        <v>0</v>
      </c>
      <c r="E884" s="17">
        <v>6</v>
      </c>
      <c r="F884" s="26" t="str">
        <f>CADASTROS!$E$748</f>
        <v>Cx. Econômica</v>
      </c>
      <c r="G884" s="24">
        <f>CADASTROS!$F$748</f>
        <v>4825</v>
      </c>
      <c r="H884" s="26">
        <f>CADASTROS!$G$748</f>
        <v>13</v>
      </c>
      <c r="I884" s="16" t="str">
        <f>CADASTROS!$H$748</f>
        <v>00007016-3</v>
      </c>
      <c r="J884" s="18">
        <f t="shared" si="32"/>
        <v>0</v>
      </c>
    </row>
    <row r="885" spans="1:10" ht="15.75" x14ac:dyDescent="0.25">
      <c r="A885" s="24">
        <f>CADASTROS!$B$749</f>
        <v>747</v>
      </c>
      <c r="B885" s="15" t="str">
        <f>CADASTROS!$C$749</f>
        <v>Valdenete Miranda Souza</v>
      </c>
      <c r="C885" s="25"/>
      <c r="D885" s="35">
        <f>PLANILHA_COLHEITA_DIÁRIA!$I$1187</f>
        <v>0</v>
      </c>
      <c r="E885" s="17">
        <v>6</v>
      </c>
      <c r="F885" s="26" t="str">
        <f>CADASTROS!$E$749</f>
        <v>Cx. Econômica</v>
      </c>
      <c r="G885" s="24">
        <f>CADASTROS!$F$749</f>
        <v>4825</v>
      </c>
      <c r="H885" s="26">
        <f>CADASTROS!$G$749</f>
        <v>13</v>
      </c>
      <c r="I885" s="16" t="str">
        <f>CADASTROS!$H$749</f>
        <v>00003863-4</v>
      </c>
      <c r="J885" s="18">
        <f t="shared" si="32"/>
        <v>0</v>
      </c>
    </row>
    <row r="886" spans="1:10" ht="15.75" x14ac:dyDescent="0.25">
      <c r="A886" s="24">
        <f>CADASTROS!$B$750</f>
        <v>748</v>
      </c>
      <c r="B886" s="15" t="str">
        <f>CADASTROS!$C$750</f>
        <v>Maria Cleide Santana Silva</v>
      </c>
      <c r="C886" s="25"/>
      <c r="D886" s="35">
        <f>PLANILHA_COLHEITA_DIÁRIA!$I$1188</f>
        <v>0</v>
      </c>
      <c r="E886" s="17">
        <v>6</v>
      </c>
      <c r="F886" s="26" t="str">
        <f>CADASTROS!$E$750</f>
        <v>Cx. Econômica</v>
      </c>
      <c r="G886" s="24">
        <f>CADASTROS!$F$750</f>
        <v>4825</v>
      </c>
      <c r="H886" s="26">
        <f>CADASTROS!$G$750</f>
        <v>13</v>
      </c>
      <c r="I886" s="16" t="str">
        <f>CADASTROS!$H$750</f>
        <v>00016698-5</v>
      </c>
      <c r="J886" s="18">
        <f t="shared" si="32"/>
        <v>0</v>
      </c>
    </row>
    <row r="887" spans="1:10" ht="15.75" x14ac:dyDescent="0.25">
      <c r="A887" s="24">
        <f>CADASTROS!$B$751</f>
        <v>749</v>
      </c>
      <c r="B887" s="15" t="str">
        <f>CADASTROS!$C$751</f>
        <v>Marlei Alves de Souza</v>
      </c>
      <c r="C887" s="25"/>
      <c r="D887" s="35">
        <f>PLANILHA_COLHEITA_DIÁRIA!$I$1189</f>
        <v>0</v>
      </c>
      <c r="E887" s="17">
        <v>6</v>
      </c>
      <c r="F887" s="26" t="str">
        <f>CADASTROS!$E$751</f>
        <v>Cx. Econômica</v>
      </c>
      <c r="G887" s="24">
        <f>CADASTROS!$F$751</f>
        <v>4825</v>
      </c>
      <c r="H887" s="26">
        <f>CADASTROS!$G$751</f>
        <v>13</v>
      </c>
      <c r="I887" s="16" t="str">
        <f>CADASTROS!$H$751</f>
        <v>00002701-2</v>
      </c>
      <c r="J887" s="18">
        <f t="shared" si="32"/>
        <v>0</v>
      </c>
    </row>
    <row r="888" spans="1:10" ht="15.75" x14ac:dyDescent="0.25">
      <c r="A888" s="24">
        <f>CADASTROS!$B$752</f>
        <v>750</v>
      </c>
      <c r="B888" s="15" t="str">
        <f>CADASTROS!$C$752</f>
        <v>Gideon Cesar dos Santos</v>
      </c>
      <c r="C888" s="25"/>
      <c r="D888" s="35">
        <f>PLANILHA_COLHEITA_DIÁRIA!$I$1190</f>
        <v>0</v>
      </c>
      <c r="E888" s="17">
        <v>6</v>
      </c>
      <c r="F888" s="26" t="str">
        <f>CADASTROS!$E$752</f>
        <v>Cx. Econômica</v>
      </c>
      <c r="G888" s="24">
        <f>CADASTROS!$F$752</f>
        <v>346</v>
      </c>
      <c r="H888" s="26">
        <f>CADASTROS!$G$752</f>
        <v>13</v>
      </c>
      <c r="I888" s="16" t="str">
        <f>CADASTROS!$H$752</f>
        <v>00018248-0</v>
      </c>
      <c r="J888" s="18">
        <f t="shared" si="32"/>
        <v>0</v>
      </c>
    </row>
    <row r="889" spans="1:10" ht="15.75" x14ac:dyDescent="0.25">
      <c r="A889" s="24">
        <f>CADASTROS!$B$753</f>
        <v>751</v>
      </c>
      <c r="B889" s="15" t="str">
        <f>CADASTROS!$C$753</f>
        <v>Eldinei da Silva Oliveira</v>
      </c>
      <c r="C889" s="25"/>
      <c r="D889" s="35">
        <f>PLANILHA_COLHEITA_DIÁRIA!$I$1191</f>
        <v>0</v>
      </c>
      <c r="E889" s="17">
        <v>6</v>
      </c>
      <c r="F889" s="26" t="str">
        <f>CADASTROS!$E$753</f>
        <v>Cx. Econômica</v>
      </c>
      <c r="G889" s="24">
        <f>CADASTROS!$F$753</f>
        <v>150</v>
      </c>
      <c r="H889" s="26">
        <f>CADASTROS!$G$753</f>
        <v>13</v>
      </c>
      <c r="I889" s="16" t="str">
        <f>CADASTROS!$H$753</f>
        <v>00012893-5</v>
      </c>
      <c r="J889" s="18">
        <f t="shared" si="32"/>
        <v>0</v>
      </c>
    </row>
    <row r="890" spans="1:10" ht="15.75" x14ac:dyDescent="0.25">
      <c r="A890" s="24">
        <f>CADASTROS!$B$754</f>
        <v>752</v>
      </c>
      <c r="B890" s="15" t="str">
        <f>CADASTROS!$C$754</f>
        <v>Alcides Rocha da Silva</v>
      </c>
      <c r="C890" s="25"/>
      <c r="D890" s="35">
        <f>PLANILHA_COLHEITA_DIÁRIA!$I$1192</f>
        <v>0</v>
      </c>
      <c r="E890" s="17">
        <v>6</v>
      </c>
      <c r="F890" s="26" t="str">
        <f>CADASTROS!$E$754</f>
        <v>Cx. Econômica</v>
      </c>
      <c r="G890" s="24">
        <f>CADASTROS!$F$754</f>
        <v>4825</v>
      </c>
      <c r="H890" s="26">
        <f>CADASTROS!$G$754</f>
        <v>13</v>
      </c>
      <c r="I890" s="16" t="str">
        <f>CADASTROS!$H$754</f>
        <v>00018417-7</v>
      </c>
      <c r="J890" s="18">
        <f t="shared" si="32"/>
        <v>0</v>
      </c>
    </row>
    <row r="891" spans="1:10" ht="15.75" x14ac:dyDescent="0.25">
      <c r="A891" s="24">
        <f>CADASTROS!$B$755</f>
        <v>753</v>
      </c>
      <c r="B891" s="15" t="str">
        <f>CADASTROS!$C$755</f>
        <v>Gesilda Vieira da Silva</v>
      </c>
      <c r="C891" s="25"/>
      <c r="D891" s="35">
        <f>PLANILHA_COLHEITA_DIÁRIA!$I$1193</f>
        <v>0</v>
      </c>
      <c r="E891" s="17">
        <v>6</v>
      </c>
      <c r="F891" s="26" t="str">
        <f>CADASTROS!$E$755</f>
        <v>Cx. Econômica</v>
      </c>
      <c r="G891" s="24">
        <f>CADASTROS!$F$755</f>
        <v>780</v>
      </c>
      <c r="H891" s="26">
        <f>CADASTROS!$G$755</f>
        <v>23</v>
      </c>
      <c r="I891" s="16" t="str">
        <f>CADASTROS!$H$755</f>
        <v>00009964-4</v>
      </c>
      <c r="J891" s="18">
        <f t="shared" si="32"/>
        <v>0</v>
      </c>
    </row>
    <row r="892" spans="1:10" ht="15.75" x14ac:dyDescent="0.25">
      <c r="A892" s="24">
        <f>CADASTROS!$B$756</f>
        <v>754</v>
      </c>
      <c r="B892" s="15" t="str">
        <f>CADASTROS!$C$756</f>
        <v>Francinalda C Souza</v>
      </c>
      <c r="C892" s="25"/>
      <c r="D892" s="35">
        <f>PLANILHA_COLHEITA_DIÁRIA!$I$1194</f>
        <v>0</v>
      </c>
      <c r="E892" s="17">
        <v>6</v>
      </c>
      <c r="F892" s="26" t="str">
        <f>CADASTROS!$E$756</f>
        <v>Cx. Econômica</v>
      </c>
      <c r="G892" s="24">
        <f>CADASTROS!$F$756</f>
        <v>32</v>
      </c>
      <c r="H892" s="26">
        <f>CADASTROS!$G$756</f>
        <v>23</v>
      </c>
      <c r="I892" s="16" t="str">
        <f>CADASTROS!$H$756</f>
        <v>00026837-6</v>
      </c>
      <c r="J892" s="18">
        <f t="shared" si="32"/>
        <v>0</v>
      </c>
    </row>
    <row r="893" spans="1:10" ht="15.75" x14ac:dyDescent="0.25">
      <c r="A893" s="24">
        <f>CADASTROS!$B$757</f>
        <v>755</v>
      </c>
      <c r="B893" s="15" t="str">
        <f>CADASTROS!$C$757</f>
        <v>Ildecir Jesus de Oliveira</v>
      </c>
      <c r="C893" s="25"/>
      <c r="D893" s="35">
        <f>PLANILHA_COLHEITA_DIÁRIA!$I$1195</f>
        <v>0</v>
      </c>
      <c r="E893" s="17">
        <v>6</v>
      </c>
      <c r="F893" s="26" t="str">
        <f>CADASTROS!$E$757</f>
        <v>Cx. Econômica</v>
      </c>
      <c r="G893" s="24">
        <f>CADASTROS!$F$757</f>
        <v>4825</v>
      </c>
      <c r="H893" s="26">
        <f>CADASTROS!$G$757</f>
        <v>13</v>
      </c>
      <c r="I893" s="16" t="str">
        <f>CADASTROS!$H$757</f>
        <v>00008632-9</v>
      </c>
      <c r="J893" s="18">
        <f t="shared" si="32"/>
        <v>0</v>
      </c>
    </row>
    <row r="894" spans="1:10" ht="15.75" x14ac:dyDescent="0.25">
      <c r="A894" s="24">
        <f>CADASTROS!$B$758</f>
        <v>756</v>
      </c>
      <c r="B894" s="15" t="str">
        <f>CADASTROS!$C$758</f>
        <v>Cleuson Barauna de Souza</v>
      </c>
      <c r="C894" s="25"/>
      <c r="D894" s="35">
        <f>PLANILHA_COLHEITA_DIÁRIA!$I$1253</f>
        <v>0</v>
      </c>
      <c r="E894" s="17">
        <v>6</v>
      </c>
      <c r="F894" s="26" t="str">
        <f>CADASTROS!$E$758</f>
        <v>Cx. Econômica</v>
      </c>
      <c r="G894" s="24">
        <f>CADASTROS!$F$758</f>
        <v>4825</v>
      </c>
      <c r="H894" s="26">
        <f>CADASTROS!$G$758</f>
        <v>13</v>
      </c>
      <c r="I894" s="16" t="str">
        <f>CADASTROS!$H$758</f>
        <v>00018601-3</v>
      </c>
      <c r="J894" s="18">
        <f t="shared" si="32"/>
        <v>0</v>
      </c>
    </row>
    <row r="895" spans="1:10" ht="15.75" x14ac:dyDescent="0.25">
      <c r="A895" s="24">
        <f>CADASTROS!$B$759</f>
        <v>757</v>
      </c>
      <c r="B895" s="15" t="str">
        <f>CADASTROS!$C$759</f>
        <v>José Baraúna Bispo</v>
      </c>
      <c r="C895" s="25"/>
      <c r="D895" s="35">
        <f>PLANILHA_COLHEITA_DIÁRIA!$I$1254</f>
        <v>0</v>
      </c>
      <c r="E895" s="17">
        <v>6</v>
      </c>
      <c r="F895" s="26" t="str">
        <f>CADASTROS!$E$759</f>
        <v>Cx. Econômica</v>
      </c>
      <c r="G895" s="24">
        <f>CADASTROS!$F$759</f>
        <v>4825</v>
      </c>
      <c r="H895" s="26">
        <f>CADASTROS!$G$759</f>
        <v>13</v>
      </c>
      <c r="I895" s="16" t="str">
        <f>CADASTROS!$H$759</f>
        <v>00015942-3</v>
      </c>
      <c r="J895" s="18">
        <f t="shared" si="32"/>
        <v>0</v>
      </c>
    </row>
    <row r="896" spans="1:10" ht="15.75" x14ac:dyDescent="0.25">
      <c r="A896" s="24">
        <f>CADASTROS!$B$760</f>
        <v>758</v>
      </c>
      <c r="B896" s="15" t="str">
        <f>CADASTROS!$C$760</f>
        <v>Ivaneuza de S Baraúna</v>
      </c>
      <c r="C896" s="25"/>
      <c r="D896" s="35">
        <f>PLANILHA_COLHEITA_DIÁRIA!$I$1255</f>
        <v>0</v>
      </c>
      <c r="E896" s="17">
        <v>6</v>
      </c>
      <c r="F896" s="26" t="str">
        <f>CADASTROS!$E$760</f>
        <v>Cx. Econômica</v>
      </c>
      <c r="G896" s="24">
        <f>CADASTROS!$F$760</f>
        <v>780</v>
      </c>
      <c r="H896" s="26">
        <f>CADASTROS!$G$760</f>
        <v>23</v>
      </c>
      <c r="I896" s="16" t="str">
        <f>CADASTROS!$H$760</f>
        <v>00020238-0</v>
      </c>
      <c r="J896" s="18">
        <f t="shared" si="32"/>
        <v>0</v>
      </c>
    </row>
    <row r="897" spans="1:10" ht="15.75" x14ac:dyDescent="0.25">
      <c r="A897" s="24">
        <f>CADASTROS!$B$761</f>
        <v>759</v>
      </c>
      <c r="B897" s="15" t="str">
        <f>CADASTROS!$C$761</f>
        <v>Mª Selma de Jesus Araújo</v>
      </c>
      <c r="C897" s="25"/>
      <c r="D897" s="35">
        <f>PLANILHA_COLHEITA_DIÁRIA!$I$1256</f>
        <v>0</v>
      </c>
      <c r="E897" s="17">
        <v>6</v>
      </c>
      <c r="F897" s="26" t="str">
        <f>CADASTROS!$E$761</f>
        <v>Cx. Econômica</v>
      </c>
      <c r="G897" s="24">
        <f>CADASTROS!$F$761</f>
        <v>4825</v>
      </c>
      <c r="H897" s="26">
        <f>CADASTROS!$G$761</f>
        <v>13</v>
      </c>
      <c r="I897" s="16" t="str">
        <f>CADASTROS!$H$761</f>
        <v>00023801-0</v>
      </c>
      <c r="J897" s="18">
        <f t="shared" si="32"/>
        <v>0</v>
      </c>
    </row>
    <row r="898" spans="1:10" ht="15.75" x14ac:dyDescent="0.25">
      <c r="A898" s="24">
        <f>CADASTROS!$B$762</f>
        <v>760</v>
      </c>
      <c r="B898" s="15" t="str">
        <f>CADASTROS!$C$762</f>
        <v>Patrícia da Silva Souza</v>
      </c>
      <c r="C898" s="25"/>
      <c r="D898" s="41">
        <f>PLANILHA_COLHEITA_DIÁRIA!$I$1257</f>
        <v>0</v>
      </c>
      <c r="E898" s="17">
        <v>6</v>
      </c>
      <c r="F898" s="26" t="str">
        <f>CADASTROS!$E$762</f>
        <v>Cx. Econômica</v>
      </c>
      <c r="G898" s="24">
        <f>CADASTROS!$F$762</f>
        <v>4825</v>
      </c>
      <c r="H898" s="26">
        <f>CADASTROS!$G$762</f>
        <v>13</v>
      </c>
      <c r="I898" s="16" t="str">
        <f>CADASTROS!$H$762</f>
        <v>00016550-4</v>
      </c>
      <c r="J898" s="18">
        <f t="shared" si="32"/>
        <v>0</v>
      </c>
    </row>
    <row r="899" spans="1:10" ht="15.75" x14ac:dyDescent="0.25">
      <c r="A899" s="24">
        <f>CADASTROS!$B$763</f>
        <v>761</v>
      </c>
      <c r="B899" s="15" t="str">
        <f>CADASTROS!$C$763</f>
        <v>Silvana Brito de Souza</v>
      </c>
      <c r="C899" s="25"/>
      <c r="D899" s="35">
        <f>PLANILHA_COLHEITA_DIÁRIA!$I$1258</f>
        <v>0</v>
      </c>
      <c r="E899" s="17">
        <v>6</v>
      </c>
      <c r="F899" s="26" t="str">
        <f>CADASTROS!$E$763</f>
        <v>Cx. Econômica</v>
      </c>
      <c r="G899" s="24">
        <f>CADASTROS!$F$763</f>
        <v>780</v>
      </c>
      <c r="H899" s="26">
        <f>CADASTROS!$G$763</f>
        <v>23</v>
      </c>
      <c r="I899" s="16" t="str">
        <f>CADASTROS!$H$763</f>
        <v>00015369-0</v>
      </c>
      <c r="J899" s="18">
        <f t="shared" si="32"/>
        <v>0</v>
      </c>
    </row>
    <row r="900" spans="1:10" ht="15.75" x14ac:dyDescent="0.25">
      <c r="A900" s="24">
        <f>CADASTROS!$B$764</f>
        <v>762</v>
      </c>
      <c r="B900" s="15" t="str">
        <f>CADASTROS!$C$764</f>
        <v>Eufrásio Bispo de Souza</v>
      </c>
      <c r="C900" s="25"/>
      <c r="D900" s="35">
        <f>PLANILHA_COLHEITA_DIÁRIA!$I$1259</f>
        <v>0</v>
      </c>
      <c r="E900" s="17">
        <v>6</v>
      </c>
      <c r="F900" s="26" t="str">
        <f>CADASTROS!$E$764</f>
        <v>Cx. Econômica</v>
      </c>
      <c r="G900" s="24">
        <f>CADASTROS!$F$764</f>
        <v>4825</v>
      </c>
      <c r="H900" s="26">
        <f>CADASTROS!$G$764</f>
        <v>13</v>
      </c>
      <c r="I900" s="16" t="str">
        <f>CADASTROS!$H$764</f>
        <v>00015999-7</v>
      </c>
      <c r="J900" s="18">
        <f t="shared" si="32"/>
        <v>0</v>
      </c>
    </row>
    <row r="901" spans="1:10" ht="15.75" x14ac:dyDescent="0.25">
      <c r="A901" s="24">
        <f>CADASTROS!$B$765</f>
        <v>763</v>
      </c>
      <c r="B901" s="15" t="str">
        <f>CADASTROS!$C$765</f>
        <v>Edifátima A da Cruz</v>
      </c>
      <c r="C901" s="25"/>
      <c r="D901" s="35">
        <f>PLANILHA_COLHEITA_DIÁRIA!$I$1260</f>
        <v>0</v>
      </c>
      <c r="E901" s="17">
        <v>6</v>
      </c>
      <c r="F901" s="26" t="str">
        <f>CADASTROS!$E$765</f>
        <v>Cx. Econômica</v>
      </c>
      <c r="G901" s="24">
        <f>CADASTROS!$F$765</f>
        <v>780</v>
      </c>
      <c r="H901" s="26">
        <f>CADASTROS!$G$765</f>
        <v>23</v>
      </c>
      <c r="I901" s="16" t="str">
        <f>CADASTROS!$H$765</f>
        <v>00008010-2</v>
      </c>
      <c r="J901" s="18">
        <f t="shared" si="32"/>
        <v>0</v>
      </c>
    </row>
    <row r="902" spans="1:10" ht="15.75" x14ac:dyDescent="0.25">
      <c r="A902" s="24">
        <f>CADASTROS!$B$766</f>
        <v>764</v>
      </c>
      <c r="B902" s="15" t="str">
        <f>CADASTROS!$C$766</f>
        <v>Wellington N Souza</v>
      </c>
      <c r="C902" s="25"/>
      <c r="D902" s="35">
        <f>PLANILHA_COLHEITA_DIÁRIA!$I$1261</f>
        <v>0</v>
      </c>
      <c r="E902" s="17">
        <v>6</v>
      </c>
      <c r="F902" s="26" t="str">
        <f>CADASTROS!$E$766</f>
        <v>Cx. Econômica</v>
      </c>
      <c r="G902" s="24">
        <f>CADASTROS!$F$766</f>
        <v>4825</v>
      </c>
      <c r="H902" s="26">
        <f>CADASTROS!$G$766</f>
        <v>13</v>
      </c>
      <c r="I902" s="16" t="str">
        <f>CADASTROS!$H$766</f>
        <v>00006369-8</v>
      </c>
      <c r="J902" s="18">
        <f t="shared" si="32"/>
        <v>0</v>
      </c>
    </row>
    <row r="903" spans="1:10" ht="15.75" x14ac:dyDescent="0.25">
      <c r="B903" s="220"/>
      <c r="C903" s="220"/>
      <c r="D903" s="12">
        <f>SUM(D858:D902)</f>
        <v>66</v>
      </c>
      <c r="E903" s="12"/>
      <c r="F903" s="162"/>
      <c r="G903" s="163"/>
      <c r="H903" s="163"/>
      <c r="I903" s="164"/>
      <c r="J903" s="14">
        <f>SUM(J858:J902)</f>
        <v>396</v>
      </c>
    </row>
    <row r="905" spans="1:10" ht="15.75" x14ac:dyDescent="0.25">
      <c r="A905" s="213" t="s">
        <v>4816</v>
      </c>
      <c r="B905" s="213"/>
      <c r="C905" s="213"/>
      <c r="D905" s="213"/>
      <c r="E905" s="213"/>
      <c r="F905" s="213"/>
      <c r="G905" s="213"/>
      <c r="H905" s="213"/>
      <c r="I905" s="213"/>
      <c r="J905" s="213"/>
    </row>
    <row r="906" spans="1:10" ht="16.5" thickBot="1" x14ac:dyDescent="0.3">
      <c r="A906" s="214" t="s">
        <v>4843</v>
      </c>
      <c r="B906" s="214"/>
      <c r="C906" s="214"/>
      <c r="D906" s="214"/>
      <c r="E906" s="214"/>
      <c r="F906" s="214"/>
      <c r="G906" s="214"/>
      <c r="H906" s="214"/>
      <c r="I906" s="214"/>
      <c r="J906" s="214"/>
    </row>
    <row r="907" spans="1:10" ht="17.25" thickTop="1" thickBot="1" x14ac:dyDescent="0.3">
      <c r="A907" s="215" t="s">
        <v>4844</v>
      </c>
      <c r="B907" s="215"/>
      <c r="C907" s="215"/>
      <c r="D907" s="215"/>
      <c r="E907" s="215"/>
      <c r="F907" s="215"/>
      <c r="G907" s="215"/>
      <c r="H907" s="215"/>
      <c r="I907" s="215"/>
      <c r="J907" s="215"/>
    </row>
    <row r="908" spans="1:10" ht="18.600000000000001" customHeight="1" x14ac:dyDescent="0.25">
      <c r="A908" s="19" t="s">
        <v>4846</v>
      </c>
      <c r="B908" s="216" t="s">
        <v>1</v>
      </c>
      <c r="C908" s="221" t="s">
        <v>2</v>
      </c>
      <c r="D908" s="223" t="s">
        <v>4847</v>
      </c>
      <c r="E908" s="20" t="s">
        <v>4848</v>
      </c>
      <c r="F908" s="216" t="s">
        <v>3</v>
      </c>
      <c r="G908" s="216" t="s">
        <v>4</v>
      </c>
      <c r="H908" s="216" t="s">
        <v>5</v>
      </c>
      <c r="I908" s="216" t="s">
        <v>6</v>
      </c>
      <c r="J908" s="218" t="s">
        <v>4849</v>
      </c>
    </row>
    <row r="909" spans="1:10" ht="20.100000000000001" customHeight="1" thickBot="1" x14ac:dyDescent="0.3">
      <c r="A909" s="21" t="s">
        <v>4850</v>
      </c>
      <c r="B909" s="217"/>
      <c r="C909" s="222"/>
      <c r="D909" s="224"/>
      <c r="E909" s="161" t="s">
        <v>4851</v>
      </c>
      <c r="F909" s="217"/>
      <c r="G909" s="217"/>
      <c r="H909" s="217"/>
      <c r="I909" s="217"/>
      <c r="J909" s="219"/>
    </row>
    <row r="910" spans="1:10" ht="15.75" x14ac:dyDescent="0.25">
      <c r="A910" s="24">
        <f>CADASTROS!$B$767</f>
        <v>765</v>
      </c>
      <c r="B910" s="15" t="str">
        <f>CADASTROS!$C$767</f>
        <v>Cosme Moura Passos</v>
      </c>
      <c r="C910" s="25"/>
      <c r="D910" s="35">
        <f>PLANILHA_COLHEITA_DIÁRIA!$I$1215</f>
        <v>0</v>
      </c>
      <c r="E910" s="17">
        <v>6</v>
      </c>
      <c r="F910" s="26" t="str">
        <f>CADASTROS!$E$767</f>
        <v>Cx. Econômica</v>
      </c>
      <c r="G910" s="24">
        <f>CADASTROS!$F$767</f>
        <v>780</v>
      </c>
      <c r="H910" s="26">
        <f>CADASTROS!$G$767</f>
        <v>0</v>
      </c>
      <c r="I910" s="16" t="str">
        <f>CADASTROS!$H$767</f>
        <v>000874367823-6</v>
      </c>
      <c r="J910" s="18">
        <f t="shared" ref="J910:J954" si="33">D910*E910</f>
        <v>0</v>
      </c>
    </row>
    <row r="911" spans="1:10" ht="15.75" x14ac:dyDescent="0.25">
      <c r="A911" s="24">
        <f>CADASTROS!$B$768</f>
        <v>766</v>
      </c>
      <c r="B911" s="15" t="str">
        <f>CADASTROS!$C$768</f>
        <v>Fabiana Nascimento Andrade</v>
      </c>
      <c r="C911" s="25"/>
      <c r="D911" s="35">
        <f>PLANILHA_COLHEITA_DIÁRIA!$I$1216</f>
        <v>0</v>
      </c>
      <c r="E911" s="17">
        <v>6</v>
      </c>
      <c r="F911" s="26" t="str">
        <f>CADASTROS!$E$768</f>
        <v>Cx. Econômica</v>
      </c>
      <c r="G911" s="24">
        <f>CADASTROS!$F$768</f>
        <v>4825</v>
      </c>
      <c r="H911" s="26">
        <f>CADASTROS!$G$768</f>
        <v>13</v>
      </c>
      <c r="I911" s="16" t="str">
        <f>CADASTROS!$H$768</f>
        <v>00011902-2</v>
      </c>
      <c r="J911" s="18">
        <f t="shared" si="33"/>
        <v>0</v>
      </c>
    </row>
    <row r="912" spans="1:10" ht="15.75" x14ac:dyDescent="0.25">
      <c r="A912" s="24">
        <f>CADASTROS!$B$769</f>
        <v>767</v>
      </c>
      <c r="B912" s="15" t="str">
        <f>CADASTROS!$C$769</f>
        <v>Jaciel Jesus de Oliveira</v>
      </c>
      <c r="C912" s="25"/>
      <c r="D912" s="35">
        <f>PLANILHA_COLHEITA_DIÁRIA!$I$1217</f>
        <v>0</v>
      </c>
      <c r="E912" s="17">
        <v>6</v>
      </c>
      <c r="F912" s="26" t="str">
        <f>CADASTROS!$E$769</f>
        <v>Cx. Econômica</v>
      </c>
      <c r="G912" s="24">
        <f>CADASTROS!$F$769</f>
        <v>4825</v>
      </c>
      <c r="H912" s="26">
        <f>CADASTROS!$G$769</f>
        <v>13</v>
      </c>
      <c r="I912" s="16" t="str">
        <f>CADASTROS!$H$769</f>
        <v>00013043-3</v>
      </c>
      <c r="J912" s="18">
        <f t="shared" si="33"/>
        <v>0</v>
      </c>
    </row>
    <row r="913" spans="1:10" ht="15.75" x14ac:dyDescent="0.25">
      <c r="A913" s="24">
        <f>CADASTROS!$B$770</f>
        <v>768</v>
      </c>
      <c r="B913" s="15" t="str">
        <f>CADASTROS!$C$770</f>
        <v>Marleide Maria D Santos</v>
      </c>
      <c r="C913" s="25"/>
      <c r="D913" s="35">
        <f>PLANILHA_COLHEITA_DIÁRIA!$I$1218</f>
        <v>0</v>
      </c>
      <c r="E913" s="17">
        <v>6</v>
      </c>
      <c r="F913" s="26" t="str">
        <f>CADASTROS!$E$770</f>
        <v>Cx. Econômica</v>
      </c>
      <c r="G913" s="24">
        <f>CADASTROS!$F$770</f>
        <v>4825</v>
      </c>
      <c r="H913" s="26">
        <f>CADASTROS!$G$770</f>
        <v>13</v>
      </c>
      <c r="I913" s="16" t="str">
        <f>CADASTROS!$H$770</f>
        <v>00009266-3</v>
      </c>
      <c r="J913" s="18">
        <f t="shared" si="33"/>
        <v>0</v>
      </c>
    </row>
    <row r="914" spans="1:10" ht="15.75" x14ac:dyDescent="0.25">
      <c r="A914" s="24">
        <f>CADASTROS!$B$771</f>
        <v>769</v>
      </c>
      <c r="B914" s="15" t="str">
        <f>CADASTROS!$C$771</f>
        <v>Cleide Silva Santos</v>
      </c>
      <c r="C914" s="25"/>
      <c r="D914" s="35">
        <f>PLANILHA_COLHEITA_DIÁRIA!$I$1219</f>
        <v>0</v>
      </c>
      <c r="E914" s="17">
        <v>6</v>
      </c>
      <c r="F914" s="26" t="str">
        <f>CADASTROS!$E$771</f>
        <v>Cx. Econômica</v>
      </c>
      <c r="G914" s="24">
        <f>CADASTROS!$F$771</f>
        <v>4818</v>
      </c>
      <c r="H914" s="26">
        <f>CADASTROS!$G$771</f>
        <v>13</v>
      </c>
      <c r="I914" s="16" t="str">
        <f>CADASTROS!$H$771</f>
        <v>00007263-0</v>
      </c>
      <c r="J914" s="18">
        <f t="shared" si="33"/>
        <v>0</v>
      </c>
    </row>
    <row r="915" spans="1:10" ht="15.75" x14ac:dyDescent="0.25">
      <c r="A915" s="24">
        <f>CADASTROS!$B$772</f>
        <v>770</v>
      </c>
      <c r="B915" s="15" t="str">
        <f>CADASTROS!$C$772</f>
        <v>Paulo de Jesus Nunes</v>
      </c>
      <c r="C915" s="25"/>
      <c r="D915" s="35">
        <f>PLANILHA_COLHEITA_DIÁRIA!$I$1220</f>
        <v>0</v>
      </c>
      <c r="E915" s="17">
        <v>6</v>
      </c>
      <c r="F915" s="26" t="str">
        <f>CADASTROS!$E$772</f>
        <v>Banco do Brasil</v>
      </c>
      <c r="G915" s="24" t="str">
        <f>CADASTROS!$F$772</f>
        <v>2760-X</v>
      </c>
      <c r="H915" s="26" t="str">
        <f>CADASTROS!$G$772</f>
        <v>poup</v>
      </c>
      <c r="I915" s="16" t="str">
        <f>CADASTROS!$H$772</f>
        <v>8.369-0</v>
      </c>
      <c r="J915" s="18">
        <f t="shared" si="33"/>
        <v>0</v>
      </c>
    </row>
    <row r="916" spans="1:10" ht="15.75" x14ac:dyDescent="0.25">
      <c r="A916" s="24">
        <f>CADASTROS!$B$773</f>
        <v>771</v>
      </c>
      <c r="B916" s="15" t="str">
        <f>CADASTROS!$C$773</f>
        <v>Maria Aparecida S P Silva</v>
      </c>
      <c r="C916" s="25"/>
      <c r="D916" s="52">
        <f>PLANILHA_COLHEITA_DIÁRIA!$I$1221</f>
        <v>0</v>
      </c>
      <c r="E916" s="17">
        <v>6</v>
      </c>
      <c r="F916" s="26" t="str">
        <f>CADASTROS!$E$773</f>
        <v>Banco do Brasil</v>
      </c>
      <c r="G916" s="24" t="str">
        <f>CADASTROS!$F$773</f>
        <v>2760-X</v>
      </c>
      <c r="H916" s="26" t="str">
        <f>CADASTROS!$G$773</f>
        <v>poup</v>
      </c>
      <c r="I916" s="16" t="str">
        <f>CADASTROS!$H$773</f>
        <v>18.070-X</v>
      </c>
      <c r="J916" s="18">
        <f t="shared" si="33"/>
        <v>0</v>
      </c>
    </row>
    <row r="917" spans="1:10" ht="15.75" x14ac:dyDescent="0.25">
      <c r="A917" s="24">
        <f>CADASTROS!$B$774</f>
        <v>772</v>
      </c>
      <c r="B917" s="15" t="str">
        <f>CADASTROS!$C$774</f>
        <v>Valdenor Pereira dos Santos</v>
      </c>
      <c r="C917" s="25"/>
      <c r="D917" s="35">
        <f>PLANILHA_COLHEITA_DIÁRIA!$I$1222</f>
        <v>0</v>
      </c>
      <c r="E917" s="17">
        <v>6</v>
      </c>
      <c r="F917" s="26" t="str">
        <f>CADASTROS!$E$774</f>
        <v>Cx. Econômica</v>
      </c>
      <c r="G917" s="24">
        <f>CADASTROS!$F$774</f>
        <v>2734</v>
      </c>
      <c r="H917" s="26">
        <f>CADASTROS!$G$774</f>
        <v>13</v>
      </c>
      <c r="I917" s="16" t="str">
        <f>CADASTROS!$H$774</f>
        <v>00022546-9</v>
      </c>
      <c r="J917" s="18">
        <f t="shared" si="33"/>
        <v>0</v>
      </c>
    </row>
    <row r="918" spans="1:10" ht="15.75" x14ac:dyDescent="0.25">
      <c r="A918" s="24">
        <f>CADASTROS!$B$775</f>
        <v>773</v>
      </c>
      <c r="B918" s="15" t="str">
        <f>CADASTROS!$C$775</f>
        <v>Diogenes de Souza Sales</v>
      </c>
      <c r="C918" s="25"/>
      <c r="D918" s="35">
        <f>PLANILHA_COLHEITA_DIÁRIA!$I$1223</f>
        <v>0</v>
      </c>
      <c r="E918" s="17">
        <v>6</v>
      </c>
      <c r="F918" s="26" t="str">
        <f>CADASTROS!$E$775</f>
        <v>Cx. Econômica</v>
      </c>
      <c r="G918" s="24">
        <f>CADASTROS!$F$775</f>
        <v>4825</v>
      </c>
      <c r="H918" s="26">
        <f>CADASTROS!$G$775</f>
        <v>13</v>
      </c>
      <c r="I918" s="16" t="str">
        <f>CADASTROS!$H$775</f>
        <v>00008526-8</v>
      </c>
      <c r="J918" s="18">
        <f t="shared" si="33"/>
        <v>0</v>
      </c>
    </row>
    <row r="919" spans="1:10" ht="15.75" x14ac:dyDescent="0.25">
      <c r="A919" s="24">
        <f>CADASTROS!$B$776</f>
        <v>774</v>
      </c>
      <c r="B919" s="15" t="str">
        <f>CADASTROS!$C$776</f>
        <v>Jean Silva Santos</v>
      </c>
      <c r="C919" s="25"/>
      <c r="D919" s="35">
        <f>PLANILHA_COLHEITA_DIÁRIA!$I$1224</f>
        <v>0</v>
      </c>
      <c r="E919" s="17">
        <v>6</v>
      </c>
      <c r="F919" s="26" t="str">
        <f>CADASTROS!$E$776</f>
        <v>Cx. Econômica</v>
      </c>
      <c r="G919" s="24">
        <f>CADASTROS!$F$776</f>
        <v>4825</v>
      </c>
      <c r="H919" s="26">
        <f>CADASTROS!$G$776</f>
        <v>13</v>
      </c>
      <c r="I919" s="16" t="str">
        <f>CADASTROS!$H$776</f>
        <v>00003427-2</v>
      </c>
      <c r="J919" s="18">
        <f t="shared" si="33"/>
        <v>0</v>
      </c>
    </row>
    <row r="920" spans="1:10" ht="15.75" x14ac:dyDescent="0.25">
      <c r="A920" s="24">
        <f>CADASTROS!$B$777</f>
        <v>775</v>
      </c>
      <c r="B920" s="15" t="str">
        <f>CADASTROS!$C$777</f>
        <v>Alexandra Fonseca Cedro</v>
      </c>
      <c r="C920" s="25"/>
      <c r="D920" s="35">
        <f>PLANILHA_COLHEITA_DIÁRIA!$I$1225</f>
        <v>0</v>
      </c>
      <c r="E920" s="17">
        <v>6</v>
      </c>
      <c r="F920" s="26" t="str">
        <f>CADASTROS!$E$777</f>
        <v>Bradesco</v>
      </c>
      <c r="G920" s="24" t="str">
        <f>CADASTROS!$F$777</f>
        <v>3801-6</v>
      </c>
      <c r="H920" s="26" t="str">
        <f>CADASTROS!$G$777</f>
        <v>poup</v>
      </c>
      <c r="I920" s="16" t="str">
        <f>CADASTROS!$H$777</f>
        <v>0002620-4</v>
      </c>
      <c r="J920" s="18">
        <f t="shared" si="33"/>
        <v>0</v>
      </c>
    </row>
    <row r="921" spans="1:10" ht="15.75" x14ac:dyDescent="0.25">
      <c r="A921" s="24">
        <f>CADASTROS!$B$778</f>
        <v>776</v>
      </c>
      <c r="B921" s="15" t="str">
        <f>CADASTROS!$C$778</f>
        <v>Irene Rodrigues Oliveira</v>
      </c>
      <c r="C921" s="25"/>
      <c r="D921" s="35">
        <f>PLANILHA_COLHEITA_DIÁRIA!$I$1226</f>
        <v>0</v>
      </c>
      <c r="E921" s="17">
        <v>6</v>
      </c>
      <c r="F921" s="26" t="str">
        <f>CADASTROS!$E$778</f>
        <v>Cx. Econômica</v>
      </c>
      <c r="G921" s="24">
        <f>CADASTROS!$F$778</f>
        <v>780</v>
      </c>
      <c r="H921" s="26">
        <f>CADASTROS!$G$778</f>
        <v>23</v>
      </c>
      <c r="I921" s="16" t="str">
        <f>CADASTROS!$H$778</f>
        <v>00012239-5</v>
      </c>
      <c r="J921" s="18">
        <f t="shared" si="33"/>
        <v>0</v>
      </c>
    </row>
    <row r="922" spans="1:10" ht="15.75" x14ac:dyDescent="0.25">
      <c r="A922" s="24">
        <f>CADASTROS!$B$779</f>
        <v>777</v>
      </c>
      <c r="B922" s="15" t="str">
        <f>CADASTROS!$C$779</f>
        <v>Luana Jesus Santana</v>
      </c>
      <c r="C922" s="25"/>
      <c r="D922" s="35">
        <f>PLANILHA_COLHEITA_DIÁRIA!$I$1227</f>
        <v>0</v>
      </c>
      <c r="E922" s="17">
        <v>6</v>
      </c>
      <c r="F922" s="26" t="str">
        <f>CADASTROS!$E$779</f>
        <v>Cx. Econômica</v>
      </c>
      <c r="G922" s="24">
        <f>CADASTROS!$F$779</f>
        <v>4825</v>
      </c>
      <c r="H922" s="26">
        <f>CADASTROS!$G$779</f>
        <v>13</v>
      </c>
      <c r="I922" s="16" t="str">
        <f>CADASTROS!$H$779</f>
        <v>00006725-1</v>
      </c>
      <c r="J922" s="18">
        <f t="shared" si="33"/>
        <v>0</v>
      </c>
    </row>
    <row r="923" spans="1:10" ht="15.75" x14ac:dyDescent="0.25">
      <c r="A923" s="24">
        <f>CADASTROS!$B$780</f>
        <v>778</v>
      </c>
      <c r="B923" s="15" t="str">
        <f>CADASTROS!$C$780</f>
        <v>Marivani Cruz Damasceno</v>
      </c>
      <c r="C923" s="25"/>
      <c r="D923" s="35">
        <f>PLANILHA_COLHEITA_DIÁRIA!$I$1228</f>
        <v>0</v>
      </c>
      <c r="E923" s="17">
        <v>6</v>
      </c>
      <c r="F923" s="26" t="str">
        <f>CADASTROS!$E$780</f>
        <v>Cx. Econômica</v>
      </c>
      <c r="G923" s="24">
        <f>CADASTROS!$F$780</f>
        <v>780</v>
      </c>
      <c r="H923" s="26">
        <f>CADASTROS!$G$780</f>
        <v>0</v>
      </c>
      <c r="I923" s="16" t="str">
        <f>CADASTROS!$H$780</f>
        <v>000832625017-0</v>
      </c>
      <c r="J923" s="18">
        <f t="shared" si="33"/>
        <v>0</v>
      </c>
    </row>
    <row r="924" spans="1:10" ht="15.75" x14ac:dyDescent="0.25">
      <c r="A924" s="24">
        <f>CADASTROS!$B$781</f>
        <v>779</v>
      </c>
      <c r="B924" s="15" t="str">
        <f>CADASTROS!$C$781</f>
        <v>Maria Anunciação P Santos</v>
      </c>
      <c r="C924" s="25"/>
      <c r="D924" s="35">
        <f>PLANILHA_COLHEITA_DIÁRIA!$I$1229</f>
        <v>0</v>
      </c>
      <c r="E924" s="17">
        <v>6</v>
      </c>
      <c r="F924" s="26" t="str">
        <f>CADASTROS!$E$781</f>
        <v>Cx. Econômica</v>
      </c>
      <c r="G924" s="24">
        <f>CADASTROS!$F$781</f>
        <v>4825</v>
      </c>
      <c r="H924" s="26">
        <f>CADASTROS!$G$781</f>
        <v>13</v>
      </c>
      <c r="I924" s="16" t="str">
        <f>CADASTROS!$H$781</f>
        <v>00012609-6</v>
      </c>
      <c r="J924" s="18">
        <f t="shared" si="33"/>
        <v>0</v>
      </c>
    </row>
    <row r="925" spans="1:10" ht="15.75" x14ac:dyDescent="0.25">
      <c r="A925" s="24">
        <f>CADASTROS!$B$782</f>
        <v>780</v>
      </c>
      <c r="B925" s="15" t="str">
        <f>CADASTROS!$C$782</f>
        <v>Eufrásio A dos Santos</v>
      </c>
      <c r="C925" s="25"/>
      <c r="D925" s="35">
        <f>PLANILHA_COLHEITA_DIÁRIA!$I$1230</f>
        <v>0</v>
      </c>
      <c r="E925" s="17">
        <v>6</v>
      </c>
      <c r="F925" s="26" t="str">
        <f>CADASTROS!$E$782</f>
        <v>Cx. Econômica</v>
      </c>
      <c r="G925" s="24">
        <f>CADASTROS!$F$782</f>
        <v>1880</v>
      </c>
      <c r="H925" s="26">
        <f>CADASTROS!$G$782</f>
        <v>13</v>
      </c>
      <c r="I925" s="16" t="str">
        <f>CADASTROS!$H$782</f>
        <v>00007580-9</v>
      </c>
      <c r="J925" s="18">
        <f t="shared" si="33"/>
        <v>0</v>
      </c>
    </row>
    <row r="926" spans="1:10" ht="15.75" x14ac:dyDescent="0.25">
      <c r="A926" s="24">
        <f>CADASTROS!$B$783</f>
        <v>781</v>
      </c>
      <c r="B926" s="15" t="str">
        <f>CADASTROS!$C$783</f>
        <v>Luis Cedro de Sena</v>
      </c>
      <c r="C926" s="25"/>
      <c r="D926" s="35">
        <f>PLANILHA_COLHEITA_DIÁRIA!$I$1231</f>
        <v>0</v>
      </c>
      <c r="E926" s="17">
        <v>6</v>
      </c>
      <c r="F926" s="26" t="str">
        <f>CADASTROS!$E$783</f>
        <v>Cx. Econômica</v>
      </c>
      <c r="G926" s="24">
        <f>CADASTROS!$F$783</f>
        <v>780</v>
      </c>
      <c r="H926" s="26">
        <f>CADASTROS!$G$783</f>
        <v>13</v>
      </c>
      <c r="I926" s="16" t="str">
        <f>CADASTROS!$H$783</f>
        <v>00003820-6</v>
      </c>
      <c r="J926" s="18">
        <f t="shared" si="33"/>
        <v>0</v>
      </c>
    </row>
    <row r="927" spans="1:10" ht="15.75" x14ac:dyDescent="0.25">
      <c r="A927" s="24">
        <f>CADASTROS!$B$784</f>
        <v>782</v>
      </c>
      <c r="B927" s="15" t="str">
        <f>CADASTROS!$C$784</f>
        <v>Cleusa Rodrigues da Silva</v>
      </c>
      <c r="C927" s="25"/>
      <c r="D927" s="35">
        <f>PLANILHA_COLHEITA_DIÁRIA!$I$1232</f>
        <v>0</v>
      </c>
      <c r="E927" s="17">
        <v>6</v>
      </c>
      <c r="F927" s="26" t="str">
        <f>CADASTROS!$E$784</f>
        <v>Cx. Econômica</v>
      </c>
      <c r="G927" s="24">
        <f>CADASTROS!$F$784</f>
        <v>780</v>
      </c>
      <c r="H927" s="26">
        <f>CADASTROS!$G$784</f>
        <v>13</v>
      </c>
      <c r="I927" s="16" t="str">
        <f>CADASTROS!$H$784</f>
        <v>00009176-0</v>
      </c>
      <c r="J927" s="18">
        <f t="shared" si="33"/>
        <v>0</v>
      </c>
    </row>
    <row r="928" spans="1:10" ht="15.75" x14ac:dyDescent="0.25">
      <c r="A928" s="24">
        <f>CADASTROS!$B$785</f>
        <v>783</v>
      </c>
      <c r="B928" s="15" t="str">
        <f>CADASTROS!$C$785</f>
        <v>Ivanelia E Souza</v>
      </c>
      <c r="C928" s="25"/>
      <c r="D928" s="35">
        <f>PLANILHA_COLHEITA_DIÁRIA!$I$1233</f>
        <v>0</v>
      </c>
      <c r="E928" s="17">
        <v>6</v>
      </c>
      <c r="F928" s="26" t="str">
        <f>CADASTROS!$E$785</f>
        <v>Bradesco</v>
      </c>
      <c r="G928" s="24" t="str">
        <f>CADASTROS!$F$785</f>
        <v>3801-6</v>
      </c>
      <c r="H928" s="26" t="str">
        <f>CADASTROS!$G$785</f>
        <v>c/corr</v>
      </c>
      <c r="I928" s="16" t="str">
        <f>CADASTROS!$H$785</f>
        <v>0000775-7</v>
      </c>
      <c r="J928" s="18">
        <f t="shared" si="33"/>
        <v>0</v>
      </c>
    </row>
    <row r="929" spans="1:10" ht="15.75" x14ac:dyDescent="0.25">
      <c r="A929" s="24">
        <f>CADASTROS!$B$786</f>
        <v>784</v>
      </c>
      <c r="B929" s="15" t="str">
        <f>CADASTROS!$C$786</f>
        <v>Joseilton B Oliveira</v>
      </c>
      <c r="C929" s="25"/>
      <c r="D929" s="35">
        <f>PLANILHA_COLHEITA_DIÁRIA!$I$1234</f>
        <v>0</v>
      </c>
      <c r="E929" s="17">
        <v>6</v>
      </c>
      <c r="F929" s="26" t="str">
        <f>CADASTROS!$E$786</f>
        <v>Cx. Econômica</v>
      </c>
      <c r="G929" s="24">
        <f>CADASTROS!$F$786</f>
        <v>4825</v>
      </c>
      <c r="H929" s="26">
        <f>CADASTROS!$G$786</f>
        <v>13</v>
      </c>
      <c r="I929" s="16" t="str">
        <f>CADASTROS!$H$786</f>
        <v>00010069-0</v>
      </c>
      <c r="J929" s="18">
        <f t="shared" si="33"/>
        <v>0</v>
      </c>
    </row>
    <row r="930" spans="1:10" ht="15.75" x14ac:dyDescent="0.25">
      <c r="A930" s="24">
        <f>CADASTROS!$B$787</f>
        <v>785</v>
      </c>
      <c r="B930" s="15" t="str">
        <f>CADASTROS!$C$787</f>
        <v>José Wilton Marques da Silva</v>
      </c>
      <c r="C930" s="25"/>
      <c r="D930" s="35">
        <f>PLANILHA_COLHEITA_DIÁRIA!$I$1235</f>
        <v>0</v>
      </c>
      <c r="E930" s="17">
        <v>6</v>
      </c>
      <c r="F930" s="26" t="str">
        <f>CADASTROS!$E$787</f>
        <v>Bradesco</v>
      </c>
      <c r="G930" s="24">
        <f>CADASTROS!$F$787</f>
        <v>7802</v>
      </c>
      <c r="H930" s="26" t="str">
        <f>CADASTROS!$G$787</f>
        <v>poup</v>
      </c>
      <c r="I930" s="16" t="str">
        <f>CADASTROS!$H$787</f>
        <v>0575642-1</v>
      </c>
      <c r="J930" s="18">
        <f t="shared" si="33"/>
        <v>0</v>
      </c>
    </row>
    <row r="931" spans="1:10" ht="15.75" x14ac:dyDescent="0.25">
      <c r="A931" s="24">
        <f>CADASTROS!$B$788</f>
        <v>786</v>
      </c>
      <c r="B931" s="15" t="str">
        <f>CADASTROS!$C$788</f>
        <v>Reverson Haine C Costa</v>
      </c>
      <c r="C931" s="25"/>
      <c r="D931" s="35">
        <f>PLANILHA_COLHEITA_DIÁRIA!$I$1236</f>
        <v>0</v>
      </c>
      <c r="E931" s="17">
        <v>6</v>
      </c>
      <c r="F931" s="26" t="str">
        <f>CADASTROS!$E$788</f>
        <v>Cx. Econômica</v>
      </c>
      <c r="G931" s="24">
        <f>CADASTROS!$F$788</f>
        <v>949</v>
      </c>
      <c r="H931" s="26">
        <f>CADASTROS!$G$788</f>
        <v>13</v>
      </c>
      <c r="I931" s="16" t="str">
        <f>CADASTROS!$H$788</f>
        <v>00021848-2</v>
      </c>
      <c r="J931" s="18">
        <f t="shared" si="33"/>
        <v>0</v>
      </c>
    </row>
    <row r="932" spans="1:10" ht="15.75" x14ac:dyDescent="0.25">
      <c r="A932" s="24">
        <f>CADASTROS!$B$789</f>
        <v>787</v>
      </c>
      <c r="B932" s="15" t="str">
        <f>CADASTROS!$C$789</f>
        <v>Joselito Ferreira da Silva</v>
      </c>
      <c r="C932" s="25"/>
      <c r="D932" s="35">
        <f>PLANILHA_COLHEITA_DIÁRIA!$I$1296</f>
        <v>0</v>
      </c>
      <c r="E932" s="17">
        <v>6</v>
      </c>
      <c r="F932" s="26" t="str">
        <f>CADASTROS!$E$789</f>
        <v>Cx. Econômica</v>
      </c>
      <c r="G932" s="24">
        <f>CADASTROS!$F$789</f>
        <v>780</v>
      </c>
      <c r="H932" s="26">
        <f>CADASTROS!$G$789</f>
        <v>23</v>
      </c>
      <c r="I932" s="16" t="str">
        <f>CADASTROS!$H$789</f>
        <v>00022328-0</v>
      </c>
      <c r="J932" s="18">
        <f t="shared" si="33"/>
        <v>0</v>
      </c>
    </row>
    <row r="933" spans="1:10" ht="15.75" x14ac:dyDescent="0.25">
      <c r="A933" s="24">
        <f>CADASTROS!$B$790</f>
        <v>788</v>
      </c>
      <c r="B933" s="15" t="str">
        <f>CADASTROS!$C$790</f>
        <v>Silvana Pires dos Santos</v>
      </c>
      <c r="C933" s="25"/>
      <c r="D933" s="35">
        <f>PLANILHA_COLHEITA_DIÁRIA!$I$1297</f>
        <v>0</v>
      </c>
      <c r="E933" s="17">
        <v>6</v>
      </c>
      <c r="F933" s="26" t="str">
        <f>CADASTROS!$E$790</f>
        <v>Banco do Brasil</v>
      </c>
      <c r="G933" s="24" t="str">
        <f>CADASTROS!$F$790</f>
        <v>2760-X</v>
      </c>
      <c r="H933" s="26" t="str">
        <f>CADASTROS!$G$790</f>
        <v>poup</v>
      </c>
      <c r="I933" s="16" t="str">
        <f>CADASTROS!$H$790</f>
        <v>15.111-4</v>
      </c>
      <c r="J933" s="18">
        <f t="shared" si="33"/>
        <v>0</v>
      </c>
    </row>
    <row r="934" spans="1:10" ht="15.75" x14ac:dyDescent="0.25">
      <c r="A934" s="24">
        <f>CADASTROS!$B$791</f>
        <v>789</v>
      </c>
      <c r="B934" s="15" t="str">
        <f>CADASTROS!$C$791</f>
        <v>Catiene de Souza</v>
      </c>
      <c r="C934" s="25"/>
      <c r="D934" s="35">
        <f>PLANILHA_COLHEITA_DIÁRIA!$I$1298</f>
        <v>0</v>
      </c>
      <c r="E934" s="17">
        <v>6</v>
      </c>
      <c r="F934" s="26" t="str">
        <f>CADASTROS!$E$791</f>
        <v>Cx. Econômica</v>
      </c>
      <c r="G934" s="24">
        <f>CADASTROS!$F$791</f>
        <v>4825</v>
      </c>
      <c r="H934" s="26">
        <f>CADASTROS!$G$791</f>
        <v>13</v>
      </c>
      <c r="I934" s="16" t="str">
        <f>CADASTROS!$H$791</f>
        <v>00004982-2</v>
      </c>
      <c r="J934" s="18">
        <f t="shared" si="33"/>
        <v>0</v>
      </c>
    </row>
    <row r="935" spans="1:10" ht="15.75" x14ac:dyDescent="0.25">
      <c r="A935" s="24">
        <f>CADASTROS!$B$792</f>
        <v>790</v>
      </c>
      <c r="B935" s="15" t="str">
        <f>CADASTROS!$C$792</f>
        <v>Maurício Alves de Araújo</v>
      </c>
      <c r="C935" s="25"/>
      <c r="D935" s="35">
        <f>PLANILHA_COLHEITA_DIÁRIA!$I$1299</f>
        <v>0</v>
      </c>
      <c r="E935" s="17">
        <v>6</v>
      </c>
      <c r="F935" s="26" t="str">
        <f>CADASTROS!$E$792</f>
        <v>Cx. Econômica</v>
      </c>
      <c r="G935" s="24">
        <f>CADASTROS!$F$792</f>
        <v>4535</v>
      </c>
      <c r="H935" s="26">
        <f>CADASTROS!$G$792</f>
        <v>13</v>
      </c>
      <c r="I935" s="16" t="str">
        <f>CADASTROS!$H$792</f>
        <v>00003383-0</v>
      </c>
      <c r="J935" s="18">
        <f t="shared" si="33"/>
        <v>0</v>
      </c>
    </row>
    <row r="936" spans="1:10" ht="15.75" x14ac:dyDescent="0.25">
      <c r="A936" s="24">
        <f>CADASTROS!$B$793</f>
        <v>791</v>
      </c>
      <c r="B936" s="15" t="str">
        <f>CADASTROS!$C$793</f>
        <v>Lucas José Alves</v>
      </c>
      <c r="C936" s="25"/>
      <c r="D936" s="35">
        <f>PLANILHA_COLHEITA_DIÁRIA!$I$1300</f>
        <v>0</v>
      </c>
      <c r="E936" s="17">
        <v>6</v>
      </c>
      <c r="F936" s="26" t="str">
        <f>CADASTROS!$E$793</f>
        <v>Cx. Econômica</v>
      </c>
      <c r="G936" s="24">
        <f>CADASTROS!$F$793</f>
        <v>4825</v>
      </c>
      <c r="H936" s="26">
        <f>CADASTROS!$G$793</f>
        <v>13</v>
      </c>
      <c r="I936" s="16" t="str">
        <f>CADASTROS!$H$793</f>
        <v>00019047-9</v>
      </c>
      <c r="J936" s="18">
        <f t="shared" si="33"/>
        <v>0</v>
      </c>
    </row>
    <row r="937" spans="1:10" ht="15.75" x14ac:dyDescent="0.25">
      <c r="A937" s="24">
        <f>CADASTROS!$B$794</f>
        <v>792</v>
      </c>
      <c r="B937" s="15" t="str">
        <f>CADASTROS!$C$794</f>
        <v>Vilmário Alves Queiróz</v>
      </c>
      <c r="C937" s="25"/>
      <c r="D937" s="35">
        <f>PLANILHA_COLHEITA_DIÁRIA!$I$1301</f>
        <v>0</v>
      </c>
      <c r="E937" s="17">
        <v>6</v>
      </c>
      <c r="F937" s="26" t="str">
        <f>CADASTROS!$E$794</f>
        <v>Cx. Econômica</v>
      </c>
      <c r="G937" s="24">
        <f>CADASTROS!$F$794</f>
        <v>4825</v>
      </c>
      <c r="H937" s="26">
        <f>CADASTROS!$G$794</f>
        <v>13</v>
      </c>
      <c r="I937" s="16" t="str">
        <f>CADASTROS!$H$794</f>
        <v>00009407-0</v>
      </c>
      <c r="J937" s="18">
        <f t="shared" si="33"/>
        <v>0</v>
      </c>
    </row>
    <row r="938" spans="1:10" ht="15.75" x14ac:dyDescent="0.25">
      <c r="A938" s="24">
        <f>CADASTROS!$B$795</f>
        <v>793</v>
      </c>
      <c r="B938" s="15" t="str">
        <f>CADASTROS!$C$795</f>
        <v>Marcelo Alves Queiróz</v>
      </c>
      <c r="C938" s="25"/>
      <c r="D938" s="35">
        <f>PLANILHA_COLHEITA_DIÁRIA!$I$1302</f>
        <v>0</v>
      </c>
      <c r="E938" s="17">
        <v>6</v>
      </c>
      <c r="F938" s="26" t="str">
        <f>CADASTROS!$E$795</f>
        <v>Cx. Econômica</v>
      </c>
      <c r="G938" s="24">
        <f>CADASTROS!$F$795</f>
        <v>4825</v>
      </c>
      <c r="H938" s="26">
        <f>CADASTROS!$G$795</f>
        <v>13</v>
      </c>
      <c r="I938" s="16" t="str">
        <f>CADASTROS!$H$795</f>
        <v>00012259-7</v>
      </c>
      <c r="J938" s="18">
        <f t="shared" si="33"/>
        <v>0</v>
      </c>
    </row>
    <row r="939" spans="1:10" ht="15.75" x14ac:dyDescent="0.25">
      <c r="A939" s="24">
        <f>CADASTROS!$B$796</f>
        <v>794</v>
      </c>
      <c r="B939" s="15" t="str">
        <f>CADASTROS!$C$796</f>
        <v>Neilton Dourado de Oliveira</v>
      </c>
      <c r="C939" s="25"/>
      <c r="D939" s="35">
        <f>PLANILHA_COLHEITA_DIÁRIA!$I$1303</f>
        <v>0</v>
      </c>
      <c r="E939" s="17">
        <v>6</v>
      </c>
      <c r="F939" s="26" t="str">
        <f>CADASTROS!$E$796</f>
        <v>Cx. Econômica</v>
      </c>
      <c r="G939" s="24">
        <f>CADASTROS!$F$796</f>
        <v>4825</v>
      </c>
      <c r="H939" s="26">
        <f>CADASTROS!$G$796</f>
        <v>13</v>
      </c>
      <c r="I939" s="16" t="str">
        <f>CADASTROS!$H$796</f>
        <v>00009151-9</v>
      </c>
      <c r="J939" s="18">
        <f t="shared" si="33"/>
        <v>0</v>
      </c>
    </row>
    <row r="940" spans="1:10" ht="15.75" x14ac:dyDescent="0.25">
      <c r="A940" s="24">
        <f>CADASTROS!$B$797</f>
        <v>795</v>
      </c>
      <c r="B940" s="15" t="str">
        <f>CADASTROS!$C$797</f>
        <v>Tailan Bispo Baraúna</v>
      </c>
      <c r="C940" s="25"/>
      <c r="D940" s="35">
        <f>PLANILHA_COLHEITA_DIÁRIA!$I$1304</f>
        <v>0</v>
      </c>
      <c r="E940" s="17">
        <v>6</v>
      </c>
      <c r="F940" s="26" t="str">
        <f>CADASTROS!$E$797</f>
        <v>Cx. Econômica</v>
      </c>
      <c r="G940" s="24">
        <f>CADASTROS!$F$797</f>
        <v>4535</v>
      </c>
      <c r="H940" s="26">
        <f>CADASTROS!$G$797</f>
        <v>13</v>
      </c>
      <c r="I940" s="16" t="str">
        <f>CADASTROS!$H$797</f>
        <v>00005790-0</v>
      </c>
      <c r="J940" s="18">
        <f t="shared" si="33"/>
        <v>0</v>
      </c>
    </row>
    <row r="941" spans="1:10" ht="15.75" x14ac:dyDescent="0.25">
      <c r="A941" s="24">
        <f>CADASTROS!$B$798</f>
        <v>796</v>
      </c>
      <c r="B941" s="15" t="str">
        <f>CADASTROS!$C$798</f>
        <v>Reinacir Dourado da Cruz</v>
      </c>
      <c r="C941" s="25"/>
      <c r="D941" s="35">
        <f>PLANILHA_COLHEITA_DIÁRIA!$I$1305</f>
        <v>0</v>
      </c>
      <c r="E941" s="17">
        <v>6</v>
      </c>
      <c r="F941" s="26" t="str">
        <f>CADASTROS!$E$798</f>
        <v>Cx. Econômica</v>
      </c>
      <c r="G941" s="24">
        <f>CADASTROS!$F$798</f>
        <v>4825</v>
      </c>
      <c r="H941" s="26">
        <f>CADASTROS!$G$798</f>
        <v>13</v>
      </c>
      <c r="I941" s="16" t="str">
        <f>CADASTROS!$H$798</f>
        <v>00018339-1</v>
      </c>
      <c r="J941" s="18">
        <f t="shared" si="33"/>
        <v>0</v>
      </c>
    </row>
    <row r="942" spans="1:10" ht="15.75" x14ac:dyDescent="0.25">
      <c r="A942" s="24">
        <f>CADASTROS!$B$799</f>
        <v>797</v>
      </c>
      <c r="B942" s="15" t="str">
        <f>CADASTROS!$C$799</f>
        <v>José dos Santos</v>
      </c>
      <c r="C942" s="25"/>
      <c r="D942" s="35">
        <f>PLANILHA_COLHEITA_DIÁRIA!$I$1306</f>
        <v>0</v>
      </c>
      <c r="E942" s="17">
        <v>6</v>
      </c>
      <c r="F942" s="26" t="str">
        <f>CADASTROS!$E$799</f>
        <v>Banco do Brasil</v>
      </c>
      <c r="G942" s="24" t="str">
        <f>CADASTROS!$F$799</f>
        <v>3833-4</v>
      </c>
      <c r="H942" s="26" t="str">
        <f>CADASTROS!$G$799</f>
        <v>poup</v>
      </c>
      <c r="I942" s="16" t="str">
        <f>CADASTROS!$H$799</f>
        <v>8.666-5</v>
      </c>
      <c r="J942" s="18">
        <f t="shared" si="33"/>
        <v>0</v>
      </c>
    </row>
    <row r="943" spans="1:10" ht="15.75" x14ac:dyDescent="0.25">
      <c r="A943" s="24">
        <f>CADASTROS!$B$800</f>
        <v>798</v>
      </c>
      <c r="B943" s="15" t="str">
        <f>CADASTROS!$C$800</f>
        <v>Inácio Pereira de A Neto</v>
      </c>
      <c r="C943" s="25"/>
      <c r="D943" s="35">
        <f>PLANILHA_COLHEITA_DIÁRIA!$I$1307</f>
        <v>0</v>
      </c>
      <c r="E943" s="17">
        <v>6</v>
      </c>
      <c r="F943" s="26" t="str">
        <f>CADASTROS!$E$800</f>
        <v>Cx. Econômica</v>
      </c>
      <c r="G943" s="24">
        <f>CADASTROS!$F$800</f>
        <v>4535</v>
      </c>
      <c r="H943" s="26">
        <f>CADASTROS!$G$800</f>
        <v>13</v>
      </c>
      <c r="I943" s="16" t="str">
        <f>CADASTROS!$H$800</f>
        <v>00002393-2</v>
      </c>
      <c r="J943" s="18">
        <f t="shared" si="33"/>
        <v>0</v>
      </c>
    </row>
    <row r="944" spans="1:10" ht="15.75" x14ac:dyDescent="0.25">
      <c r="A944" s="24">
        <f>CADASTROS!$B$801</f>
        <v>799</v>
      </c>
      <c r="B944" s="15" t="str">
        <f>CADASTROS!$C$801</f>
        <v>Ronivan Maria de Queiróz</v>
      </c>
      <c r="C944" s="25"/>
      <c r="D944" s="35">
        <f>PLANILHA_COLHEITA_DIÁRIA!$I$1308</f>
        <v>0</v>
      </c>
      <c r="E944" s="17">
        <v>6</v>
      </c>
      <c r="F944" s="26" t="str">
        <f>CADASTROS!$E$801</f>
        <v>Cx. Econômica</v>
      </c>
      <c r="G944" s="24">
        <f>CADASTROS!$F$801</f>
        <v>780</v>
      </c>
      <c r="H944" s="26">
        <f>CADASTROS!$G$801</f>
        <v>23</v>
      </c>
      <c r="I944" s="16" t="str">
        <f>CADASTROS!$H$801</f>
        <v>00021996-8</v>
      </c>
      <c r="J944" s="18">
        <f t="shared" si="33"/>
        <v>0</v>
      </c>
    </row>
    <row r="945" spans="1:10" ht="15.75" x14ac:dyDescent="0.25">
      <c r="A945" s="24">
        <f>CADASTROS!$B$802</f>
        <v>800</v>
      </c>
      <c r="B945" s="15" t="str">
        <f>CADASTROS!$C$802</f>
        <v>Mirian dos Reis Souza</v>
      </c>
      <c r="C945" s="25"/>
      <c r="D945" s="42">
        <f>PLANILHA_COLHEITA_DIÁRIA!$I$1309</f>
        <v>0</v>
      </c>
      <c r="E945" s="17">
        <v>6</v>
      </c>
      <c r="F945" s="26" t="str">
        <f>CADASTROS!$E$802</f>
        <v>Cx. Econômica</v>
      </c>
      <c r="G945" s="24">
        <f>CADASTROS!$F$802</f>
        <v>4825</v>
      </c>
      <c r="H945" s="26">
        <f>CADASTROS!$G$802</f>
        <v>13</v>
      </c>
      <c r="I945" s="16" t="str">
        <f>CADASTROS!$H$802</f>
        <v>00011411-0</v>
      </c>
      <c r="J945" s="18">
        <f t="shared" si="33"/>
        <v>0</v>
      </c>
    </row>
    <row r="946" spans="1:10" ht="15.75" x14ac:dyDescent="0.25">
      <c r="A946" s="24">
        <f>CADASTROS!$B$803</f>
        <v>801</v>
      </c>
      <c r="B946" s="15" t="str">
        <f>CADASTROS!$C$803</f>
        <v>Lucieide Rosa Barauna</v>
      </c>
      <c r="C946" s="25"/>
      <c r="D946" s="35">
        <f>PLANILHA_COLHEITA_DIÁRIA!$I$1310</f>
        <v>0</v>
      </c>
      <c r="E946" s="17">
        <v>6</v>
      </c>
      <c r="F946" s="26" t="str">
        <f>CADASTROS!$E$803</f>
        <v>Cx. Econômica</v>
      </c>
      <c r="G946" s="24">
        <f>CADASTROS!$F$803</f>
        <v>4825</v>
      </c>
      <c r="H946" s="26">
        <f>CADASTROS!$G$803</f>
        <v>13</v>
      </c>
      <c r="I946" s="16" t="str">
        <f>CADASTROS!$H$803</f>
        <v>00002265-7</v>
      </c>
      <c r="J946" s="18">
        <f t="shared" si="33"/>
        <v>0</v>
      </c>
    </row>
    <row r="947" spans="1:10" ht="15.75" x14ac:dyDescent="0.25">
      <c r="A947" s="24">
        <f>CADASTROS!$B$804</f>
        <v>802</v>
      </c>
      <c r="B947" s="15" t="str">
        <f>CADASTROS!$C$804</f>
        <v>Deilton Pereira de Jesus</v>
      </c>
      <c r="C947" s="25"/>
      <c r="D947" s="35">
        <f>PLANILHA_COLHEITA_DIÁRIA!$I$1311</f>
        <v>0</v>
      </c>
      <c r="E947" s="17">
        <v>6</v>
      </c>
      <c r="F947" s="26" t="str">
        <f>CADASTROS!$E$804</f>
        <v>Cx. Econômica</v>
      </c>
      <c r="G947" s="24">
        <f>CADASTROS!$F$804</f>
        <v>1235</v>
      </c>
      <c r="H947" s="26">
        <f>CADASTROS!$G$804</f>
        <v>13</v>
      </c>
      <c r="I947" s="16" t="str">
        <f>CADASTROS!$H$804</f>
        <v>00013684-3</v>
      </c>
      <c r="J947" s="18">
        <f t="shared" si="33"/>
        <v>0</v>
      </c>
    </row>
    <row r="948" spans="1:10" ht="15.75" x14ac:dyDescent="0.25">
      <c r="A948" s="24">
        <f>CADASTROS!$B$805</f>
        <v>803</v>
      </c>
      <c r="B948" s="15" t="str">
        <f>CADASTROS!$C$805</f>
        <v>Ednei Jesus dos Santos</v>
      </c>
      <c r="C948" s="25"/>
      <c r="D948" s="35">
        <f>PLANILHA_COLHEITA_DIÁRIA!$I$1312</f>
        <v>0</v>
      </c>
      <c r="E948" s="17">
        <v>6</v>
      </c>
      <c r="F948" s="26" t="str">
        <f>CADASTROS!$E$805</f>
        <v>Cx. Econômica</v>
      </c>
      <c r="G948" s="24">
        <f>CADASTROS!$F$805</f>
        <v>4825</v>
      </c>
      <c r="H948" s="26">
        <f>CADASTROS!$G$805</f>
        <v>13</v>
      </c>
      <c r="I948" s="16" t="str">
        <f>CADASTROS!$H$805</f>
        <v>00005140-1</v>
      </c>
      <c r="J948" s="18">
        <f t="shared" si="33"/>
        <v>0</v>
      </c>
    </row>
    <row r="949" spans="1:10" ht="15.75" x14ac:dyDescent="0.25">
      <c r="A949" s="24">
        <f>CADASTROS!$B$806</f>
        <v>804</v>
      </c>
      <c r="B949" s="15" t="str">
        <f>CADASTROS!$C$806</f>
        <v>Josivan Teles de Oliveira</v>
      </c>
      <c r="C949" s="25"/>
      <c r="D949" s="35">
        <f>PLANILHA_COLHEITA_DIÁRIA!$I$1313</f>
        <v>0</v>
      </c>
      <c r="E949" s="17">
        <v>6</v>
      </c>
      <c r="F949" s="26" t="str">
        <f>CADASTROS!$E$806</f>
        <v>Bradesco</v>
      </c>
      <c r="G949" s="24" t="str">
        <f>CADASTROS!$F$806</f>
        <v>3801-6</v>
      </c>
      <c r="H949" s="26" t="str">
        <f>CADASTROS!$G$806</f>
        <v>poup</v>
      </c>
      <c r="I949" s="16" t="str">
        <f>CADASTROS!$H$806</f>
        <v>0000658-0</v>
      </c>
      <c r="J949" s="18">
        <f t="shared" si="33"/>
        <v>0</v>
      </c>
    </row>
    <row r="950" spans="1:10" ht="15.75" x14ac:dyDescent="0.25">
      <c r="A950" s="24">
        <f>CADASTROS!$B$807</f>
        <v>805</v>
      </c>
      <c r="B950" s="15" t="str">
        <f>CADASTROS!$C$807</f>
        <v>Claudinei Fidelis da Anunciação</v>
      </c>
      <c r="C950" s="25"/>
      <c r="D950" s="35">
        <f>PLANILHA_COLHEITA_DIÁRIA!$I$1314</f>
        <v>0</v>
      </c>
      <c r="E950" s="17">
        <v>6</v>
      </c>
      <c r="F950" s="26" t="str">
        <f>CADASTROS!$E$807</f>
        <v>Cx. Econômica</v>
      </c>
      <c r="G950" s="24">
        <f>CADASTROS!$F$807</f>
        <v>4825</v>
      </c>
      <c r="H950" s="26">
        <f>CADASTROS!$G$807</f>
        <v>13</v>
      </c>
      <c r="I950" s="16" t="str">
        <f>CADASTROS!$H$807</f>
        <v>00012681-9</v>
      </c>
      <c r="J950" s="18">
        <f t="shared" si="33"/>
        <v>0</v>
      </c>
    </row>
    <row r="951" spans="1:10" ht="15.75" x14ac:dyDescent="0.25">
      <c r="A951" s="24">
        <f>CADASTROS!$B$808</f>
        <v>806</v>
      </c>
      <c r="B951" s="15" t="str">
        <f>CADASTROS!$C$808</f>
        <v>Laise Ferreira Bispo</v>
      </c>
      <c r="C951" s="25"/>
      <c r="D951" s="35">
        <f>PLANILHA_COLHEITA_DIÁRIA!$I$1315</f>
        <v>0</v>
      </c>
      <c r="E951" s="17">
        <v>6</v>
      </c>
      <c r="F951" s="26" t="str">
        <f>CADASTROS!$E$808</f>
        <v>Cx. Econômica</v>
      </c>
      <c r="G951" s="24">
        <f>CADASTROS!$F$808</f>
        <v>4825</v>
      </c>
      <c r="H951" s="26">
        <f>CADASTROS!$G$808</f>
        <v>1288</v>
      </c>
      <c r="I951" s="16" t="str">
        <f>CADASTROS!$H$808</f>
        <v>000854853044-6</v>
      </c>
      <c r="J951" s="18">
        <f t="shared" si="33"/>
        <v>0</v>
      </c>
    </row>
    <row r="952" spans="1:10" ht="15.75" x14ac:dyDescent="0.25">
      <c r="A952" s="24">
        <f>CADASTROS!$B$809</f>
        <v>807</v>
      </c>
      <c r="B952" s="15" t="str">
        <f>CADASTROS!$C$809</f>
        <v>Doralina Barbosa de Souza</v>
      </c>
      <c r="C952" s="25"/>
      <c r="D952" s="42">
        <f>PLANILHA_COLHEITA_DIÁRIA!$I$1316</f>
        <v>0</v>
      </c>
      <c r="E952" s="17">
        <v>6</v>
      </c>
      <c r="F952" s="26" t="str">
        <f>CADASTROS!$E$809</f>
        <v>Cx. Econômica</v>
      </c>
      <c r="G952" s="24">
        <f>CADASTROS!$F$809</f>
        <v>780</v>
      </c>
      <c r="H952" s="26">
        <f>CADASTROS!$G$809</f>
        <v>23</v>
      </c>
      <c r="I952" s="16" t="str">
        <f>CADASTROS!$H$809</f>
        <v>00015275-8</v>
      </c>
      <c r="J952" s="18">
        <f t="shared" si="33"/>
        <v>0</v>
      </c>
    </row>
    <row r="953" spans="1:10" ht="15.75" x14ac:dyDescent="0.25">
      <c r="A953" s="24">
        <f>CADASTROS!$B$810</f>
        <v>808</v>
      </c>
      <c r="B953" s="15" t="str">
        <f>CADASTROS!$C$810</f>
        <v>Jocirlei Barros de Brito</v>
      </c>
      <c r="C953" s="25"/>
      <c r="D953" s="42">
        <f>PLANILHA_COLHEITA_DIÁRIA!$I$1317</f>
        <v>0</v>
      </c>
      <c r="E953" s="17">
        <v>6</v>
      </c>
      <c r="F953" s="26" t="str">
        <f>CADASTROS!$E$810</f>
        <v>Cx. Econômica</v>
      </c>
      <c r="G953" s="24">
        <f>CADASTROS!$F$810</f>
        <v>4825</v>
      </c>
      <c r="H953" s="26">
        <f>CADASTROS!$G$810</f>
        <v>13</v>
      </c>
      <c r="I953" s="16" t="str">
        <f>CADASTROS!$H$810</f>
        <v>00010922-1</v>
      </c>
      <c r="J953" s="18">
        <f t="shared" si="33"/>
        <v>0</v>
      </c>
    </row>
    <row r="954" spans="1:10" ht="15.75" x14ac:dyDescent="0.25">
      <c r="A954" s="24">
        <f>CADASTROS!$B$811</f>
        <v>809</v>
      </c>
      <c r="B954" s="15" t="str">
        <f>CADASTROS!$C$811</f>
        <v>Vagna Batista de Oliveira</v>
      </c>
      <c r="C954" s="25"/>
      <c r="D954" s="42">
        <f>PLANILHA_COLHEITA_DIÁRIA!$I$1318</f>
        <v>0</v>
      </c>
      <c r="E954" s="17">
        <v>6</v>
      </c>
      <c r="F954" s="26" t="str">
        <f>CADASTROS!$E$811</f>
        <v>Bradesco</v>
      </c>
      <c r="G954" s="24" t="str">
        <f>CADASTROS!$F$811</f>
        <v>3801-6</v>
      </c>
      <c r="H954" s="26" t="str">
        <f>CADASTROS!$G$811</f>
        <v>poup</v>
      </c>
      <c r="I954" s="16" t="str">
        <f>CADASTROS!$H$811</f>
        <v>1000105-6</v>
      </c>
      <c r="J954" s="18">
        <f t="shared" si="33"/>
        <v>0</v>
      </c>
    </row>
    <row r="955" spans="1:10" ht="15.75" x14ac:dyDescent="0.25">
      <c r="B955" s="220"/>
      <c r="C955" s="220"/>
      <c r="D955" s="12">
        <f>SUM(D910:D954)</f>
        <v>0</v>
      </c>
      <c r="E955" s="17"/>
      <c r="F955" s="225"/>
      <c r="G955" s="226"/>
      <c r="H955" s="226"/>
      <c r="I955" s="227"/>
      <c r="J955" s="14">
        <f>SUM(J910:J954)</f>
        <v>0</v>
      </c>
    </row>
    <row r="959" spans="1:10" ht="15.75" x14ac:dyDescent="0.25">
      <c r="A959" s="213" t="s">
        <v>4816</v>
      </c>
      <c r="B959" s="213"/>
      <c r="C959" s="213"/>
      <c r="D959" s="213"/>
      <c r="E959" s="213"/>
      <c r="F959" s="213"/>
      <c r="G959" s="213"/>
      <c r="H959" s="213"/>
      <c r="I959" s="213"/>
      <c r="J959" s="213"/>
    </row>
    <row r="960" spans="1:10" ht="16.5" thickBot="1" x14ac:dyDescent="0.3">
      <c r="A960" s="214" t="s">
        <v>4843</v>
      </c>
      <c r="B960" s="214"/>
      <c r="C960" s="214"/>
      <c r="D960" s="214"/>
      <c r="E960" s="214"/>
      <c r="F960" s="214"/>
      <c r="G960" s="214"/>
      <c r="H960" s="214"/>
      <c r="I960" s="214"/>
      <c r="J960" s="214"/>
    </row>
    <row r="961" spans="1:10" ht="17.25" thickTop="1" thickBot="1" x14ac:dyDescent="0.3">
      <c r="A961" s="215" t="s">
        <v>4844</v>
      </c>
      <c r="B961" s="215"/>
      <c r="C961" s="215"/>
      <c r="D961" s="215"/>
      <c r="E961" s="215"/>
      <c r="F961" s="215"/>
      <c r="G961" s="215"/>
      <c r="H961" s="215"/>
      <c r="I961" s="215"/>
      <c r="J961" s="215"/>
    </row>
    <row r="962" spans="1:10" ht="18.600000000000001" customHeight="1" x14ac:dyDescent="0.25">
      <c r="A962" s="19" t="s">
        <v>4846</v>
      </c>
      <c r="B962" s="216" t="s">
        <v>1</v>
      </c>
      <c r="C962" s="221" t="s">
        <v>2</v>
      </c>
      <c r="D962" s="223" t="s">
        <v>4847</v>
      </c>
      <c r="E962" s="20" t="s">
        <v>4848</v>
      </c>
      <c r="F962" s="216" t="s">
        <v>3</v>
      </c>
      <c r="G962" s="216" t="s">
        <v>4</v>
      </c>
      <c r="H962" s="216" t="s">
        <v>5</v>
      </c>
      <c r="I962" s="216" t="s">
        <v>6</v>
      </c>
      <c r="J962" s="218" t="s">
        <v>4849</v>
      </c>
    </row>
    <row r="963" spans="1:10" ht="20.100000000000001" customHeight="1" thickBot="1" x14ac:dyDescent="0.3">
      <c r="A963" s="21" t="s">
        <v>4850</v>
      </c>
      <c r="B963" s="217"/>
      <c r="C963" s="222"/>
      <c r="D963" s="224"/>
      <c r="E963" s="161" t="s">
        <v>4851</v>
      </c>
      <c r="F963" s="217"/>
      <c r="G963" s="217"/>
      <c r="H963" s="217"/>
      <c r="I963" s="217"/>
      <c r="J963" s="219"/>
    </row>
    <row r="964" spans="1:10" ht="15.75" x14ac:dyDescent="0.25">
      <c r="A964" s="24">
        <f>CADASTROS!$B$812</f>
        <v>810</v>
      </c>
      <c r="B964" s="15" t="str">
        <f>CADASTROS!$C$812</f>
        <v>Carlion de Jesus Santos</v>
      </c>
      <c r="C964" s="25"/>
      <c r="D964" s="52">
        <f>PLANILHA_COLHEITA_DIÁRIA!$I$1262</f>
        <v>24</v>
      </c>
      <c r="E964" s="17">
        <v>6</v>
      </c>
      <c r="F964" s="26" t="str">
        <f>CADASTROS!$E$812</f>
        <v>Cx. Econômica</v>
      </c>
      <c r="G964" s="24">
        <f>CADASTROS!$F$812</f>
        <v>359</v>
      </c>
      <c r="H964" s="26">
        <f>CADASTROS!$G$812</f>
        <v>13</v>
      </c>
      <c r="I964" s="16" t="str">
        <f>CADASTROS!$H$812</f>
        <v>00018763-6</v>
      </c>
      <c r="J964" s="18">
        <f t="shared" ref="J964:J973" si="34">D964*E964</f>
        <v>144</v>
      </c>
    </row>
    <row r="965" spans="1:10" ht="15.75" x14ac:dyDescent="0.25">
      <c r="A965" s="24">
        <f>CADASTROS!$B$813</f>
        <v>811</v>
      </c>
      <c r="B965" s="15" t="str">
        <f>CADASTROS!$C$813</f>
        <v>Josevaldo da Silva Souza</v>
      </c>
      <c r="C965" s="25"/>
      <c r="D965" s="35">
        <f>PLANILHA_COLHEITA_DIÁRIA!$I$1263</f>
        <v>0</v>
      </c>
      <c r="E965" s="17">
        <v>6</v>
      </c>
      <c r="F965" s="26" t="str">
        <f>CADASTROS!$E$813</f>
        <v>Cx. Econômica</v>
      </c>
      <c r="G965" s="24">
        <f>CADASTROS!$F$813</f>
        <v>4818</v>
      </c>
      <c r="H965" s="26">
        <f>CADASTROS!$G$813</f>
        <v>0</v>
      </c>
      <c r="I965" s="16" t="str">
        <f>CADASTROS!$H$813</f>
        <v>000803737669-7</v>
      </c>
      <c r="J965" s="18">
        <f t="shared" si="34"/>
        <v>0</v>
      </c>
    </row>
    <row r="966" spans="1:10" ht="15.75" x14ac:dyDescent="0.25">
      <c r="A966" s="24">
        <f>CADASTROS!$B$814</f>
        <v>812</v>
      </c>
      <c r="B966" s="15" t="str">
        <f>CADASTROS!$C$814</f>
        <v>Dinaize de Jesus Silva</v>
      </c>
      <c r="C966" s="25"/>
      <c r="D966" s="35">
        <f>PLANILHA_COLHEITA_DIÁRIA!$I$1264</f>
        <v>0</v>
      </c>
      <c r="E966" s="17">
        <v>6</v>
      </c>
      <c r="F966" s="26" t="str">
        <f>CADASTROS!$E$814</f>
        <v>Cx. Econômica</v>
      </c>
      <c r="G966" s="24">
        <f>CADASTROS!$F$814</f>
        <v>4825</v>
      </c>
      <c r="H966" s="26">
        <f>CADASTROS!$G$814</f>
        <v>13</v>
      </c>
      <c r="I966" s="16" t="str">
        <f>CADASTROS!$H$814</f>
        <v>00018423-1</v>
      </c>
      <c r="J966" s="18">
        <f t="shared" si="34"/>
        <v>0</v>
      </c>
    </row>
    <row r="967" spans="1:10" ht="15.75" x14ac:dyDescent="0.25">
      <c r="A967" s="24">
        <f>CADASTROS!$B$815</f>
        <v>813</v>
      </c>
      <c r="B967" s="15" t="str">
        <f>CADASTROS!$C$815</f>
        <v>Marina Amaral dos Santos</v>
      </c>
      <c r="C967" s="25"/>
      <c r="D967" s="35">
        <f>PLANILHA_COLHEITA_DIÁRIA!$I$1265</f>
        <v>0</v>
      </c>
      <c r="E967" s="17">
        <v>6</v>
      </c>
      <c r="F967" s="26" t="str">
        <f>CADASTROS!$E$815</f>
        <v>Cx. Econômica</v>
      </c>
      <c r="G967" s="24">
        <f>CADASTROS!$F$815</f>
        <v>4825</v>
      </c>
      <c r="H967" s="26">
        <f>CADASTROS!$G$815</f>
        <v>0</v>
      </c>
      <c r="I967" s="16" t="str">
        <f>CADASTROS!$H$815</f>
        <v>000854053154-0</v>
      </c>
      <c r="J967" s="18">
        <f t="shared" si="34"/>
        <v>0</v>
      </c>
    </row>
    <row r="968" spans="1:10" ht="15.75" x14ac:dyDescent="0.25">
      <c r="A968" s="24">
        <f>CADASTROS!$B$816</f>
        <v>814</v>
      </c>
      <c r="B968" s="15" t="str">
        <f>CADASTROS!$C$816</f>
        <v>Fabiane de Jesus Sampaio</v>
      </c>
      <c r="C968" s="25"/>
      <c r="D968" s="35">
        <f>PLANILHA_COLHEITA_DIÁRIA!$I$1266</f>
        <v>0</v>
      </c>
      <c r="E968" s="17">
        <v>6</v>
      </c>
      <c r="F968" s="26" t="str">
        <f>CADASTROS!$E$816</f>
        <v>Cx. Econômica</v>
      </c>
      <c r="G968" s="24">
        <f>CADASTROS!$F$816</f>
        <v>4825</v>
      </c>
      <c r="H968" s="26">
        <f>CADASTROS!$G$816</f>
        <v>13</v>
      </c>
      <c r="I968" s="16" t="str">
        <f>CADASTROS!$H$816</f>
        <v>00011623-6</v>
      </c>
      <c r="J968" s="18">
        <f t="shared" si="34"/>
        <v>0</v>
      </c>
    </row>
    <row r="969" spans="1:10" ht="15.75" x14ac:dyDescent="0.25">
      <c r="A969" s="24">
        <f>CADASTROS!$B$817</f>
        <v>815</v>
      </c>
      <c r="B969" s="15" t="str">
        <f>CADASTROS!$C$817</f>
        <v>Ivanise Reis Pinto</v>
      </c>
      <c r="C969" s="25"/>
      <c r="D969" s="52">
        <f>PLANILHA_COLHEITA_DIÁRIA!$I$1267</f>
        <v>0</v>
      </c>
      <c r="E969" s="17">
        <v>6</v>
      </c>
      <c r="F969" s="26" t="str">
        <f>CADASTROS!$E$817</f>
        <v>Cx. Econômica</v>
      </c>
      <c r="G969" s="24">
        <f>CADASTROS!$F$817</f>
        <v>4825</v>
      </c>
      <c r="H969" s="26">
        <f>CADASTROS!$G$817</f>
        <v>13</v>
      </c>
      <c r="I969" s="16" t="str">
        <f>CADASTROS!$H$817</f>
        <v>00006860-6</v>
      </c>
      <c r="J969" s="18">
        <f t="shared" si="34"/>
        <v>0</v>
      </c>
    </row>
    <row r="970" spans="1:10" ht="15.75" x14ac:dyDescent="0.25">
      <c r="A970" s="24">
        <f>CADASTROS!$B$818</f>
        <v>816</v>
      </c>
      <c r="B970" s="15" t="str">
        <f>CADASTROS!$C$818</f>
        <v>Odailton de Jesus Bispo</v>
      </c>
      <c r="C970" s="25"/>
      <c r="D970" s="35">
        <f>PLANILHA_COLHEITA_DIÁRIA!$I$1268</f>
        <v>0</v>
      </c>
      <c r="E970" s="17">
        <v>6</v>
      </c>
      <c r="F970" s="26" t="str">
        <f>CADASTROS!$E$818</f>
        <v>Cx. Econômica</v>
      </c>
      <c r="G970" s="24">
        <f>CADASTROS!$F$818</f>
        <v>4825</v>
      </c>
      <c r="H970" s="26">
        <f>CADASTROS!$G$818</f>
        <v>13</v>
      </c>
      <c r="I970" s="16" t="str">
        <f>CADASTROS!$H$818</f>
        <v>00004997-0</v>
      </c>
      <c r="J970" s="18">
        <f t="shared" si="34"/>
        <v>0</v>
      </c>
    </row>
    <row r="971" spans="1:10" ht="15.75" x14ac:dyDescent="0.25">
      <c r="A971" s="24">
        <f>CADASTROS!$B$819</f>
        <v>817</v>
      </c>
      <c r="B971" s="15" t="str">
        <f>CADASTROS!$C$819</f>
        <v>Maria da Silva Dourado</v>
      </c>
      <c r="C971" s="25"/>
      <c r="D971" s="35">
        <f>PLANILHA_COLHEITA_DIÁRIA!$I$1269</f>
        <v>0</v>
      </c>
      <c r="E971" s="17">
        <v>6</v>
      </c>
      <c r="F971" s="26" t="str">
        <f>CADASTROS!$E$819</f>
        <v>Cx. Econômica</v>
      </c>
      <c r="G971" s="24">
        <f>CADASTROS!$F$819</f>
        <v>4825</v>
      </c>
      <c r="H971" s="26">
        <f>CADASTROS!$G$819</f>
        <v>13</v>
      </c>
      <c r="I971" s="16" t="str">
        <f>CADASTROS!$H$819</f>
        <v>00008540-3</v>
      </c>
      <c r="J971" s="18">
        <f t="shared" si="34"/>
        <v>0</v>
      </c>
    </row>
    <row r="972" spans="1:10" ht="15.75" x14ac:dyDescent="0.25">
      <c r="A972" s="24">
        <f>CADASTROS!$B$820</f>
        <v>818</v>
      </c>
      <c r="B972" s="15" t="str">
        <f>CADASTROS!$C$820</f>
        <v>Maria Borges dos Santos</v>
      </c>
      <c r="C972" s="25"/>
      <c r="D972" s="35">
        <f>PLANILHA_COLHEITA_DIÁRIA!$I$1270</f>
        <v>0</v>
      </c>
      <c r="E972" s="17">
        <v>6</v>
      </c>
      <c r="F972" s="26" t="str">
        <f>CADASTROS!$E$820</f>
        <v>Cx. Econômica</v>
      </c>
      <c r="G972" s="24">
        <f>CADASTROS!$F$820</f>
        <v>1053</v>
      </c>
      <c r="H972" s="26">
        <f>CADASTROS!$G$820</f>
        <v>13</v>
      </c>
      <c r="I972" s="16" t="str">
        <f>CADASTROS!$H$820</f>
        <v>00059012-0</v>
      </c>
      <c r="J972" s="18">
        <f t="shared" si="34"/>
        <v>0</v>
      </c>
    </row>
    <row r="973" spans="1:10" ht="15.75" x14ac:dyDescent="0.25">
      <c r="A973" s="24">
        <f>CADASTROS!$B$821</f>
        <v>819</v>
      </c>
      <c r="B973" s="15" t="str">
        <f>CADASTROS!$C$821</f>
        <v>Rozemália Souza da Silva</v>
      </c>
      <c r="C973" s="25"/>
      <c r="D973" s="35">
        <f>PLANILHA_COLHEITA_DIÁRIA!$I$1271</f>
        <v>0</v>
      </c>
      <c r="E973" s="17">
        <v>6</v>
      </c>
      <c r="F973" s="26" t="str">
        <f>CADASTROS!$E$821</f>
        <v>Cx. Econômica</v>
      </c>
      <c r="G973" s="24">
        <f>CADASTROS!$F$821</f>
        <v>4825</v>
      </c>
      <c r="H973" s="26">
        <f>CADASTROS!$G$821</f>
        <v>0</v>
      </c>
      <c r="I973" s="16" t="str">
        <f>CADASTROS!$H$821</f>
        <v>000871262341-3</v>
      </c>
      <c r="J973" s="18">
        <f t="shared" si="34"/>
        <v>0</v>
      </c>
    </row>
    <row r="974" spans="1:10" ht="15.75" x14ac:dyDescent="0.25">
      <c r="A974" s="24">
        <f>CADASTROS!$B$822</f>
        <v>820</v>
      </c>
      <c r="B974" s="15" t="str">
        <f>CADASTROS!$C$822</f>
        <v>Antônio Marques da Costa</v>
      </c>
      <c r="C974" s="25"/>
      <c r="D974" s="35">
        <f>PLANILHA_COLHEITA_DIÁRIA!$I$1272</f>
        <v>0</v>
      </c>
      <c r="E974" s="17">
        <v>6</v>
      </c>
      <c r="F974" s="26" t="str">
        <f>CADASTROS!$E$822</f>
        <v>Cx. Econômica</v>
      </c>
      <c r="G974" s="24">
        <f>CADASTROS!$F$822</f>
        <v>4825</v>
      </c>
      <c r="H974" s="26">
        <f>CADASTROS!$G$822</f>
        <v>13</v>
      </c>
      <c r="I974" s="16" t="str">
        <f>CADASTROS!$H$822</f>
        <v>00008640-0</v>
      </c>
      <c r="J974" s="18">
        <f>D974*E974</f>
        <v>0</v>
      </c>
    </row>
    <row r="975" spans="1:10" ht="15.75" x14ac:dyDescent="0.25">
      <c r="A975" s="24">
        <f>CADASTROS!$B$823</f>
        <v>821</v>
      </c>
      <c r="B975" s="15" t="str">
        <f>CADASTROS!$C$823</f>
        <v>Eliene Josefa Oliveira</v>
      </c>
      <c r="C975" s="25"/>
      <c r="D975" s="35">
        <f>PLANILHA_COLHEITA_DIÁRIA!$I$1273</f>
        <v>0</v>
      </c>
      <c r="E975" s="17">
        <v>6</v>
      </c>
      <c r="F975" s="26" t="str">
        <f>CADASTROS!$E$823</f>
        <v>Cx. Econômica</v>
      </c>
      <c r="G975" s="24">
        <f>CADASTROS!$F$823</f>
        <v>4096</v>
      </c>
      <c r="H975" s="26">
        <f>CADASTROS!$G$823</f>
        <v>13</v>
      </c>
      <c r="I975" s="16" t="str">
        <f>CADASTROS!$H$823</f>
        <v>00014691-5</v>
      </c>
      <c r="J975" s="18">
        <f t="shared" ref="J975" si="35">D975*E975</f>
        <v>0</v>
      </c>
    </row>
    <row r="976" spans="1:10" ht="15.75" x14ac:dyDescent="0.25">
      <c r="A976" s="24">
        <f>CADASTROS!$B$824</f>
        <v>822</v>
      </c>
      <c r="B976" s="15" t="str">
        <f>CADASTROS!$C$824</f>
        <v>Marcio Oliveira de Jesus</v>
      </c>
      <c r="C976" s="25"/>
      <c r="D976" s="35">
        <f>PLANILHA_COLHEITA_DIÁRIA!$I$1274</f>
        <v>0</v>
      </c>
      <c r="E976" s="17">
        <v>6</v>
      </c>
      <c r="F976" s="26" t="str">
        <f>CADASTROS!$E$824</f>
        <v>Cx. Econômica</v>
      </c>
      <c r="G976" s="24">
        <f>CADASTROS!$F$824</f>
        <v>4535</v>
      </c>
      <c r="H976" s="26">
        <f>CADASTROS!$G$824</f>
        <v>13</v>
      </c>
      <c r="I976" s="16" t="str">
        <f>CADASTROS!$H$824</f>
        <v>00005905-8</v>
      </c>
      <c r="J976" s="18">
        <f>D976*E976</f>
        <v>0</v>
      </c>
    </row>
    <row r="977" spans="1:10" ht="15.75" x14ac:dyDescent="0.25">
      <c r="A977" s="24">
        <f>CADASTROS!$B$825</f>
        <v>823</v>
      </c>
      <c r="B977" s="15" t="str">
        <f>CADASTROS!$C$825</f>
        <v>Eliete Cesar dos Santos</v>
      </c>
      <c r="C977" s="25"/>
      <c r="D977" s="35">
        <f>PLANILHA_COLHEITA_DIÁRIA!$I$1275</f>
        <v>0</v>
      </c>
      <c r="E977" s="17">
        <v>6</v>
      </c>
      <c r="F977" s="26" t="str">
        <f>CADASTROS!$E$825</f>
        <v>Cx. Econômica</v>
      </c>
      <c r="G977" s="24">
        <f>CADASTROS!$F$825</f>
        <v>949</v>
      </c>
      <c r="H977" s="26">
        <f>CADASTROS!$G$825</f>
        <v>23</v>
      </c>
      <c r="I977" s="16" t="str">
        <f>CADASTROS!$H$825</f>
        <v>00023292-0</v>
      </c>
      <c r="J977" s="18">
        <f t="shared" ref="J977:J1008" si="36">D977*E977</f>
        <v>0</v>
      </c>
    </row>
    <row r="978" spans="1:10" ht="15.75" x14ac:dyDescent="0.25">
      <c r="A978" s="24">
        <f>CADASTROS!$B$826</f>
        <v>824</v>
      </c>
      <c r="B978" s="15" t="str">
        <f>CADASTROS!$C$826</f>
        <v>Elizabeth Nogueira Silva</v>
      </c>
      <c r="C978" s="25"/>
      <c r="D978" s="35">
        <f>PLANILHA_COLHEITA_DIÁRIA!$I$1276</f>
        <v>0</v>
      </c>
      <c r="E978" s="17">
        <v>6</v>
      </c>
      <c r="F978" s="26" t="str">
        <f>CADASTROS!$E$826</f>
        <v>Cx. Econômica</v>
      </c>
      <c r="G978" s="24">
        <f>CADASTROS!$F$826</f>
        <v>1053</v>
      </c>
      <c r="H978" s="26">
        <f>CADASTROS!$G$826</f>
        <v>23</v>
      </c>
      <c r="I978" s="16" t="str">
        <f>CADASTROS!$H$826</f>
        <v>00033884-3</v>
      </c>
      <c r="J978" s="18">
        <f t="shared" si="36"/>
        <v>0</v>
      </c>
    </row>
    <row r="979" spans="1:10" ht="15.75" x14ac:dyDescent="0.25">
      <c r="A979" s="24">
        <f>CADASTROS!$B$827</f>
        <v>825</v>
      </c>
      <c r="B979" s="15" t="str">
        <f>CADASTROS!$C$827</f>
        <v>Vitória Santana dos Reis</v>
      </c>
      <c r="C979" s="25"/>
      <c r="D979" s="35">
        <f>PLANILHA_COLHEITA_DIÁRIA!$I$1277</f>
        <v>0</v>
      </c>
      <c r="E979" s="17">
        <v>6</v>
      </c>
      <c r="F979" s="26" t="str">
        <f>CADASTROS!$E$827</f>
        <v>Cx. Econômica</v>
      </c>
      <c r="G979" s="24">
        <f>CADASTROS!$F$827</f>
        <v>3880</v>
      </c>
      <c r="H979" s="26">
        <f>CADASTROS!$G$827</f>
        <v>1288</v>
      </c>
      <c r="I979" s="16" t="str">
        <f>CADASTROS!$H$827</f>
        <v>793720389-8</v>
      </c>
      <c r="J979" s="18">
        <f t="shared" si="36"/>
        <v>0</v>
      </c>
    </row>
    <row r="980" spans="1:10" ht="15.75" x14ac:dyDescent="0.25">
      <c r="A980" s="24">
        <f>CADASTROS!$B$828</f>
        <v>826</v>
      </c>
      <c r="B980" s="15" t="str">
        <f>CADASTROS!$C$828</f>
        <v>Jeane Ferreira Bispo</v>
      </c>
      <c r="C980" s="25"/>
      <c r="D980" s="35">
        <f>PLANILHA_COLHEITA_DIÁRIA!$I$1278</f>
        <v>0</v>
      </c>
      <c r="E980" s="17">
        <v>6</v>
      </c>
      <c r="F980" s="26" t="str">
        <f>CADASTROS!$E$828</f>
        <v>Cx. Econômica</v>
      </c>
      <c r="G980" s="24">
        <f>CADASTROS!$F$828</f>
        <v>1602</v>
      </c>
      <c r="H980" s="26">
        <f>CADASTROS!$G$828</f>
        <v>13</v>
      </c>
      <c r="I980" s="16" t="str">
        <f>CADASTROS!$H$828</f>
        <v>00012574-9</v>
      </c>
      <c r="J980" s="18">
        <f t="shared" si="36"/>
        <v>0</v>
      </c>
    </row>
    <row r="981" spans="1:10" ht="15.75" x14ac:dyDescent="0.25">
      <c r="A981" s="24">
        <f>CADASTROS!$B$829</f>
        <v>827</v>
      </c>
      <c r="B981" s="15" t="str">
        <f>CADASTROS!$C$829</f>
        <v>Saraí Barbosa da Silva</v>
      </c>
      <c r="C981" s="25"/>
      <c r="D981" s="35">
        <f>PLANILHA_COLHEITA_DIÁRIA!$I$1279</f>
        <v>0</v>
      </c>
      <c r="E981" s="17">
        <v>6</v>
      </c>
      <c r="F981" s="26" t="str">
        <f>CADASTROS!$E$829</f>
        <v>Cx. Econômica</v>
      </c>
      <c r="G981" s="24">
        <f>CADASTROS!$F$829</f>
        <v>4825</v>
      </c>
      <c r="H981" s="26">
        <f>CADASTROS!$G$829</f>
        <v>13</v>
      </c>
      <c r="I981" s="16" t="str">
        <f>CADASTROS!$H$829</f>
        <v>00009641-3</v>
      </c>
      <c r="J981" s="18">
        <f t="shared" si="36"/>
        <v>0</v>
      </c>
    </row>
    <row r="982" spans="1:10" ht="15.75" x14ac:dyDescent="0.25">
      <c r="A982" s="24">
        <f>CADASTROS!$B$830</f>
        <v>828</v>
      </c>
      <c r="B982" s="15" t="str">
        <f>CADASTROS!$C$830</f>
        <v>Edinália Nascimento de Araújo</v>
      </c>
      <c r="C982" s="25"/>
      <c r="D982" s="35">
        <f>PLANILHA_COLHEITA_DIÁRIA!$I$1335</f>
        <v>0</v>
      </c>
      <c r="E982" s="17">
        <v>6</v>
      </c>
      <c r="F982" s="26" t="str">
        <f>CADASTROS!$E$830</f>
        <v>Cx. Econômica</v>
      </c>
      <c r="G982" s="24">
        <f>CADASTROS!$F$830</f>
        <v>780</v>
      </c>
      <c r="H982" s="26">
        <f>CADASTROS!$G$830</f>
        <v>23</v>
      </c>
      <c r="I982" s="16" t="str">
        <f>CADASTROS!$H$830</f>
        <v>00019566-0</v>
      </c>
      <c r="J982" s="18">
        <f t="shared" si="36"/>
        <v>0</v>
      </c>
    </row>
    <row r="983" spans="1:10" ht="15.75" x14ac:dyDescent="0.25">
      <c r="A983" s="24">
        <f>CADASTROS!$B$831</f>
        <v>829</v>
      </c>
      <c r="B983" s="15" t="str">
        <f>CADASTROS!$C$831</f>
        <v>Edileuza Sena Pindobeiro</v>
      </c>
      <c r="C983" s="25"/>
      <c r="D983" s="35">
        <f>PLANILHA_COLHEITA_DIÁRIA!$I$1336</f>
        <v>0</v>
      </c>
      <c r="E983" s="17">
        <v>6</v>
      </c>
      <c r="F983" s="26" t="str">
        <f>CADASTROS!$E$831</f>
        <v>Cx. Econômica</v>
      </c>
      <c r="G983" s="24">
        <f>CADASTROS!$F$831</f>
        <v>4825</v>
      </c>
      <c r="H983" s="26">
        <f>CADASTROS!$G$831</f>
        <v>13</v>
      </c>
      <c r="I983" s="16" t="str">
        <f>CADASTROS!$H$831</f>
        <v>00015121-0</v>
      </c>
      <c r="J983" s="18">
        <f t="shared" si="36"/>
        <v>0</v>
      </c>
    </row>
    <row r="984" spans="1:10" ht="15.75" x14ac:dyDescent="0.25">
      <c r="A984" s="24">
        <f>CADASTROS!$B$832</f>
        <v>830</v>
      </c>
      <c r="B984" s="15" t="str">
        <f>CADASTROS!$C$832</f>
        <v>Marinalva de Jesus</v>
      </c>
      <c r="C984" s="25"/>
      <c r="D984" s="52">
        <f>PLANILHA_COLHEITA_DIÁRIA!$I$1337</f>
        <v>0</v>
      </c>
      <c r="E984" s="17">
        <v>6</v>
      </c>
      <c r="F984" s="26" t="str">
        <f>CADASTROS!$E$832</f>
        <v>Cx. Econômica</v>
      </c>
      <c r="G984" s="24">
        <f>CADASTROS!$F$832</f>
        <v>949</v>
      </c>
      <c r="H984" s="26">
        <f>CADASTROS!$G$832</f>
        <v>23</v>
      </c>
      <c r="I984" s="16" t="str">
        <f>CADASTROS!$H$832</f>
        <v>837153685-0</v>
      </c>
      <c r="J984" s="18">
        <f t="shared" si="36"/>
        <v>0</v>
      </c>
    </row>
    <row r="985" spans="1:10" ht="15.75" x14ac:dyDescent="0.25">
      <c r="A985" s="24">
        <f>CADASTROS!$B$833</f>
        <v>831</v>
      </c>
      <c r="B985" s="15" t="str">
        <f>CADASTROS!$C$833</f>
        <v>Renato Haine Campos</v>
      </c>
      <c r="C985" s="25"/>
      <c r="D985" s="35">
        <f>PLANILHA_COLHEITA_DIÁRIA!$I$1338</f>
        <v>0</v>
      </c>
      <c r="E985" s="17">
        <v>6</v>
      </c>
      <c r="F985" s="26" t="str">
        <f>CADASTROS!$E$833</f>
        <v>Cx. Econômica</v>
      </c>
      <c r="G985" s="24">
        <f>CADASTROS!$F$833</f>
        <v>4818</v>
      </c>
      <c r="H985" s="26">
        <f>CADASTROS!$G$833</f>
        <v>13</v>
      </c>
      <c r="I985" s="16" t="str">
        <f>CADASTROS!$H$833</f>
        <v>00007938-3</v>
      </c>
      <c r="J985" s="18">
        <f t="shared" si="36"/>
        <v>0</v>
      </c>
    </row>
    <row r="986" spans="1:10" ht="15.75" x14ac:dyDescent="0.25">
      <c r="A986" s="24">
        <f>CADASTROS!$B$834</f>
        <v>832</v>
      </c>
      <c r="B986" s="15" t="str">
        <f>CADASTROS!$C$834</f>
        <v>Jardinilza Gonçalves da Silva</v>
      </c>
      <c r="C986" s="25"/>
      <c r="D986" s="35">
        <f>PLANILHA_COLHEITA_DIÁRIA!$I$1339</f>
        <v>0</v>
      </c>
      <c r="E986" s="17">
        <v>6</v>
      </c>
      <c r="F986" s="26" t="str">
        <f>CADASTROS!$E$834</f>
        <v>Cx. Econômica</v>
      </c>
      <c r="G986" s="24">
        <f>CADASTROS!$F$834</f>
        <v>4825</v>
      </c>
      <c r="H986" s="26">
        <f>CADASTROS!$G$834</f>
        <v>13</v>
      </c>
      <c r="I986" s="16" t="str">
        <f>CADASTROS!$H$834</f>
        <v>00004739-0</v>
      </c>
      <c r="J986" s="18">
        <f t="shared" si="36"/>
        <v>0</v>
      </c>
    </row>
    <row r="987" spans="1:10" ht="15.75" x14ac:dyDescent="0.25">
      <c r="A987" s="24">
        <f>CADASTROS!$B$835</f>
        <v>833</v>
      </c>
      <c r="B987" s="15" t="str">
        <f>CADASTROS!$C$835</f>
        <v>Cristiane da Silva Santiago</v>
      </c>
      <c r="C987" s="25"/>
      <c r="D987" s="35">
        <f>PLANILHA_COLHEITA_DIÁRIA!$I$1340</f>
        <v>0</v>
      </c>
      <c r="E987" s="17">
        <v>6</v>
      </c>
      <c r="F987" s="26" t="str">
        <f>CADASTROS!$E$835</f>
        <v>Cx. Econômica</v>
      </c>
      <c r="G987" s="24">
        <f>CADASTROS!$F$835</f>
        <v>611</v>
      </c>
      <c r="H987" s="26">
        <f>CADASTROS!$G$835</f>
        <v>23</v>
      </c>
      <c r="I987" s="16" t="str">
        <f>CADASTROS!$H$835</f>
        <v>00006092-6</v>
      </c>
      <c r="J987" s="18">
        <f t="shared" si="36"/>
        <v>0</v>
      </c>
    </row>
    <row r="988" spans="1:10" ht="15.75" x14ac:dyDescent="0.25">
      <c r="A988" s="24">
        <f>CADASTROS!$B$836</f>
        <v>834</v>
      </c>
      <c r="B988" s="15" t="str">
        <f>CADASTROS!$C$836</f>
        <v>Adailto Almeida de Souza</v>
      </c>
      <c r="C988" s="25"/>
      <c r="D988" s="35">
        <f>PLANILHA_COLHEITA_DIÁRIA!$I$1341</f>
        <v>39</v>
      </c>
      <c r="E988" s="17">
        <v>6</v>
      </c>
      <c r="F988" s="26" t="str">
        <f>CADASTROS!$E$836</f>
        <v>Cx. Econômica</v>
      </c>
      <c r="G988" s="24">
        <f>CADASTROS!$F$836</f>
        <v>128</v>
      </c>
      <c r="H988" s="26">
        <f>CADASTROS!$G$836</f>
        <v>0</v>
      </c>
      <c r="I988" s="16" t="str">
        <f>CADASTROS!$H$836</f>
        <v>000766911898-0</v>
      </c>
      <c r="J988" s="18">
        <f t="shared" si="36"/>
        <v>234</v>
      </c>
    </row>
    <row r="989" spans="1:10" ht="15.75" x14ac:dyDescent="0.25">
      <c r="A989" s="24">
        <f>CADASTROS!$B$837</f>
        <v>835</v>
      </c>
      <c r="B989" s="15" t="str">
        <f>CADASTROS!$C$837</f>
        <v>Manoel Fausto de Sousa</v>
      </c>
      <c r="C989" s="25"/>
      <c r="D989" s="35">
        <f>PLANILHA_COLHEITA_DIÁRIA!$I$1342</f>
        <v>0</v>
      </c>
      <c r="E989" s="17">
        <v>6</v>
      </c>
      <c r="F989" s="26" t="str">
        <f>CADASTROS!$E$837</f>
        <v>Cx. Econômica</v>
      </c>
      <c r="G989" s="24">
        <f>CADASTROS!$F$837</f>
        <v>150</v>
      </c>
      <c r="H989" s="26">
        <f>CADASTROS!$G$837</f>
        <v>13</v>
      </c>
      <c r="I989" s="16" t="str">
        <f>CADASTROS!$H$837</f>
        <v>00004586-0</v>
      </c>
      <c r="J989" s="18">
        <f t="shared" si="36"/>
        <v>0</v>
      </c>
    </row>
    <row r="990" spans="1:10" ht="15.75" x14ac:dyDescent="0.25">
      <c r="A990" s="24">
        <f>CADASTROS!$B$838</f>
        <v>836</v>
      </c>
      <c r="B990" s="15" t="str">
        <f>CADASTROS!$C$838</f>
        <v>José Rosa de Sousa</v>
      </c>
      <c r="C990" s="25"/>
      <c r="D990" s="35">
        <f>PLANILHA_COLHEITA_DIÁRIA!$I$1343</f>
        <v>0</v>
      </c>
      <c r="E990" s="17">
        <v>6</v>
      </c>
      <c r="F990" s="26" t="str">
        <f>CADASTROS!$E$838</f>
        <v>Cx. Econômica</v>
      </c>
      <c r="G990" s="24">
        <f>CADASTROS!$F$838</f>
        <v>4825</v>
      </c>
      <c r="H990" s="26">
        <f>CADASTROS!$G$838</f>
        <v>13</v>
      </c>
      <c r="I990" s="16" t="str">
        <f>CADASTROS!$H$838</f>
        <v>00009583-2</v>
      </c>
      <c r="J990" s="18">
        <f t="shared" si="36"/>
        <v>0</v>
      </c>
    </row>
    <row r="991" spans="1:10" ht="15.75" x14ac:dyDescent="0.25">
      <c r="A991" s="24">
        <f>CADASTROS!$B$839</f>
        <v>837</v>
      </c>
      <c r="B991" s="15" t="str">
        <f>CADASTROS!$C$839</f>
        <v>Jaqueline de S. Carvalho</v>
      </c>
      <c r="C991" s="25"/>
      <c r="D991" s="35">
        <f>PLANILHA_COLHEITA_DIÁRIA!$I$1344</f>
        <v>0</v>
      </c>
      <c r="E991" s="17">
        <v>6</v>
      </c>
      <c r="F991" s="26" t="str">
        <f>CADASTROS!$E$839</f>
        <v>Cx. Econômica</v>
      </c>
      <c r="G991" s="24">
        <f>CADASTROS!$F$839</f>
        <v>4825</v>
      </c>
      <c r="H991" s="26">
        <f>CADASTROS!$G$839</f>
        <v>13</v>
      </c>
      <c r="I991" s="16" t="str">
        <f>CADASTROS!$H$839</f>
        <v>00001343-7</v>
      </c>
      <c r="J991" s="18">
        <f t="shared" si="36"/>
        <v>0</v>
      </c>
    </row>
    <row r="992" spans="1:10" ht="15.75" x14ac:dyDescent="0.25">
      <c r="A992" s="24">
        <f>CADASTROS!$B$840</f>
        <v>838</v>
      </c>
      <c r="B992" s="15" t="str">
        <f>CADASTROS!$C$840</f>
        <v>João dos Santos Lopes</v>
      </c>
      <c r="C992" s="25"/>
      <c r="D992" s="35">
        <f>PLANILHA_COLHEITA_DIÁRIA!$I$1345</f>
        <v>0</v>
      </c>
      <c r="E992" s="17">
        <v>6</v>
      </c>
      <c r="F992" s="26" t="str">
        <f>CADASTROS!$E$840</f>
        <v>Cx. Econômica</v>
      </c>
      <c r="G992" s="24">
        <f>CADASTROS!$F$840</f>
        <v>4818</v>
      </c>
      <c r="H992" s="26">
        <f>CADASTROS!$G$840</f>
        <v>13</v>
      </c>
      <c r="I992" s="16" t="str">
        <f>CADASTROS!$H$840</f>
        <v>00012077-4</v>
      </c>
      <c r="J992" s="18">
        <f t="shared" si="36"/>
        <v>0</v>
      </c>
    </row>
    <row r="993" spans="1:10" ht="15.75" x14ac:dyDescent="0.25">
      <c r="A993" s="24">
        <f>CADASTROS!$B$841</f>
        <v>839</v>
      </c>
      <c r="B993" s="15" t="str">
        <f>CADASTROS!$C$841</f>
        <v>Adeni L. do Nascimento</v>
      </c>
      <c r="C993" s="25"/>
      <c r="D993" s="35">
        <f>PLANILHA_COLHEITA_DIÁRIA!$I$1346</f>
        <v>0</v>
      </c>
      <c r="E993" s="17">
        <v>6</v>
      </c>
      <c r="F993" s="26" t="str">
        <f>CADASTROS!$E$841</f>
        <v>Cx. Econômica</v>
      </c>
      <c r="G993" s="24">
        <f>CADASTROS!$F$841</f>
        <v>4825</v>
      </c>
      <c r="H993" s="26">
        <f>CADASTROS!$G$841</f>
        <v>13</v>
      </c>
      <c r="I993" s="16" t="str">
        <f>CADASTROS!$H$841</f>
        <v>00017497-0</v>
      </c>
      <c r="J993" s="18">
        <f t="shared" si="36"/>
        <v>0</v>
      </c>
    </row>
    <row r="994" spans="1:10" ht="15.75" x14ac:dyDescent="0.25">
      <c r="A994" s="24">
        <f>CADASTROS!$B$842</f>
        <v>840</v>
      </c>
      <c r="B994" s="15" t="str">
        <f>CADASTROS!$C$842</f>
        <v>Odair Jesus Silva Santos</v>
      </c>
      <c r="C994" s="25"/>
      <c r="D994" s="35">
        <f>PLANILHA_COLHEITA_DIÁRIA!$I$1347</f>
        <v>0</v>
      </c>
      <c r="E994" s="17">
        <v>6</v>
      </c>
      <c r="F994" s="26" t="str">
        <f>CADASTROS!$E$842</f>
        <v>Cx. Econômica</v>
      </c>
      <c r="G994" s="24">
        <f>CADASTROS!$F$842</f>
        <v>4825</v>
      </c>
      <c r="H994" s="26">
        <f>CADASTROS!$G$842</f>
        <v>13</v>
      </c>
      <c r="I994" s="16" t="str">
        <f>CADASTROS!$H$842</f>
        <v>00001888-9</v>
      </c>
      <c r="J994" s="18">
        <f t="shared" si="36"/>
        <v>0</v>
      </c>
    </row>
    <row r="995" spans="1:10" ht="15.75" x14ac:dyDescent="0.25">
      <c r="A995" s="24">
        <f>CADASTROS!$B$843</f>
        <v>841</v>
      </c>
      <c r="B995" s="15" t="str">
        <f>CADASTROS!$C$843</f>
        <v>Reginalda Carlos da Silva</v>
      </c>
      <c r="C995" s="25"/>
      <c r="D995" s="35">
        <f>PLANILHA_COLHEITA_DIÁRIA!$I$1348</f>
        <v>0</v>
      </c>
      <c r="E995" s="17">
        <v>6</v>
      </c>
      <c r="F995" s="26" t="str">
        <f>CADASTROS!$E$843</f>
        <v>Cx. Econômica</v>
      </c>
      <c r="G995" s="24">
        <f>CADASTROS!$F$843</f>
        <v>4825</v>
      </c>
      <c r="H995" s="26">
        <f>CADASTROS!$G$843</f>
        <v>13</v>
      </c>
      <c r="I995" s="16" t="str">
        <f>CADASTROS!$H$843</f>
        <v>00019561-6</v>
      </c>
      <c r="J995" s="18">
        <f t="shared" ref="J995" si="37">D995*E995</f>
        <v>0</v>
      </c>
    </row>
    <row r="996" spans="1:10" ht="15.75" x14ac:dyDescent="0.25">
      <c r="A996" s="24">
        <f>CADASTROS!$B$844</f>
        <v>842</v>
      </c>
      <c r="B996" s="15" t="str">
        <f>CADASTROS!$C$844</f>
        <v>Renivaldo Carlos da Silva</v>
      </c>
      <c r="C996" s="25"/>
      <c r="D996" s="35">
        <f>PLANILHA_COLHEITA_DIÁRIA!$I$1349</f>
        <v>0</v>
      </c>
      <c r="E996" s="17">
        <v>6</v>
      </c>
      <c r="F996" s="26" t="str">
        <f>CADASTROS!$E$844</f>
        <v>Cx. Econômica</v>
      </c>
      <c r="G996" s="24">
        <f>CADASTROS!$F$844</f>
        <v>4694</v>
      </c>
      <c r="H996" s="26">
        <f>CADASTROS!$G$844</f>
        <v>13</v>
      </c>
      <c r="I996" s="16" t="str">
        <f>CADASTROS!$H$844</f>
        <v>00008974-2</v>
      </c>
      <c r="J996" s="18">
        <f t="shared" si="36"/>
        <v>0</v>
      </c>
    </row>
    <row r="997" spans="1:10" ht="15.75" x14ac:dyDescent="0.25">
      <c r="A997" s="24">
        <f>CADASTROS!$B$845</f>
        <v>843</v>
      </c>
      <c r="B997" s="15" t="str">
        <f>CADASTROS!$C$845</f>
        <v>Estácio Cedro de Souza</v>
      </c>
      <c r="C997" s="25"/>
      <c r="D997" s="35">
        <f>PLANILHA_COLHEITA_DIÁRIA!$I$1350</f>
        <v>0</v>
      </c>
      <c r="E997" s="17">
        <v>6</v>
      </c>
      <c r="F997" s="26" t="str">
        <f>CADASTROS!$E$845</f>
        <v>Cx. Econômica</v>
      </c>
      <c r="G997" s="24">
        <f>CADASTROS!$F$845</f>
        <v>4825</v>
      </c>
      <c r="H997" s="26">
        <f>CADASTROS!$G$845</f>
        <v>13</v>
      </c>
      <c r="I997" s="16" t="str">
        <f>CADASTROS!$H$845</f>
        <v>00019296-0</v>
      </c>
      <c r="J997" s="18">
        <f t="shared" si="36"/>
        <v>0</v>
      </c>
    </row>
    <row r="998" spans="1:10" ht="15.75" x14ac:dyDescent="0.25">
      <c r="A998" s="24">
        <f>CADASTROS!$B$846</f>
        <v>844</v>
      </c>
      <c r="B998" s="15" t="str">
        <f>CADASTROS!$C$846</f>
        <v>Domingos Alves Santana</v>
      </c>
      <c r="C998" s="25"/>
      <c r="D998" s="35">
        <f>PLANILHA_COLHEITA_DIÁRIA!$I$1351</f>
        <v>0</v>
      </c>
      <c r="E998" s="17">
        <v>6</v>
      </c>
      <c r="F998" s="26" t="str">
        <f>CADASTROS!$E$846</f>
        <v>Cx. Econômica</v>
      </c>
      <c r="G998" s="24">
        <f>CADASTROS!$F$846</f>
        <v>4825</v>
      </c>
      <c r="H998" s="26">
        <f>CADASTROS!$G$846</f>
        <v>13</v>
      </c>
      <c r="I998" s="16" t="str">
        <f>CADASTROS!$H$846</f>
        <v>00001997-4</v>
      </c>
      <c r="J998" s="18">
        <f t="shared" si="36"/>
        <v>0</v>
      </c>
    </row>
    <row r="999" spans="1:10" ht="15.75" x14ac:dyDescent="0.25">
      <c r="A999" s="24">
        <f>CADASTROS!$B$847</f>
        <v>845</v>
      </c>
      <c r="B999" s="15" t="str">
        <f>CADASTROS!$C$847</f>
        <v>Arestides Francisco de Sena</v>
      </c>
      <c r="C999" s="25"/>
      <c r="D999" s="52">
        <f>PLANILHA_COLHEITA_DIÁRIA!$I$1352</f>
        <v>0</v>
      </c>
      <c r="E999" s="17">
        <v>6</v>
      </c>
      <c r="F999" s="26" t="str">
        <f>CADASTROS!$E$847</f>
        <v>Cx. Econômica</v>
      </c>
      <c r="G999" s="24">
        <f>CADASTROS!$F$847</f>
        <v>4825</v>
      </c>
      <c r="H999" s="26">
        <f>CADASTROS!$G$847</f>
        <v>13</v>
      </c>
      <c r="I999" s="16" t="str">
        <f>CADASTROS!$H$847</f>
        <v>00019565-9</v>
      </c>
      <c r="J999" s="18">
        <f t="shared" si="36"/>
        <v>0</v>
      </c>
    </row>
    <row r="1000" spans="1:10" ht="15.75" x14ac:dyDescent="0.25">
      <c r="A1000" s="24">
        <f>CADASTROS!$B$848</f>
        <v>846</v>
      </c>
      <c r="B1000" s="15" t="str">
        <f>CADASTROS!$C$848</f>
        <v>Marenilde Nascimento dos</v>
      </c>
      <c r="C1000" s="25"/>
      <c r="D1000" s="35">
        <f>PLANILHA_COLHEITA_DIÁRIA!$I$1353</f>
        <v>0</v>
      </c>
      <c r="E1000" s="17">
        <v>6</v>
      </c>
      <c r="F1000" s="26" t="str">
        <f>CADASTROS!$E$848</f>
        <v>Cx. Econômica</v>
      </c>
      <c r="G1000" s="24">
        <f>CADASTROS!$F$848</f>
        <v>4825</v>
      </c>
      <c r="H1000" s="26">
        <f>CADASTROS!$G$848</f>
        <v>13</v>
      </c>
      <c r="I1000" s="16" t="str">
        <f>CADASTROS!$H$848</f>
        <v>00019667-1</v>
      </c>
      <c r="J1000" s="18">
        <f t="shared" si="36"/>
        <v>0</v>
      </c>
    </row>
    <row r="1001" spans="1:10" ht="15.75" x14ac:dyDescent="0.25">
      <c r="A1001" s="24">
        <f>CADASTROS!$B$849</f>
        <v>847</v>
      </c>
      <c r="B1001" s="15" t="str">
        <f>CADASTROS!$C$849</f>
        <v>Maria Rosa Dourado</v>
      </c>
      <c r="C1001" s="25"/>
      <c r="D1001" s="35">
        <f>PLANILHA_COLHEITA_DIÁRIA!$I$1354</f>
        <v>13</v>
      </c>
      <c r="E1001" s="17">
        <v>6</v>
      </c>
      <c r="F1001" s="26" t="str">
        <f>CADASTROS!$E$849</f>
        <v>Cx. Econômica</v>
      </c>
      <c r="G1001" s="24">
        <f>CADASTROS!$F$849</f>
        <v>4825</v>
      </c>
      <c r="H1001" s="26">
        <f>CADASTROS!$G$849</f>
        <v>13</v>
      </c>
      <c r="I1001" s="16" t="str">
        <f>CADASTROS!$H$849</f>
        <v>00019752-0</v>
      </c>
      <c r="J1001" s="18">
        <f t="shared" si="36"/>
        <v>78</v>
      </c>
    </row>
    <row r="1002" spans="1:10" ht="15.75" x14ac:dyDescent="0.25">
      <c r="A1002" s="24">
        <f>CADASTROS!$B$850</f>
        <v>848</v>
      </c>
      <c r="B1002" s="15" t="str">
        <f>CADASTROS!$C$850</f>
        <v>Edleia Medeiros de Souza</v>
      </c>
      <c r="C1002" s="25"/>
      <c r="D1002" s="35">
        <f>PLANILHA_COLHEITA_DIÁRIA!$I$1355</f>
        <v>0</v>
      </c>
      <c r="E1002" s="17">
        <v>6</v>
      </c>
      <c r="F1002" s="26" t="str">
        <f>CADASTROS!$E$850</f>
        <v>Cx. Econômica</v>
      </c>
      <c r="G1002" s="24">
        <f>CADASTROS!$F$850</f>
        <v>4825</v>
      </c>
      <c r="H1002" s="26">
        <f>CADASTROS!$G$850</f>
        <v>13</v>
      </c>
      <c r="I1002" s="16" t="str">
        <f>CADASTROS!$H$850</f>
        <v>00024080-8</v>
      </c>
      <c r="J1002" s="18">
        <f t="shared" si="36"/>
        <v>0</v>
      </c>
    </row>
    <row r="1003" spans="1:10" ht="15.75" x14ac:dyDescent="0.25">
      <c r="A1003" s="24">
        <f>CADASTROS!$B$851</f>
        <v>849</v>
      </c>
      <c r="B1003" s="15" t="str">
        <f>CADASTROS!$C$851</f>
        <v>Liliane Silva Brito</v>
      </c>
      <c r="C1003" s="25"/>
      <c r="D1003" s="35">
        <f>PLANILHA_COLHEITA_DIÁRIA!$I$1356</f>
        <v>0</v>
      </c>
      <c r="E1003" s="17">
        <v>6</v>
      </c>
      <c r="F1003" s="26" t="str">
        <f>CADASTROS!$E$851</f>
        <v>Bradesco</v>
      </c>
      <c r="G1003" s="24" t="str">
        <f>CADASTROS!$F$851</f>
        <v>7615-5</v>
      </c>
      <c r="H1003" s="26" t="str">
        <f>CADASTROS!$G$851</f>
        <v>c/corr</v>
      </c>
      <c r="I1003" s="16" t="str">
        <f>CADASTROS!$H$851</f>
        <v>0004655-8</v>
      </c>
      <c r="J1003" s="18">
        <f t="shared" si="36"/>
        <v>0</v>
      </c>
    </row>
    <row r="1004" spans="1:10" ht="15.75" x14ac:dyDescent="0.25">
      <c r="A1004" s="24">
        <f>CADASTROS!$B$852</f>
        <v>850</v>
      </c>
      <c r="B1004" s="15" t="str">
        <f>CADASTROS!$C$852</f>
        <v>José Wilton Magalhães</v>
      </c>
      <c r="C1004" s="25"/>
      <c r="D1004" s="35">
        <f>PLANILHA_COLHEITA_DIÁRIA!$I$1357</f>
        <v>0</v>
      </c>
      <c r="E1004" s="17">
        <v>6</v>
      </c>
      <c r="F1004" s="26" t="str">
        <f>CADASTROS!$E$852</f>
        <v>Cx. Econômica</v>
      </c>
      <c r="G1004" s="24">
        <f>CADASTROS!$F$852</f>
        <v>4825</v>
      </c>
      <c r="H1004" s="26">
        <f>CADASTROS!$G$852</f>
        <v>13</v>
      </c>
      <c r="I1004" s="16" t="str">
        <f>CADASTROS!$H$852</f>
        <v>00015835-4</v>
      </c>
      <c r="J1004" s="18">
        <f t="shared" si="36"/>
        <v>0</v>
      </c>
    </row>
    <row r="1005" spans="1:10" ht="15.75" x14ac:dyDescent="0.25">
      <c r="A1005" s="24">
        <f>CADASTROS!$B$853</f>
        <v>851</v>
      </c>
      <c r="B1005" s="15" t="str">
        <f>CADASTROS!$C$853</f>
        <v>Rosenilde Silva Oliveira</v>
      </c>
      <c r="C1005" s="25"/>
      <c r="D1005" s="35">
        <f>PLANILHA_COLHEITA_DIÁRIA!$I$1358</f>
        <v>0</v>
      </c>
      <c r="E1005" s="17">
        <v>6</v>
      </c>
      <c r="F1005" s="26" t="str">
        <f>CADASTROS!$E$853</f>
        <v>Bradesco</v>
      </c>
      <c r="G1005" s="24" t="str">
        <f>CADASTROS!$F$853</f>
        <v>3801-6</v>
      </c>
      <c r="H1005" s="26" t="str">
        <f>CADASTROS!$G$853</f>
        <v>c/corr</v>
      </c>
      <c r="I1005" s="16" t="str">
        <f>CADASTROS!$H$853</f>
        <v>0002677-8</v>
      </c>
      <c r="J1005" s="18">
        <f t="shared" si="36"/>
        <v>0</v>
      </c>
    </row>
    <row r="1006" spans="1:10" ht="15.75" x14ac:dyDescent="0.25">
      <c r="A1006" s="24">
        <f>CADASTROS!$B$854</f>
        <v>852</v>
      </c>
      <c r="B1006" s="15" t="str">
        <f>CADASTROS!$C$854</f>
        <v>Móises Marques de Sousa</v>
      </c>
      <c r="C1006" s="25"/>
      <c r="D1006" s="35">
        <f>PLANILHA_COLHEITA_DIÁRIA!$I$1359</f>
        <v>0</v>
      </c>
      <c r="E1006" s="17">
        <v>6</v>
      </c>
      <c r="F1006" s="26" t="str">
        <f>CADASTROS!$E$854</f>
        <v>Cx. Econômica</v>
      </c>
      <c r="G1006" s="24">
        <f>CADASTROS!$F$854</f>
        <v>4825</v>
      </c>
      <c r="H1006" s="26">
        <f>CADASTROS!$G$854</f>
        <v>13</v>
      </c>
      <c r="I1006" s="16" t="str">
        <f>CADASTROS!$H$854</f>
        <v>00008666-3</v>
      </c>
      <c r="J1006" s="18">
        <f t="shared" si="36"/>
        <v>0</v>
      </c>
    </row>
    <row r="1007" spans="1:10" ht="15.75" x14ac:dyDescent="0.25">
      <c r="A1007" s="24">
        <f>CADASTROS!$B$855</f>
        <v>853</v>
      </c>
      <c r="B1007" s="15" t="str">
        <f>CADASTROS!$C$855</f>
        <v>Alane Silva de Oliveira</v>
      </c>
      <c r="C1007" s="25"/>
      <c r="D1007" s="52">
        <f>PLANILHA_COLHEITA_DIÁRIA!$I$1360</f>
        <v>0</v>
      </c>
      <c r="E1007" s="17">
        <v>6</v>
      </c>
      <c r="F1007" s="26" t="str">
        <f>CADASTROS!$E$855</f>
        <v>Cx. Econômica</v>
      </c>
      <c r="G1007" s="24">
        <f>CADASTROS!$F$855</f>
        <v>4818</v>
      </c>
      <c r="H1007" s="26">
        <f>CADASTROS!$G$855</f>
        <v>13</v>
      </c>
      <c r="I1007" s="16" t="str">
        <f>CADASTROS!$H$855</f>
        <v>00007690-2</v>
      </c>
      <c r="J1007" s="18">
        <f t="shared" si="36"/>
        <v>0</v>
      </c>
    </row>
    <row r="1008" spans="1:10" ht="15.75" x14ac:dyDescent="0.25">
      <c r="A1008" s="24">
        <f>CADASTROS!$B$856</f>
        <v>854</v>
      </c>
      <c r="B1008" s="15" t="str">
        <f>CADASTROS!$C$856</f>
        <v>Tamares Oliveira Silva</v>
      </c>
      <c r="C1008" s="25"/>
      <c r="D1008" s="35">
        <f>PLANILHA_COLHEITA_DIÁRIA!$I$1361</f>
        <v>0</v>
      </c>
      <c r="E1008" s="17">
        <v>6</v>
      </c>
      <c r="F1008" s="26" t="str">
        <f>CADASTROS!$E$856</f>
        <v>Bradesco</v>
      </c>
      <c r="G1008" s="24">
        <f>CADASTROS!$F$856</f>
        <v>20770</v>
      </c>
      <c r="H1008" s="26" t="str">
        <f>CADASTROS!$G$856</f>
        <v>c/corr</v>
      </c>
      <c r="I1008" s="16" t="str">
        <f>CADASTROS!$H$856</f>
        <v>0007159-5</v>
      </c>
      <c r="J1008" s="18">
        <f t="shared" si="36"/>
        <v>0</v>
      </c>
    </row>
    <row r="1009" spans="1:10" ht="15.75" x14ac:dyDescent="0.25">
      <c r="B1009" s="220"/>
      <c r="C1009" s="220"/>
      <c r="D1009" s="12">
        <f>SUM(D964:D1008)</f>
        <v>76</v>
      </c>
      <c r="E1009" s="12"/>
      <c r="F1009" s="162"/>
      <c r="G1009" s="163"/>
      <c r="H1009" s="163"/>
      <c r="I1009" s="164"/>
      <c r="J1009" s="14">
        <f>SUM(J964:J1008)</f>
        <v>456</v>
      </c>
    </row>
    <row r="1012" spans="1:10" ht="15.75" x14ac:dyDescent="0.25">
      <c r="A1012" s="213" t="s">
        <v>4816</v>
      </c>
      <c r="B1012" s="213"/>
      <c r="C1012" s="213"/>
      <c r="D1012" s="213"/>
      <c r="E1012" s="213"/>
      <c r="F1012" s="213"/>
      <c r="G1012" s="213"/>
      <c r="H1012" s="213"/>
      <c r="I1012" s="213"/>
      <c r="J1012" s="213"/>
    </row>
    <row r="1013" spans="1:10" ht="16.5" thickBot="1" x14ac:dyDescent="0.3">
      <c r="A1013" s="214" t="s">
        <v>4843</v>
      </c>
      <c r="B1013" s="214"/>
      <c r="C1013" s="214"/>
      <c r="D1013" s="214"/>
      <c r="E1013" s="214"/>
      <c r="F1013" s="214"/>
      <c r="G1013" s="214"/>
      <c r="H1013" s="214"/>
      <c r="I1013" s="214"/>
      <c r="J1013" s="214"/>
    </row>
    <row r="1014" spans="1:10" ht="17.25" thickTop="1" thickBot="1" x14ac:dyDescent="0.3">
      <c r="A1014" s="215" t="s">
        <v>4844</v>
      </c>
      <c r="B1014" s="215"/>
      <c r="C1014" s="215"/>
      <c r="D1014" s="215"/>
      <c r="E1014" s="215"/>
      <c r="F1014" s="215"/>
      <c r="G1014" s="215"/>
      <c r="H1014" s="215"/>
      <c r="I1014" s="215"/>
      <c r="J1014" s="215"/>
    </row>
    <row r="1015" spans="1:10" ht="18.600000000000001" customHeight="1" x14ac:dyDescent="0.25">
      <c r="A1015" s="19" t="s">
        <v>4846</v>
      </c>
      <c r="B1015" s="216" t="s">
        <v>1</v>
      </c>
      <c r="C1015" s="221" t="s">
        <v>2</v>
      </c>
      <c r="D1015" s="223" t="s">
        <v>4847</v>
      </c>
      <c r="E1015" s="20" t="s">
        <v>4848</v>
      </c>
      <c r="F1015" s="216" t="s">
        <v>3</v>
      </c>
      <c r="G1015" s="216" t="s">
        <v>4</v>
      </c>
      <c r="H1015" s="216" t="s">
        <v>5</v>
      </c>
      <c r="I1015" s="216" t="s">
        <v>6</v>
      </c>
      <c r="J1015" s="218" t="s">
        <v>4849</v>
      </c>
    </row>
    <row r="1016" spans="1:10" ht="19.899999999999999" customHeight="1" thickBot="1" x14ac:dyDescent="0.3">
      <c r="A1016" s="21" t="s">
        <v>4850</v>
      </c>
      <c r="B1016" s="217"/>
      <c r="C1016" s="222"/>
      <c r="D1016" s="224"/>
      <c r="E1016" s="161" t="s">
        <v>4851</v>
      </c>
      <c r="F1016" s="217"/>
      <c r="G1016" s="217"/>
      <c r="H1016" s="217"/>
      <c r="I1016" s="217"/>
      <c r="J1016" s="219"/>
    </row>
    <row r="1017" spans="1:10" ht="15.75" x14ac:dyDescent="0.25">
      <c r="A1017" s="24">
        <f>CADASTROS!$B$857</f>
        <v>855</v>
      </c>
      <c r="B1017" s="15" t="str">
        <f>CADASTROS!$C$857</f>
        <v>Francisco de Sousa Lima</v>
      </c>
      <c r="C1017" s="25"/>
      <c r="D1017" s="35">
        <f>PLANILHA_COLHEITA_DIÁRIA!$I$1319</f>
        <v>0</v>
      </c>
      <c r="E1017" s="17">
        <v>6</v>
      </c>
      <c r="F1017" s="26" t="str">
        <f>CADASTROS!$E$857</f>
        <v>Banco do Brasil</v>
      </c>
      <c r="G1017" s="24" t="str">
        <f>CADASTROS!$F$857</f>
        <v>2760-X</v>
      </c>
      <c r="H1017" s="26" t="str">
        <f>CADASTROS!$G$857</f>
        <v>poup</v>
      </c>
      <c r="I1017" s="16" t="str">
        <f>CADASTROS!$H$857</f>
        <v>7.464-0</v>
      </c>
      <c r="J1017" s="18">
        <f t="shared" ref="J1017:J1026" si="38">D1017*E1017</f>
        <v>0</v>
      </c>
    </row>
    <row r="1018" spans="1:10" ht="15.75" x14ac:dyDescent="0.25">
      <c r="A1018" s="24">
        <f>CADASTROS!$B$858</f>
        <v>856</v>
      </c>
      <c r="B1018" s="15" t="str">
        <f>CADASTROS!$C$858</f>
        <v>Marinalva Silva de Brito</v>
      </c>
      <c r="C1018" s="25"/>
      <c r="D1018" s="35">
        <f>PLANILHA_COLHEITA_DIÁRIA!$I$1320</f>
        <v>0</v>
      </c>
      <c r="E1018" s="17">
        <v>6</v>
      </c>
      <c r="F1018" s="26" t="str">
        <f>CADASTROS!$E$858</f>
        <v>Cx. Econômica</v>
      </c>
      <c r="G1018" s="24">
        <f>CADASTROS!$F$858</f>
        <v>949</v>
      </c>
      <c r="H1018" s="26">
        <f>CADASTROS!$G$858</f>
        <v>13</v>
      </c>
      <c r="I1018" s="16" t="str">
        <f>CADASTROS!$H$858</f>
        <v>00038459-5</v>
      </c>
      <c r="J1018" s="18">
        <f t="shared" si="38"/>
        <v>0</v>
      </c>
    </row>
    <row r="1019" spans="1:10" ht="15.75" x14ac:dyDescent="0.25">
      <c r="A1019" s="24">
        <f>CADASTROS!$B$859</f>
        <v>857</v>
      </c>
      <c r="B1019" s="15" t="str">
        <f>CADASTROS!$C$859</f>
        <v>Miguel de Jesus Oliveira</v>
      </c>
      <c r="C1019" s="25"/>
      <c r="D1019" s="35">
        <f>PLANILHA_COLHEITA_DIÁRIA!$I$1321</f>
        <v>38</v>
      </c>
      <c r="E1019" s="17">
        <v>6</v>
      </c>
      <c r="F1019" s="26" t="str">
        <f>CADASTROS!$E$859</f>
        <v>Cx. Econômica</v>
      </c>
      <c r="G1019" s="24">
        <f>CADASTROS!$F$859</f>
        <v>2281</v>
      </c>
      <c r="H1019" s="26">
        <f>CADASTROS!$G$859</f>
        <v>13</v>
      </c>
      <c r="I1019" s="16" t="str">
        <f>CADASTROS!$H$859</f>
        <v>00024426-7</v>
      </c>
      <c r="J1019" s="18">
        <f t="shared" si="38"/>
        <v>228</v>
      </c>
    </row>
    <row r="1020" spans="1:10" ht="15.75" x14ac:dyDescent="0.25">
      <c r="A1020" s="24">
        <f>CADASTROS!$B$860</f>
        <v>858</v>
      </c>
      <c r="B1020" s="15" t="str">
        <f>CADASTROS!$C$860</f>
        <v>Ricardo Alves de Souza</v>
      </c>
      <c r="C1020" s="25"/>
      <c r="D1020" s="35">
        <f>PLANILHA_COLHEITA_DIÁRIA!$I$1322</f>
        <v>0</v>
      </c>
      <c r="E1020" s="17">
        <v>6</v>
      </c>
      <c r="F1020" s="26" t="str">
        <f>CADASTROS!$E$860</f>
        <v>Cx. Econômica</v>
      </c>
      <c r="G1020" s="24">
        <f>CADASTROS!$F$860</f>
        <v>1598</v>
      </c>
      <c r="H1020" s="26">
        <f>CADASTROS!$G$860</f>
        <v>13</v>
      </c>
      <c r="I1020" s="16" t="str">
        <f>CADASTROS!$H$860</f>
        <v>00018744-2</v>
      </c>
      <c r="J1020" s="18">
        <f t="shared" si="38"/>
        <v>0</v>
      </c>
    </row>
    <row r="1021" spans="1:10" ht="15.75" x14ac:dyDescent="0.25">
      <c r="A1021" s="24">
        <f>CADASTROS!$B$861</f>
        <v>859</v>
      </c>
      <c r="B1021" s="15" t="str">
        <f>CADASTROS!$C$861</f>
        <v>Maria da C. de J. Nascimento</v>
      </c>
      <c r="C1021" s="25"/>
      <c r="D1021" s="35">
        <f>PLANILHA_COLHEITA_DIÁRIA!$I$1374</f>
        <v>0</v>
      </c>
      <c r="E1021" s="17">
        <v>6</v>
      </c>
      <c r="F1021" s="26" t="str">
        <f>CADASTROS!$E$861</f>
        <v>Cx. Econômica</v>
      </c>
      <c r="G1021" s="24">
        <f>CADASTROS!$F$861</f>
        <v>598</v>
      </c>
      <c r="H1021" s="26">
        <f>CADASTROS!$G$861</f>
        <v>13</v>
      </c>
      <c r="I1021" s="16" t="str">
        <f>CADASTROS!$H$861</f>
        <v>00031158-2</v>
      </c>
      <c r="J1021" s="18">
        <f t="shared" si="38"/>
        <v>0</v>
      </c>
    </row>
    <row r="1022" spans="1:10" ht="15.75" x14ac:dyDescent="0.25">
      <c r="A1022" s="24">
        <f>CADASTROS!$B$862</f>
        <v>860</v>
      </c>
      <c r="B1022" s="15" t="str">
        <f>CADASTROS!$C$862</f>
        <v>Marinalva de Oliveira</v>
      </c>
      <c r="C1022" s="25"/>
      <c r="D1022" s="35">
        <f>PLANILHA_COLHEITA_DIÁRIA!$I$1375</f>
        <v>0</v>
      </c>
      <c r="E1022" s="17">
        <v>6</v>
      </c>
      <c r="F1022" s="26" t="str">
        <f>CADASTROS!$E$862</f>
        <v>Cx. Econômica</v>
      </c>
      <c r="G1022" s="24">
        <f>CADASTROS!$F$862</f>
        <v>4818</v>
      </c>
      <c r="H1022" s="26">
        <f>CADASTROS!$G$862</f>
        <v>13</v>
      </c>
      <c r="I1022" s="16" t="str">
        <f>CADASTROS!$H$862</f>
        <v>00010905-3</v>
      </c>
      <c r="J1022" s="18">
        <f t="shared" si="38"/>
        <v>0</v>
      </c>
    </row>
    <row r="1023" spans="1:10" ht="15.75" x14ac:dyDescent="0.25">
      <c r="A1023" s="24">
        <f>CADASTROS!$B$863</f>
        <v>861</v>
      </c>
      <c r="B1023" s="15" t="str">
        <f>CADASTROS!$C$863</f>
        <v>Adarildo Caio</v>
      </c>
      <c r="C1023" s="25"/>
      <c r="D1023" s="35">
        <f>PLANILHA_COLHEITA_DIÁRIA!$I$1376</f>
        <v>0</v>
      </c>
      <c r="E1023" s="17">
        <v>6</v>
      </c>
      <c r="F1023" s="26" t="str">
        <f>CADASTROS!$E$863</f>
        <v>Bradesco</v>
      </c>
      <c r="G1023" s="24">
        <f>CADASTROS!$F$863</f>
        <v>3616</v>
      </c>
      <c r="H1023" s="26" t="str">
        <f>CADASTROS!$G$863</f>
        <v>c/corr</v>
      </c>
      <c r="I1023" s="16" t="str">
        <f>CADASTROS!$H$863</f>
        <v>0007185-4</v>
      </c>
      <c r="J1023" s="18">
        <f t="shared" si="38"/>
        <v>0</v>
      </c>
    </row>
    <row r="1024" spans="1:10" ht="15.75" x14ac:dyDescent="0.25">
      <c r="A1024" s="24">
        <f>CADASTROS!$B$864</f>
        <v>862</v>
      </c>
      <c r="B1024" s="15" t="str">
        <f>CADASTROS!$C$864</f>
        <v>Guiomar Souza Santos</v>
      </c>
      <c r="C1024" s="25"/>
      <c r="D1024" s="35">
        <f>PLANILHA_COLHEITA_DIÁRIA!$I$1377</f>
        <v>0</v>
      </c>
      <c r="E1024" s="17">
        <v>6</v>
      </c>
      <c r="F1024" s="26" t="str">
        <f>CADASTROS!$E$864</f>
        <v>Cx. Econômica</v>
      </c>
      <c r="G1024" s="24">
        <f>CADASTROS!$F$864</f>
        <v>4818</v>
      </c>
      <c r="H1024" s="26">
        <f>CADASTROS!$G$864</f>
        <v>13</v>
      </c>
      <c r="I1024" s="16" t="str">
        <f>CADASTROS!$H$864</f>
        <v>00004720-1</v>
      </c>
      <c r="J1024" s="18">
        <f t="shared" si="38"/>
        <v>0</v>
      </c>
    </row>
    <row r="1025" spans="1:10" ht="15.75" x14ac:dyDescent="0.25">
      <c r="A1025" s="24">
        <f>CADASTROS!$B$865</f>
        <v>863</v>
      </c>
      <c r="B1025" s="15" t="str">
        <f>CADASTROS!$C$865</f>
        <v>Jaime Gonçalves Santos</v>
      </c>
      <c r="C1025" s="25"/>
      <c r="D1025" s="41">
        <f>PLANILHA_COLHEITA_DIÁRIA!$I$1378</f>
        <v>0</v>
      </c>
      <c r="E1025" s="17">
        <v>6</v>
      </c>
      <c r="F1025" s="26" t="str">
        <f>CADASTROS!$E$865</f>
        <v>Cx. Econômica</v>
      </c>
      <c r="G1025" s="24">
        <f>CADASTROS!$F$865</f>
        <v>4818</v>
      </c>
      <c r="H1025" s="26">
        <f>CADASTROS!$G$865</f>
        <v>13</v>
      </c>
      <c r="I1025" s="16" t="str">
        <f>CADASTROS!$H$865</f>
        <v>00007643-0</v>
      </c>
      <c r="J1025" s="18">
        <f t="shared" si="38"/>
        <v>0</v>
      </c>
    </row>
    <row r="1026" spans="1:10" ht="15.75" x14ac:dyDescent="0.25">
      <c r="A1026" s="24">
        <f>CADASTROS!$B$866</f>
        <v>864</v>
      </c>
      <c r="B1026" s="15" t="str">
        <f>CADASTROS!$C$866</f>
        <v>Max Souza Oliveira</v>
      </c>
      <c r="C1026" s="25"/>
      <c r="D1026" s="35">
        <f>PLANILHA_COLHEITA_DIÁRIA!$I$1379</f>
        <v>0</v>
      </c>
      <c r="E1026" s="17">
        <v>6</v>
      </c>
      <c r="F1026" s="26" t="str">
        <f>CADASTROS!$E$866</f>
        <v>Cx. Econômica</v>
      </c>
      <c r="G1026" s="24">
        <f>CADASTROS!$F$866</f>
        <v>4825</v>
      </c>
      <c r="H1026" s="26">
        <f>CADASTROS!$G$866</f>
        <v>13</v>
      </c>
      <c r="I1026" s="16" t="str">
        <f>CADASTROS!$H$866</f>
        <v>00015799-4</v>
      </c>
      <c r="J1026" s="18">
        <f t="shared" si="38"/>
        <v>0</v>
      </c>
    </row>
    <row r="1027" spans="1:10" ht="15.75" x14ac:dyDescent="0.25">
      <c r="A1027" s="24">
        <f>CADASTROS!$B$867</f>
        <v>865</v>
      </c>
      <c r="B1027" s="15" t="str">
        <f>CADASTROS!$C$867</f>
        <v>Joaldo Pires Alves</v>
      </c>
      <c r="C1027" s="25"/>
      <c r="D1027" s="35">
        <f>PLANILHA_COLHEITA_DIÁRIA!$I$1380</f>
        <v>0</v>
      </c>
      <c r="E1027" s="17">
        <v>6</v>
      </c>
      <c r="F1027" s="26" t="str">
        <f>CADASTROS!$E$867</f>
        <v>Cx. Econômica</v>
      </c>
      <c r="G1027" s="24">
        <f>CADASTROS!$F$867</f>
        <v>1943</v>
      </c>
      <c r="H1027" s="26">
        <f>CADASTROS!$G$867</f>
        <v>23</v>
      </c>
      <c r="I1027" s="16" t="str">
        <f>CADASTROS!$H$867</f>
        <v>00007948-0</v>
      </c>
      <c r="J1027" s="18">
        <f>D1027*E1027</f>
        <v>0</v>
      </c>
    </row>
    <row r="1028" spans="1:10" ht="15.75" x14ac:dyDescent="0.25">
      <c r="A1028" s="24">
        <f>CADASTROS!$B$868</f>
        <v>866</v>
      </c>
      <c r="B1028" s="15" t="str">
        <f>CADASTROS!$C$868</f>
        <v>Mário Santos Gonçalves</v>
      </c>
      <c r="C1028" s="25"/>
      <c r="D1028" s="35">
        <f>PLANILHA_COLHEITA_DIÁRIA!$I$1381</f>
        <v>76</v>
      </c>
      <c r="E1028" s="17">
        <v>6</v>
      </c>
      <c r="F1028" s="26" t="str">
        <f>CADASTROS!$E$868</f>
        <v>Cx. Econômica</v>
      </c>
      <c r="G1028" s="24">
        <f>CADASTROS!$F$868</f>
        <v>4825</v>
      </c>
      <c r="H1028" s="26">
        <f>CADASTROS!$G$868</f>
        <v>13</v>
      </c>
      <c r="I1028" s="16" t="str">
        <f>CADASTROS!$H$868</f>
        <v>00012603-7</v>
      </c>
      <c r="J1028" s="18">
        <f t="shared" ref="J1028" si="39">D1028*E1028</f>
        <v>456</v>
      </c>
    </row>
    <row r="1029" spans="1:10" ht="15.75" x14ac:dyDescent="0.25">
      <c r="A1029" s="24">
        <f>CADASTROS!$B$869</f>
        <v>867</v>
      </c>
      <c r="B1029" s="15" t="str">
        <f>CADASTROS!$C$869</f>
        <v>Tânia Regina N. Lemos</v>
      </c>
      <c r="C1029" s="25"/>
      <c r="D1029" s="35">
        <f>PLANILHA_COLHEITA_DIÁRIA!$I$1382</f>
        <v>0</v>
      </c>
      <c r="E1029" s="17">
        <v>6</v>
      </c>
      <c r="F1029" s="26" t="str">
        <f>CADASTROS!$E$869</f>
        <v>Cx. Econômica</v>
      </c>
      <c r="G1029" s="24">
        <f>CADASTROS!$F$869</f>
        <v>949</v>
      </c>
      <c r="H1029" s="26">
        <f>CADASTROS!$G$869</f>
        <v>13</v>
      </c>
      <c r="I1029" s="16" t="str">
        <f>CADASTROS!$H$869</f>
        <v>00020248-9</v>
      </c>
      <c r="J1029" s="18">
        <f>D1029*E1029</f>
        <v>0</v>
      </c>
    </row>
    <row r="1030" spans="1:10" ht="15.75" x14ac:dyDescent="0.25">
      <c r="A1030" s="24">
        <f>CADASTROS!$B$870</f>
        <v>868</v>
      </c>
      <c r="B1030" s="15" t="str">
        <f>CADASTROS!$C$870</f>
        <v>Judite M. Santos</v>
      </c>
      <c r="C1030" s="25"/>
      <c r="D1030" s="35">
        <f>PLANILHA_COLHEITA_DIÁRIA!$I$1383</f>
        <v>94.5</v>
      </c>
      <c r="E1030" s="17">
        <v>6</v>
      </c>
      <c r="F1030" s="26" t="str">
        <f>CADASTROS!$E$870</f>
        <v>Cx. Econômica</v>
      </c>
      <c r="G1030" s="24">
        <f>CADASTROS!$F$870</f>
        <v>4818</v>
      </c>
      <c r="H1030" s="26">
        <f>CADASTROS!$G$870</f>
        <v>1288</v>
      </c>
      <c r="I1030" s="16" t="str">
        <f>CADASTROS!$H$870</f>
        <v>854551909-3</v>
      </c>
      <c r="J1030" s="18">
        <f t="shared" ref="J1030:J1061" si="40">D1030*E1030</f>
        <v>567</v>
      </c>
    </row>
    <row r="1031" spans="1:10" ht="15.75" x14ac:dyDescent="0.25">
      <c r="A1031" s="24">
        <f>CADASTROS!$B$871</f>
        <v>869</v>
      </c>
      <c r="B1031" s="15" t="str">
        <f>CADASTROS!$C$871</f>
        <v>Maria de Lourdes R. Oliveira</v>
      </c>
      <c r="C1031" s="25"/>
      <c r="D1031" s="41">
        <f>PLANILHA_COLHEITA_DIÁRIA!$I$1384</f>
        <v>0</v>
      </c>
      <c r="E1031" s="17">
        <v>6</v>
      </c>
      <c r="F1031" s="26" t="str">
        <f>CADASTROS!$E$871</f>
        <v>Cx. Econômica</v>
      </c>
      <c r="G1031" s="24">
        <f>CADASTROS!$F$871</f>
        <v>4818</v>
      </c>
      <c r="H1031" s="26">
        <f>CADASTROS!$G$871</f>
        <v>0</v>
      </c>
      <c r="I1031" s="16" t="str">
        <f>CADASTROS!$H$871</f>
        <v>000871268882-5</v>
      </c>
      <c r="J1031" s="18">
        <f t="shared" si="40"/>
        <v>0</v>
      </c>
    </row>
    <row r="1032" spans="1:10" ht="15.75" x14ac:dyDescent="0.25">
      <c r="A1032" s="24">
        <f>CADASTROS!$B$872</f>
        <v>870</v>
      </c>
      <c r="B1032" s="15" t="str">
        <f>CADASTROS!$C$872</f>
        <v>José N. P. da Silva</v>
      </c>
      <c r="C1032" s="25"/>
      <c r="D1032" s="35">
        <f>PLANILHA_COLHEITA_DIÁRIA!$I$1385</f>
        <v>0</v>
      </c>
      <c r="E1032" s="17">
        <v>6</v>
      </c>
      <c r="F1032" s="26" t="str">
        <f>CADASTROS!$E$872</f>
        <v>Cx. Econômica</v>
      </c>
      <c r="G1032" s="24">
        <f>CADASTROS!$F$872</f>
        <v>642</v>
      </c>
      <c r="H1032" s="26">
        <f>CADASTROS!$G$872</f>
        <v>13</v>
      </c>
      <c r="I1032" s="16" t="str">
        <f>CADASTROS!$H$872</f>
        <v>00160850-1</v>
      </c>
      <c r="J1032" s="18">
        <f t="shared" si="40"/>
        <v>0</v>
      </c>
    </row>
    <row r="1033" spans="1:10" ht="15.75" x14ac:dyDescent="0.25">
      <c r="A1033" s="24">
        <f>CADASTROS!$B$873</f>
        <v>871</v>
      </c>
      <c r="B1033" s="15" t="str">
        <f>CADASTROS!$C$873</f>
        <v>Emile Almeida Coelho</v>
      </c>
      <c r="C1033" s="25"/>
      <c r="D1033" s="35">
        <f>PLANILHA_COLHEITA_DIÁRIA!$I$1386</f>
        <v>0</v>
      </c>
      <c r="E1033" s="17">
        <v>6</v>
      </c>
      <c r="F1033" s="26" t="str">
        <f>CADASTROS!$E$873</f>
        <v>Cx. Econômica</v>
      </c>
      <c r="G1033" s="24">
        <f>CADASTROS!$F$873</f>
        <v>4067</v>
      </c>
      <c r="H1033" s="26">
        <f>CADASTROS!$G$873</f>
        <v>13</v>
      </c>
      <c r="I1033" s="16" t="str">
        <f>CADASTROS!$H$873</f>
        <v>00017762-6</v>
      </c>
      <c r="J1033" s="18">
        <f t="shared" si="40"/>
        <v>0</v>
      </c>
    </row>
    <row r="1034" spans="1:10" ht="15.75" x14ac:dyDescent="0.25">
      <c r="A1034" s="24">
        <f>CADASTROS!$B$874</f>
        <v>872</v>
      </c>
      <c r="B1034" s="15" t="str">
        <f>CADASTROS!$C$874</f>
        <v>Noelio Santos Silva</v>
      </c>
      <c r="C1034" s="25"/>
      <c r="D1034" s="41">
        <f>PLANILHA_COLHEITA_DIÁRIA!$I$1387</f>
        <v>0</v>
      </c>
      <c r="E1034" s="17">
        <v>6</v>
      </c>
      <c r="F1034" s="26" t="str">
        <f>CADASTROS!$E$874</f>
        <v>Banco do Brasil</v>
      </c>
      <c r="G1034" s="24" t="str">
        <f>CADASTROS!$F$874</f>
        <v>2760-X</v>
      </c>
      <c r="H1034" s="26" t="str">
        <f>CADASTROS!$G$874</f>
        <v>poup</v>
      </c>
      <c r="I1034" s="16" t="str">
        <f>CADASTROS!$H$874</f>
        <v>19.880-3</v>
      </c>
      <c r="J1034" s="18">
        <f t="shared" si="40"/>
        <v>0</v>
      </c>
    </row>
    <row r="1035" spans="1:10" ht="15.75" x14ac:dyDescent="0.25">
      <c r="A1035" s="24">
        <f>CADASTROS!$B$875</f>
        <v>873</v>
      </c>
      <c r="B1035" s="15" t="str">
        <f>CADASTROS!$C$875</f>
        <v>Maria Betânia S. de Oliveira</v>
      </c>
      <c r="C1035" s="25"/>
      <c r="D1035" s="35">
        <f>PLANILHA_COLHEITA_DIÁRIA!$I$1388</f>
        <v>84</v>
      </c>
      <c r="E1035" s="17">
        <v>6</v>
      </c>
      <c r="F1035" s="26" t="str">
        <f>CADASTROS!$E$875</f>
        <v>Bradesco</v>
      </c>
      <c r="G1035" s="24">
        <f>CADASTROS!$F$875</f>
        <v>3862</v>
      </c>
      <c r="H1035" s="26">
        <f>CADASTROS!$G$875</f>
        <v>0</v>
      </c>
      <c r="I1035" s="16" t="str">
        <f>CADASTROS!$H$875</f>
        <v>403935-1</v>
      </c>
      <c r="J1035" s="18">
        <f t="shared" ref="J1035" si="41">D1035*E1035</f>
        <v>504</v>
      </c>
    </row>
    <row r="1036" spans="1:10" ht="15.75" x14ac:dyDescent="0.25">
      <c r="A1036" s="24">
        <f>CADASTROS!$B$876</f>
        <v>874</v>
      </c>
      <c r="B1036" s="15" t="str">
        <f>CADASTROS!$C$876</f>
        <v>Luciane da Silva Nunes</v>
      </c>
      <c r="C1036" s="25"/>
      <c r="D1036" s="41">
        <f>PLANILHA_COLHEITA_DIÁRIA!$I$1389</f>
        <v>31.5</v>
      </c>
      <c r="E1036" s="17">
        <v>6</v>
      </c>
      <c r="F1036" s="26" t="str">
        <f>CADASTROS!$E$876</f>
        <v>Cx. Econômica</v>
      </c>
      <c r="G1036" s="24">
        <f>CADASTROS!$F$876</f>
        <v>949</v>
      </c>
      <c r="H1036" s="26">
        <f>CADASTROS!$G$876</f>
        <v>23</v>
      </c>
      <c r="I1036" s="16" t="str">
        <f>CADASTROS!$H$876</f>
        <v>00028234-0</v>
      </c>
      <c r="J1036" s="18">
        <f t="shared" si="40"/>
        <v>189</v>
      </c>
    </row>
    <row r="1037" spans="1:10" ht="15.75" x14ac:dyDescent="0.25">
      <c r="A1037" s="24">
        <f>CADASTROS!$B$877</f>
        <v>875</v>
      </c>
      <c r="B1037" s="15" t="str">
        <f>CADASTROS!$C$877</f>
        <v>Manoel Messias de Jesus</v>
      </c>
      <c r="C1037" s="25"/>
      <c r="D1037" s="41">
        <f>PLANILHA_COLHEITA_DIÁRIA!$I$1390</f>
        <v>0</v>
      </c>
      <c r="E1037" s="17">
        <v>6</v>
      </c>
      <c r="F1037" s="26" t="str">
        <f>CADASTROS!$E$877</f>
        <v>Cx. Econômica</v>
      </c>
      <c r="G1037" s="24">
        <f>CADASTROS!$F$877</f>
        <v>4825</v>
      </c>
      <c r="H1037" s="26">
        <f>CADASTROS!$G$877</f>
        <v>13</v>
      </c>
      <c r="I1037" s="16" t="str">
        <f>CADASTROS!$H$877</f>
        <v>00011284-2</v>
      </c>
      <c r="J1037" s="18">
        <f t="shared" si="40"/>
        <v>0</v>
      </c>
    </row>
    <row r="1038" spans="1:10" ht="15.75" x14ac:dyDescent="0.25">
      <c r="A1038" s="24">
        <f>CADASTROS!$B$878</f>
        <v>876</v>
      </c>
      <c r="B1038" s="15" t="str">
        <f>CADASTROS!$C$878</f>
        <v>Laiane Santos de Souza</v>
      </c>
      <c r="C1038" s="25"/>
      <c r="D1038" s="52">
        <f>PLANILHA_COLHEITA_DIÁRIA!$I$1391</f>
        <v>0</v>
      </c>
      <c r="E1038" s="17">
        <v>6</v>
      </c>
      <c r="F1038" s="26" t="str">
        <f>CADASTROS!$E$878</f>
        <v>Banco do Brasil</v>
      </c>
      <c r="G1038" s="24" t="str">
        <f>CADASTROS!$F$878</f>
        <v>2760-x</v>
      </c>
      <c r="H1038" s="26" t="str">
        <f>CADASTROS!$G$878</f>
        <v>poup</v>
      </c>
      <c r="I1038" s="16" t="str">
        <f>CADASTROS!$H$878</f>
        <v>19.801-3</v>
      </c>
      <c r="J1038" s="18">
        <f t="shared" si="40"/>
        <v>0</v>
      </c>
    </row>
    <row r="1039" spans="1:10" ht="15.75" x14ac:dyDescent="0.25">
      <c r="A1039" s="24">
        <f>CADASTROS!$B$879</f>
        <v>877</v>
      </c>
      <c r="B1039" s="15" t="str">
        <f>CADASTROS!$C$879</f>
        <v>Luzineide Pires de Souza</v>
      </c>
      <c r="C1039" s="25"/>
      <c r="D1039" s="52">
        <f>PLANILHA_COLHEITA_DIÁRIA!$I$1392</f>
        <v>0</v>
      </c>
      <c r="E1039" s="17">
        <v>6</v>
      </c>
      <c r="F1039" s="26" t="str">
        <f>CADASTROS!$E$879</f>
        <v>Cx. Econômica</v>
      </c>
      <c r="G1039" s="24">
        <f>CADASTROS!$F$879</f>
        <v>949</v>
      </c>
      <c r="H1039" s="26">
        <f>CADASTROS!$G$879</f>
        <v>23</v>
      </c>
      <c r="I1039" s="16" t="str">
        <f>CADASTROS!$H$879</f>
        <v>00028208-0</v>
      </c>
      <c r="J1039" s="18">
        <f t="shared" si="40"/>
        <v>0</v>
      </c>
    </row>
    <row r="1040" spans="1:10" ht="15.75" x14ac:dyDescent="0.25">
      <c r="A1040" s="24">
        <f>CADASTROS!$B$880</f>
        <v>878</v>
      </c>
      <c r="B1040" s="15" t="str">
        <f>CADASTROS!$C$880</f>
        <v>Hercules P dos Santos</v>
      </c>
      <c r="C1040" s="25"/>
      <c r="D1040" s="35">
        <f>PLANILHA_COLHEITA_DIÁRIA!$I$1393</f>
        <v>0</v>
      </c>
      <c r="E1040" s="17">
        <v>6</v>
      </c>
      <c r="F1040" s="26" t="str">
        <f>CADASTROS!$E$880</f>
        <v>Cx. Econômica</v>
      </c>
      <c r="G1040" s="24">
        <f>CADASTROS!$F$880</f>
        <v>4818</v>
      </c>
      <c r="H1040" s="26">
        <f>CADASTROS!$G$880</f>
        <v>13</v>
      </c>
      <c r="I1040" s="16" t="str">
        <f>CADASTROS!$H$880</f>
        <v>00009403-0</v>
      </c>
      <c r="J1040" s="18">
        <f t="shared" si="40"/>
        <v>0</v>
      </c>
    </row>
    <row r="1041" spans="1:10" ht="15.75" x14ac:dyDescent="0.25">
      <c r="A1041" s="24">
        <f>CADASTROS!$B$881</f>
        <v>879</v>
      </c>
      <c r="B1041" s="15" t="str">
        <f>CADASTROS!$C$881</f>
        <v>Morivaldo S do Nascimento</v>
      </c>
      <c r="C1041" s="25"/>
      <c r="D1041" s="52">
        <f>PLANILHA_COLHEITA_DIÁRIA!$I$1394</f>
        <v>0</v>
      </c>
      <c r="E1041" s="17">
        <v>6</v>
      </c>
      <c r="F1041" s="26" t="str">
        <f>CADASTROS!$E$881</f>
        <v>Cx. Econômica</v>
      </c>
      <c r="G1041" s="24">
        <f>CADASTROS!$F$881</f>
        <v>4818</v>
      </c>
      <c r="H1041" s="26">
        <f>CADASTROS!$G$881</f>
        <v>13</v>
      </c>
      <c r="I1041" s="16" t="str">
        <f>CADASTROS!$H$881</f>
        <v>00011444-8</v>
      </c>
      <c r="J1041" s="18">
        <f t="shared" si="40"/>
        <v>0</v>
      </c>
    </row>
    <row r="1042" spans="1:10" ht="15.75" x14ac:dyDescent="0.25">
      <c r="A1042" s="24">
        <f>CADASTROS!$B$882</f>
        <v>880</v>
      </c>
      <c r="B1042" s="15" t="str">
        <f>CADASTROS!$C$882</f>
        <v>Mariene da Silva</v>
      </c>
      <c r="C1042" s="25"/>
      <c r="D1042" s="41">
        <f>PLANILHA_COLHEITA_DIÁRIA!$I$1395</f>
        <v>0</v>
      </c>
      <c r="E1042" s="17">
        <v>6</v>
      </c>
      <c r="F1042" s="26" t="str">
        <f>CADASTROS!$E$882</f>
        <v>Cx. Econômica</v>
      </c>
      <c r="G1042" s="24">
        <f>CADASTROS!$F$882</f>
        <v>4825</v>
      </c>
      <c r="H1042" s="26">
        <f>CADASTROS!$G$882</f>
        <v>13</v>
      </c>
      <c r="I1042" s="16" t="str">
        <f>CADASTROS!$H$882</f>
        <v>00001365-8</v>
      </c>
      <c r="J1042" s="18">
        <f t="shared" si="40"/>
        <v>0</v>
      </c>
    </row>
    <row r="1043" spans="1:10" ht="15.75" x14ac:dyDescent="0.25">
      <c r="A1043" s="24">
        <f>CADASTROS!$B$883</f>
        <v>881</v>
      </c>
      <c r="B1043" s="15" t="str">
        <f>CADASTROS!$C$883</f>
        <v>Abinailton Oliveira Costa</v>
      </c>
      <c r="C1043" s="25"/>
      <c r="D1043" s="35">
        <f>PLANILHA_COLHEITA_DIÁRIA!$I$1396</f>
        <v>0</v>
      </c>
      <c r="E1043" s="17">
        <v>6</v>
      </c>
      <c r="F1043" s="26" t="str">
        <f>CADASTROS!$E$883</f>
        <v>Cx. Econômica</v>
      </c>
      <c r="G1043" s="24">
        <f>CADASTROS!$F$883</f>
        <v>4818</v>
      </c>
      <c r="H1043" s="26">
        <f>CADASTROS!$G$883</f>
        <v>13</v>
      </c>
      <c r="I1043" s="16" t="str">
        <f>CADASTROS!$H$883</f>
        <v>00007448-9</v>
      </c>
      <c r="J1043" s="18">
        <f t="shared" si="40"/>
        <v>0</v>
      </c>
    </row>
    <row r="1044" spans="1:10" ht="15.75" x14ac:dyDescent="0.25">
      <c r="A1044" s="24">
        <f>CADASTROS!$B$884</f>
        <v>882</v>
      </c>
      <c r="B1044" s="15" t="str">
        <f>CADASTROS!$C$884</f>
        <v>Leo Allive O. Martins</v>
      </c>
      <c r="C1044" s="25"/>
      <c r="D1044" s="35">
        <f>PLANILHA_COLHEITA_DIÁRIA!$I$1397</f>
        <v>0</v>
      </c>
      <c r="E1044" s="17">
        <v>6</v>
      </c>
      <c r="F1044" s="26" t="str">
        <f>CADASTROS!$E$884</f>
        <v>Cx. Econômica</v>
      </c>
      <c r="G1044" s="24">
        <f>CADASTROS!$F$884</f>
        <v>4825</v>
      </c>
      <c r="H1044" s="26">
        <f>CADASTROS!$G$884</f>
        <v>13</v>
      </c>
      <c r="I1044" s="16" t="str">
        <f>CADASTROS!$H$884</f>
        <v>00020605-7</v>
      </c>
      <c r="J1044" s="18">
        <f t="shared" si="40"/>
        <v>0</v>
      </c>
    </row>
    <row r="1045" spans="1:10" ht="15.75" x14ac:dyDescent="0.25">
      <c r="A1045" s="24">
        <f>CADASTROS!$B$885</f>
        <v>883</v>
      </c>
      <c r="B1045" s="15" t="str">
        <f>CADASTROS!$C$885</f>
        <v>Gersonilson de Jesus Brito</v>
      </c>
      <c r="C1045" s="25"/>
      <c r="D1045" s="35">
        <f>PLANILHA_COLHEITA_DIÁRIA!$I$1398</f>
        <v>0</v>
      </c>
      <c r="E1045" s="17">
        <v>6</v>
      </c>
      <c r="F1045" s="26" t="str">
        <f>CADASTROS!$E$885</f>
        <v>Banco do Brasil</v>
      </c>
      <c r="G1045" s="24" t="str">
        <f>CADASTROS!$F$885</f>
        <v>2760-X</v>
      </c>
      <c r="H1045" s="26" t="str">
        <f>CADASTROS!$G$885</f>
        <v>poup</v>
      </c>
      <c r="I1045" s="16" t="str">
        <f>CADASTROS!$H$885</f>
        <v>11.160-0</v>
      </c>
      <c r="J1045" s="18">
        <f t="shared" si="40"/>
        <v>0</v>
      </c>
    </row>
    <row r="1046" spans="1:10" ht="15.75" x14ac:dyDescent="0.25">
      <c r="A1046" s="24">
        <f>CADASTROS!$B$886</f>
        <v>884</v>
      </c>
      <c r="B1046" s="15" t="str">
        <f>CADASTROS!$C$886</f>
        <v>Maria José Silva de Oliveira</v>
      </c>
      <c r="C1046" s="25"/>
      <c r="D1046" s="35">
        <f>PLANILHA_COLHEITA_DIÁRIA!$I$1399</f>
        <v>0</v>
      </c>
      <c r="E1046" s="17">
        <v>6</v>
      </c>
      <c r="F1046" s="26" t="str">
        <f>CADASTROS!$E$886</f>
        <v>Cx. Econômica</v>
      </c>
      <c r="G1046" s="24">
        <f>CADASTROS!$F$886</f>
        <v>4818</v>
      </c>
      <c r="H1046" s="26">
        <f>CADASTROS!$G$886</f>
        <v>13</v>
      </c>
      <c r="I1046" s="16" t="str">
        <f>CADASTROS!$H$886</f>
        <v>00012655-1</v>
      </c>
      <c r="J1046" s="18">
        <f t="shared" si="40"/>
        <v>0</v>
      </c>
    </row>
    <row r="1047" spans="1:10" ht="15.75" x14ac:dyDescent="0.25">
      <c r="A1047" s="24">
        <f>CADASTROS!$B$887</f>
        <v>885</v>
      </c>
      <c r="B1047" s="15" t="str">
        <f>CADASTROS!$C$887</f>
        <v>Luiz Carlos S. Soares</v>
      </c>
      <c r="C1047" s="25"/>
      <c r="D1047" s="35">
        <f>PLANILHA_COLHEITA_DIÁRIA!$I$1400</f>
        <v>59.5</v>
      </c>
      <c r="E1047" s="17">
        <v>6</v>
      </c>
      <c r="F1047" s="26" t="str">
        <f>CADASTROS!$E$887</f>
        <v>Cx. Econômica</v>
      </c>
      <c r="G1047" s="24">
        <f>CADASTROS!$F$887</f>
        <v>4818</v>
      </c>
      <c r="H1047" s="26">
        <f>CADASTROS!$G$887</f>
        <v>13</v>
      </c>
      <c r="I1047" s="16" t="str">
        <f>CADASTROS!$H$887</f>
        <v>00011822-2</v>
      </c>
      <c r="J1047" s="18">
        <f t="shared" si="40"/>
        <v>357</v>
      </c>
    </row>
    <row r="1048" spans="1:10" ht="15.75" x14ac:dyDescent="0.25">
      <c r="A1048" s="24">
        <f>CADASTROS!$B$888</f>
        <v>886</v>
      </c>
      <c r="B1048" s="15" t="str">
        <f>CADASTROS!$C$888</f>
        <v>Franciele dos Santos Soares</v>
      </c>
      <c r="C1048" s="25"/>
      <c r="D1048" s="35">
        <f>PLANILHA_COLHEITA_DIÁRIA!$I$1413</f>
        <v>83.5</v>
      </c>
      <c r="E1048" s="17">
        <v>6</v>
      </c>
      <c r="F1048" s="26" t="str">
        <f>CADASTROS!$E$888</f>
        <v>Cx. Econômica</v>
      </c>
      <c r="G1048" s="24">
        <f>CADASTROS!$F$888</f>
        <v>2162</v>
      </c>
      <c r="H1048" s="26">
        <f>CADASTROS!$G$888</f>
        <v>13</v>
      </c>
      <c r="I1048" s="16" t="str">
        <f>CADASTROS!$H$888</f>
        <v>00021096-9</v>
      </c>
      <c r="J1048" s="18">
        <f t="shared" si="40"/>
        <v>501</v>
      </c>
    </row>
    <row r="1049" spans="1:10" ht="15.75" x14ac:dyDescent="0.25">
      <c r="A1049" s="24">
        <f>CADASTROS!$B$889</f>
        <v>887</v>
      </c>
      <c r="B1049" s="15" t="str">
        <f>CADASTROS!$C$889</f>
        <v>Vera Santos da Paixão</v>
      </c>
      <c r="C1049" s="25"/>
      <c r="D1049" s="52">
        <f>PLANILHA_COLHEITA_DIÁRIA!$I$1414</f>
        <v>0</v>
      </c>
      <c r="E1049" s="17">
        <v>6</v>
      </c>
      <c r="F1049" s="26" t="str">
        <f>CADASTROS!$E$889</f>
        <v>Cx. Econômica</v>
      </c>
      <c r="G1049" s="24">
        <f>CADASTROS!$F$889</f>
        <v>949</v>
      </c>
      <c r="H1049" s="26">
        <f>CADASTROS!$G$889</f>
        <v>0</v>
      </c>
      <c r="I1049" s="16" t="str">
        <f>CADASTROS!$H$889</f>
        <v>000832550289-2</v>
      </c>
      <c r="J1049" s="18">
        <f t="shared" si="40"/>
        <v>0</v>
      </c>
    </row>
    <row r="1050" spans="1:10" ht="15.75" x14ac:dyDescent="0.25">
      <c r="A1050" s="24">
        <f>CADASTROS!$B$890</f>
        <v>888</v>
      </c>
      <c r="B1050" s="15" t="str">
        <f>CADASTROS!$C$890</f>
        <v>Ediandro Fideles de Souza</v>
      </c>
      <c r="C1050" s="25"/>
      <c r="D1050" s="35">
        <f>PLANILHA_COLHEITA_DIÁRIA!$I$1415</f>
        <v>0</v>
      </c>
      <c r="E1050" s="17">
        <v>6</v>
      </c>
      <c r="F1050" s="26" t="str">
        <f>CADASTROS!$E$890</f>
        <v>Cx. Econômica</v>
      </c>
      <c r="G1050" s="24">
        <f>CADASTROS!$F$890</f>
        <v>4601</v>
      </c>
      <c r="H1050" s="26">
        <f>CADASTROS!$G$890</f>
        <v>13</v>
      </c>
      <c r="I1050" s="16" t="str">
        <f>CADASTROS!$H$890</f>
        <v>00008773-4</v>
      </c>
      <c r="J1050" s="18">
        <f t="shared" si="40"/>
        <v>0</v>
      </c>
    </row>
    <row r="1051" spans="1:10" ht="15.75" x14ac:dyDescent="0.25">
      <c r="A1051" s="24">
        <f>CADASTROS!$B$891</f>
        <v>889</v>
      </c>
      <c r="B1051" s="15" t="str">
        <f>CADASTROS!$C$891</f>
        <v>Ednalva de Jesus Santos</v>
      </c>
      <c r="C1051" s="25"/>
      <c r="D1051" s="52">
        <f>PLANILHA_COLHEITA_DIÁRIA!$I$1416</f>
        <v>90.5</v>
      </c>
      <c r="E1051" s="17">
        <v>6</v>
      </c>
      <c r="F1051" s="26" t="str">
        <f>CADASTROS!$E$891</f>
        <v>Cx. Econômica</v>
      </c>
      <c r="G1051" s="24">
        <f>CADASTROS!$F$891</f>
        <v>949</v>
      </c>
      <c r="H1051" s="26">
        <f>CADASTROS!$G$891</f>
        <v>23</v>
      </c>
      <c r="I1051" s="16" t="str">
        <f>CADASTROS!$H$891</f>
        <v>00020668-6</v>
      </c>
      <c r="J1051" s="18">
        <f t="shared" si="40"/>
        <v>543</v>
      </c>
    </row>
    <row r="1052" spans="1:10" ht="15.75" x14ac:dyDescent="0.25">
      <c r="A1052" s="24">
        <f>CADASTROS!$B$892</f>
        <v>890</v>
      </c>
      <c r="B1052" s="15" t="str">
        <f>CADASTROS!$C$892</f>
        <v>Rozalia Pereira da Silva</v>
      </c>
      <c r="C1052" s="25"/>
      <c r="D1052" s="52">
        <f>PLANILHA_COLHEITA_DIÁRIA!$I$1417</f>
        <v>0</v>
      </c>
      <c r="E1052" s="17">
        <v>6</v>
      </c>
      <c r="F1052" s="26" t="str">
        <f>CADASTROS!$E$892</f>
        <v>Cx. Econômica</v>
      </c>
      <c r="G1052" s="24">
        <f>CADASTROS!$F$892</f>
        <v>4818</v>
      </c>
      <c r="H1052" s="26">
        <f>CADASTROS!$G$892</f>
        <v>0</v>
      </c>
      <c r="I1052" s="16" t="str">
        <f>CADASTROS!$H$892</f>
        <v>000858061972-4</v>
      </c>
      <c r="J1052" s="18">
        <f t="shared" si="40"/>
        <v>0</v>
      </c>
    </row>
    <row r="1053" spans="1:10" ht="15.75" x14ac:dyDescent="0.25">
      <c r="A1053" s="24">
        <f>CADASTROS!$B$893</f>
        <v>891</v>
      </c>
      <c r="B1053" s="15" t="str">
        <f>CADASTROS!$C$893</f>
        <v>Sérgio Santos Silva</v>
      </c>
      <c r="C1053" s="25"/>
      <c r="D1053" s="35">
        <f>PLANILHA_COLHEITA_DIÁRIA!$I$1418</f>
        <v>73</v>
      </c>
      <c r="E1053" s="17">
        <v>6</v>
      </c>
      <c r="F1053" s="26" t="str">
        <f>CADASTROS!$E$893</f>
        <v>Banco do Brasil</v>
      </c>
      <c r="G1053" s="24" t="str">
        <f>CADASTROS!$F$893</f>
        <v>2760-X</v>
      </c>
      <c r="H1053" s="26" t="str">
        <f>CADASTROS!$G$893</f>
        <v>poup</v>
      </c>
      <c r="I1053" s="16" t="str">
        <f>CADASTROS!$H$893</f>
        <v>12.698-5</v>
      </c>
      <c r="J1053" s="18">
        <f t="shared" si="40"/>
        <v>438</v>
      </c>
    </row>
    <row r="1054" spans="1:10" ht="15.75" x14ac:dyDescent="0.25">
      <c r="A1054" s="24">
        <f>CADASTROS!$B$894</f>
        <v>892</v>
      </c>
      <c r="B1054" s="15" t="str">
        <f>CADASTROS!$C$894</f>
        <v>Silvana dos Santos Araújo</v>
      </c>
      <c r="C1054" s="25"/>
      <c r="D1054" s="35">
        <f>PLANILHA_COLHEITA_DIÁRIA!$I$1419</f>
        <v>0</v>
      </c>
      <c r="E1054" s="17">
        <v>6</v>
      </c>
      <c r="F1054" s="26" t="str">
        <f>CADASTROS!$E$894</f>
        <v>Cx. Econômica</v>
      </c>
      <c r="G1054" s="24">
        <f>CADASTROS!$F$894</f>
        <v>4818</v>
      </c>
      <c r="H1054" s="26">
        <f>CADASTROS!$G$894</f>
        <v>13</v>
      </c>
      <c r="I1054" s="16" t="str">
        <f>CADASTROS!$H$894</f>
        <v>00011632-7</v>
      </c>
      <c r="J1054" s="18">
        <f t="shared" si="40"/>
        <v>0</v>
      </c>
    </row>
    <row r="1055" spans="1:10" ht="15.75" x14ac:dyDescent="0.25">
      <c r="A1055" s="24">
        <f>CADASTROS!$B$895</f>
        <v>893</v>
      </c>
      <c r="B1055" s="15" t="str">
        <f>CADASTROS!$C$895</f>
        <v>Lucivânia da Silva Moura</v>
      </c>
      <c r="C1055" s="25"/>
      <c r="D1055" s="35">
        <f>PLANILHA_COLHEITA_DIÁRIA!$I$1420</f>
        <v>225</v>
      </c>
      <c r="E1055" s="17">
        <v>6</v>
      </c>
      <c r="F1055" s="26" t="str">
        <f>CADASTROS!$E$895</f>
        <v>Cx. Econômica</v>
      </c>
      <c r="G1055" s="24">
        <f>CADASTROS!$F$895</f>
        <v>4818</v>
      </c>
      <c r="H1055" s="26">
        <f>CADASTROS!$G$895</f>
        <v>13</v>
      </c>
      <c r="I1055" s="16" t="str">
        <f>CADASTROS!$H$895</f>
        <v>00010285-7</v>
      </c>
      <c r="J1055" s="18">
        <f t="shared" si="40"/>
        <v>1350</v>
      </c>
    </row>
    <row r="1056" spans="1:10" ht="15.75" x14ac:dyDescent="0.25">
      <c r="A1056" s="24">
        <f>CADASTROS!$B$896</f>
        <v>894</v>
      </c>
      <c r="B1056" s="15" t="str">
        <f>CADASTROS!$C$896</f>
        <v>Valdirene Andrade de Brito</v>
      </c>
      <c r="C1056" s="25"/>
      <c r="D1056" s="52">
        <f>PLANILHA_COLHEITA_DIÁRIA!$I$1421</f>
        <v>50.5</v>
      </c>
      <c r="E1056" s="17">
        <v>6</v>
      </c>
      <c r="F1056" s="26" t="str">
        <f>CADASTROS!$E$896</f>
        <v>Cx. Econômica</v>
      </c>
      <c r="G1056" s="24">
        <f>CADASTROS!$F$896</f>
        <v>949</v>
      </c>
      <c r="H1056" s="26">
        <f>CADASTROS!$G$896</f>
        <v>23</v>
      </c>
      <c r="I1056" s="16" t="str">
        <f>CADASTROS!$H$896</f>
        <v>00008583-8</v>
      </c>
      <c r="J1056" s="18">
        <f t="shared" si="40"/>
        <v>303</v>
      </c>
    </row>
    <row r="1057" spans="1:10" ht="15.75" x14ac:dyDescent="0.25">
      <c r="A1057" s="24">
        <f>CADASTROS!$B$897</f>
        <v>895</v>
      </c>
      <c r="B1057" s="15" t="str">
        <f>CADASTROS!$C$897</f>
        <v>Rita de Cássia de Souza</v>
      </c>
      <c r="C1057" s="25"/>
      <c r="D1057" s="35">
        <f>PLANILHA_COLHEITA_DIÁRIA!$I$1422</f>
        <v>0</v>
      </c>
      <c r="E1057" s="17">
        <v>6</v>
      </c>
      <c r="F1057" s="26" t="str">
        <f>CADASTROS!$E$897</f>
        <v>Cx. Econômica</v>
      </c>
      <c r="G1057" s="24">
        <f>CADASTROS!$F$897</f>
        <v>949</v>
      </c>
      <c r="H1057" s="26">
        <f>CADASTROS!$G$897</f>
        <v>13</v>
      </c>
      <c r="I1057" s="16" t="str">
        <f>CADASTROS!$H$897</f>
        <v>00007235-3</v>
      </c>
      <c r="J1057" s="18">
        <f t="shared" si="40"/>
        <v>0</v>
      </c>
    </row>
    <row r="1058" spans="1:10" ht="15.75" x14ac:dyDescent="0.25">
      <c r="A1058" s="24">
        <f>CADASTROS!$B$898</f>
        <v>896</v>
      </c>
      <c r="B1058" s="15" t="str">
        <f>CADASTROS!$C$898</f>
        <v>Joselito Ferreira Silva</v>
      </c>
      <c r="C1058" s="25"/>
      <c r="D1058" s="52">
        <f>PLANILHA_COLHEITA_DIÁRIA!$I$1423</f>
        <v>0</v>
      </c>
      <c r="E1058" s="17">
        <v>6</v>
      </c>
      <c r="F1058" s="26" t="str">
        <f>CADASTROS!$E$898</f>
        <v>Cx. Econômica</v>
      </c>
      <c r="G1058" s="24">
        <f>CADASTROS!$F$898</f>
        <v>780</v>
      </c>
      <c r="H1058" s="26">
        <f>CADASTROS!$G$898</f>
        <v>23</v>
      </c>
      <c r="I1058" s="16" t="str">
        <f>CADASTROS!$H$898</f>
        <v>00022328-0</v>
      </c>
      <c r="J1058" s="18">
        <f t="shared" si="40"/>
        <v>0</v>
      </c>
    </row>
    <row r="1059" spans="1:10" ht="15.75" x14ac:dyDescent="0.25">
      <c r="A1059" s="24">
        <f>CADASTROS!$B$899</f>
        <v>897</v>
      </c>
      <c r="B1059" s="15" t="str">
        <f>CADASTROS!$C$899</f>
        <v>Gilvan de Jesus</v>
      </c>
      <c r="C1059" s="25"/>
      <c r="D1059" s="52">
        <f>PLANILHA_COLHEITA_DIÁRIA!$I$1424</f>
        <v>0</v>
      </c>
      <c r="E1059" s="17">
        <v>6</v>
      </c>
      <c r="F1059" s="26" t="str">
        <f>CADASTROS!$E$899</f>
        <v>Cx. Econômica</v>
      </c>
      <c r="G1059" s="24">
        <f>CADASTROS!$F$899</f>
        <v>4818</v>
      </c>
      <c r="H1059" s="26">
        <f>CADASTROS!$G$899</f>
        <v>13</v>
      </c>
      <c r="I1059" s="16" t="str">
        <f>CADASTROS!$H$899</f>
        <v>00003217-4</v>
      </c>
      <c r="J1059" s="18">
        <f t="shared" si="40"/>
        <v>0</v>
      </c>
    </row>
    <row r="1060" spans="1:10" ht="15.75" x14ac:dyDescent="0.25">
      <c r="A1060" s="24">
        <f>CADASTROS!$B$900</f>
        <v>898</v>
      </c>
      <c r="B1060" s="15" t="str">
        <f>CADASTROS!$C$900</f>
        <v>Carlos Cruz Almeida</v>
      </c>
      <c r="C1060" s="25"/>
      <c r="D1060" s="35">
        <f>PLANILHA_COLHEITA_DIÁRIA!$I$1425</f>
        <v>0</v>
      </c>
      <c r="E1060" s="17">
        <v>6</v>
      </c>
      <c r="F1060" s="26" t="str">
        <f>CADASTROS!$E$900</f>
        <v>Cx. Econômica</v>
      </c>
      <c r="G1060" s="24">
        <f>CADASTROS!$F$900</f>
        <v>4818</v>
      </c>
      <c r="H1060" s="26">
        <f>CADASTROS!$G$900</f>
        <v>13</v>
      </c>
      <c r="I1060" s="16" t="str">
        <f>CADASTROS!$H$900</f>
        <v>00011769-2</v>
      </c>
      <c r="J1060" s="18">
        <f t="shared" si="40"/>
        <v>0</v>
      </c>
    </row>
    <row r="1061" spans="1:10" ht="15.75" x14ac:dyDescent="0.25">
      <c r="A1061" s="24">
        <f>CADASTROS!$B$901</f>
        <v>899</v>
      </c>
      <c r="B1061" s="15" t="str">
        <f>CADASTROS!$C$901</f>
        <v>Sandro Silva de Jesus</v>
      </c>
      <c r="C1061" s="25"/>
      <c r="D1061" s="52">
        <f>PLANILHA_COLHEITA_DIÁRIA!$I$1426</f>
        <v>0</v>
      </c>
      <c r="E1061" s="17">
        <v>6</v>
      </c>
      <c r="F1061" s="26" t="str">
        <f>CADASTROS!$E$901</f>
        <v>Cx. Econômica</v>
      </c>
      <c r="G1061" s="24">
        <f>CADASTROS!$F$901</f>
        <v>4818</v>
      </c>
      <c r="H1061" s="26">
        <f>CADASTROS!$G$901</f>
        <v>13</v>
      </c>
      <c r="I1061" s="16" t="str">
        <f>CADASTROS!$H$901</f>
        <v>00005934-0</v>
      </c>
      <c r="J1061" s="18">
        <f t="shared" si="40"/>
        <v>0</v>
      </c>
    </row>
    <row r="1062" spans="1:10" ht="15.75" x14ac:dyDescent="0.25">
      <c r="B1062" s="220"/>
      <c r="C1062" s="220"/>
      <c r="D1062" s="12">
        <f>SUM(D1017:D1061)</f>
        <v>906</v>
      </c>
      <c r="E1062" s="12"/>
      <c r="F1062" s="162"/>
      <c r="G1062" s="163"/>
      <c r="H1062" s="163"/>
      <c r="I1062" s="164"/>
      <c r="J1062" s="14">
        <f>SUM(J1017:J1061)</f>
        <v>5436</v>
      </c>
    </row>
    <row r="1064" spans="1:10" ht="15.75" x14ac:dyDescent="0.25">
      <c r="A1064" s="213" t="s">
        <v>4816</v>
      </c>
      <c r="B1064" s="213"/>
      <c r="C1064" s="213"/>
      <c r="D1064" s="213"/>
      <c r="E1064" s="213"/>
      <c r="F1064" s="213"/>
      <c r="G1064" s="213"/>
      <c r="H1064" s="213"/>
      <c r="I1064" s="213"/>
      <c r="J1064" s="213"/>
    </row>
    <row r="1065" spans="1:10" ht="16.5" thickBot="1" x14ac:dyDescent="0.3">
      <c r="A1065" s="214" t="s">
        <v>4843</v>
      </c>
      <c r="B1065" s="214"/>
      <c r="C1065" s="214"/>
      <c r="D1065" s="214"/>
      <c r="E1065" s="214"/>
      <c r="F1065" s="214"/>
      <c r="G1065" s="214"/>
      <c r="H1065" s="214"/>
      <c r="I1065" s="214"/>
      <c r="J1065" s="214"/>
    </row>
    <row r="1066" spans="1:10" ht="17.25" thickTop="1" thickBot="1" x14ac:dyDescent="0.3">
      <c r="A1066" s="215" t="s">
        <v>4844</v>
      </c>
      <c r="B1066" s="215"/>
      <c r="C1066" s="215"/>
      <c r="D1066" s="215"/>
      <c r="E1066" s="215"/>
      <c r="F1066" s="215"/>
      <c r="G1066" s="215"/>
      <c r="H1066" s="215"/>
      <c r="I1066" s="215"/>
      <c r="J1066" s="215"/>
    </row>
    <row r="1067" spans="1:10" ht="18.600000000000001" customHeight="1" x14ac:dyDescent="0.25">
      <c r="A1067" s="19" t="s">
        <v>4846</v>
      </c>
      <c r="B1067" s="216" t="s">
        <v>1</v>
      </c>
      <c r="C1067" s="221" t="s">
        <v>2</v>
      </c>
      <c r="D1067" s="223" t="s">
        <v>4847</v>
      </c>
      <c r="E1067" s="20" t="s">
        <v>4848</v>
      </c>
      <c r="F1067" s="216" t="s">
        <v>3</v>
      </c>
      <c r="G1067" s="216" t="s">
        <v>4</v>
      </c>
      <c r="H1067" s="216" t="s">
        <v>5</v>
      </c>
      <c r="I1067" s="216" t="s">
        <v>6</v>
      </c>
      <c r="J1067" s="218" t="s">
        <v>4849</v>
      </c>
    </row>
    <row r="1068" spans="1:10" ht="19.5" customHeight="1" thickBot="1" x14ac:dyDescent="0.3">
      <c r="A1068" s="21" t="s">
        <v>4850</v>
      </c>
      <c r="B1068" s="217"/>
      <c r="C1068" s="222"/>
      <c r="D1068" s="224"/>
      <c r="E1068" s="161" t="s">
        <v>4851</v>
      </c>
      <c r="F1068" s="217"/>
      <c r="G1068" s="217"/>
      <c r="H1068" s="217"/>
      <c r="I1068" s="217"/>
      <c r="J1068" s="219"/>
    </row>
    <row r="1069" spans="1:10" ht="15.75" x14ac:dyDescent="0.25">
      <c r="A1069" s="24">
        <f>CADASTROS!$B$902</f>
        <v>900</v>
      </c>
      <c r="B1069" s="15" t="str">
        <f>CADASTROS!$C$902</f>
        <v>Sandra Silva de Jesus</v>
      </c>
      <c r="C1069" s="25"/>
      <c r="D1069" s="52">
        <f>PLANILHA_COLHEITA_DIÁRIA!$I$1427</f>
        <v>0</v>
      </c>
      <c r="E1069" s="17">
        <v>6</v>
      </c>
      <c r="F1069" s="26" t="str">
        <f>CADASTROS!$E$902</f>
        <v>Cx. Econômica</v>
      </c>
      <c r="G1069" s="24">
        <f>CADASTROS!$F$902</f>
        <v>4818</v>
      </c>
      <c r="H1069" s="26">
        <f>CADASTROS!$G$902</f>
        <v>13</v>
      </c>
      <c r="I1069" s="16" t="str">
        <f>CADASTROS!$H$902</f>
        <v>00006008-9</v>
      </c>
      <c r="J1069" s="18">
        <f t="shared" ref="J1069:J1078" si="42">D1069*E1069</f>
        <v>0</v>
      </c>
    </row>
    <row r="1070" spans="1:10" ht="15.75" x14ac:dyDescent="0.25">
      <c r="A1070" s="24">
        <f>CADASTROS!$B$903</f>
        <v>901</v>
      </c>
      <c r="B1070" s="15" t="str">
        <f>CADASTROS!$C$903</f>
        <v>Vanilton da Silva Oliveira</v>
      </c>
      <c r="C1070" s="25"/>
      <c r="D1070" s="35">
        <f>PLANILHA_COLHEITA_DIÁRIA!$I$1428</f>
        <v>0</v>
      </c>
      <c r="E1070" s="17">
        <v>6</v>
      </c>
      <c r="F1070" s="26" t="str">
        <f>CADASTROS!$E$903</f>
        <v>Cx. Econômica</v>
      </c>
      <c r="G1070" s="24">
        <f>CADASTROS!$F$903</f>
        <v>4081</v>
      </c>
      <c r="H1070" s="26">
        <f>CADASTROS!$G$903</f>
        <v>13</v>
      </c>
      <c r="I1070" s="16" t="str">
        <f>CADASTROS!$H$903</f>
        <v>00018706-7</v>
      </c>
      <c r="J1070" s="18">
        <f t="shared" si="42"/>
        <v>0</v>
      </c>
    </row>
    <row r="1071" spans="1:10" ht="15.75" x14ac:dyDescent="0.25">
      <c r="A1071" s="24">
        <f>CADASTROS!$B$904</f>
        <v>902</v>
      </c>
      <c r="B1071" s="15" t="str">
        <f>CADASTROS!$C$904</f>
        <v>Renaldo Santos Oliveira</v>
      </c>
      <c r="C1071" s="25"/>
      <c r="D1071" s="35">
        <f>PLANILHA_COLHEITA_DIÁRIA!$I$1429</f>
        <v>0</v>
      </c>
      <c r="E1071" s="17">
        <v>6</v>
      </c>
      <c r="F1071" s="26" t="str">
        <f>CADASTROS!$E$904</f>
        <v>Cx. Econômica</v>
      </c>
      <c r="G1071" s="24">
        <f>CADASTROS!$F$904</f>
        <v>4825</v>
      </c>
      <c r="H1071" s="26">
        <f>CADASTROS!$G$904</f>
        <v>13</v>
      </c>
      <c r="I1071" s="16" t="str">
        <f>CADASTROS!$H$904</f>
        <v>00005228-9</v>
      </c>
      <c r="J1071" s="18">
        <f t="shared" si="42"/>
        <v>0</v>
      </c>
    </row>
    <row r="1072" spans="1:10" ht="15.75" x14ac:dyDescent="0.25">
      <c r="A1072" s="24">
        <f>CADASTROS!$B$905</f>
        <v>903</v>
      </c>
      <c r="B1072" s="15" t="str">
        <f>CADASTROS!$C$905</f>
        <v>Eraine dos Santos Costa</v>
      </c>
      <c r="C1072" s="25"/>
      <c r="D1072" s="52">
        <f>PLANILHA_COLHEITA_DIÁRIA!$I$1430</f>
        <v>0</v>
      </c>
      <c r="E1072" s="17">
        <v>6</v>
      </c>
      <c r="F1072" s="26" t="str">
        <f>CADASTROS!$E$905</f>
        <v>Cx. Econômica</v>
      </c>
      <c r="G1072" s="24">
        <f>CADASTROS!$F$905</f>
        <v>4601</v>
      </c>
      <c r="H1072" s="26">
        <f>CADASTROS!$G$905</f>
        <v>13</v>
      </c>
      <c r="I1072" s="16" t="str">
        <f>CADASTROS!$H$905</f>
        <v>00006650-8</v>
      </c>
      <c r="J1072" s="18">
        <f t="shared" si="42"/>
        <v>0</v>
      </c>
    </row>
    <row r="1073" spans="1:10" ht="15.75" x14ac:dyDescent="0.25">
      <c r="A1073" s="24">
        <f>CADASTROS!$B$906</f>
        <v>904</v>
      </c>
      <c r="B1073" s="15" t="str">
        <f>CADASTROS!$C$906</f>
        <v>Gilvania Silva dos Santos</v>
      </c>
      <c r="C1073" s="25"/>
      <c r="D1073" s="35">
        <f>PLANILHA_COLHEITA_DIÁRIA!$I$1431</f>
        <v>0</v>
      </c>
      <c r="E1073" s="17">
        <v>6</v>
      </c>
      <c r="F1073" s="26" t="str">
        <f>CADASTROS!$E$906</f>
        <v>Cx. Econômica</v>
      </c>
      <c r="G1073" s="24">
        <f>CADASTROS!$F$906</f>
        <v>4825</v>
      </c>
      <c r="H1073" s="26">
        <f>CADASTROS!$G$906</f>
        <v>13</v>
      </c>
      <c r="I1073" s="16" t="str">
        <f>CADASTROS!$H$906</f>
        <v>00011242-7</v>
      </c>
      <c r="J1073" s="18">
        <f t="shared" si="42"/>
        <v>0</v>
      </c>
    </row>
    <row r="1074" spans="1:10" ht="15.75" x14ac:dyDescent="0.25">
      <c r="A1074" s="24">
        <f>CADASTROS!$B$907</f>
        <v>905</v>
      </c>
      <c r="B1074" s="15" t="str">
        <f>CADASTROS!$C$907</f>
        <v>Rosilene Souza de Jesus</v>
      </c>
      <c r="C1074" s="25"/>
      <c r="D1074" s="35">
        <f>PLANILHA_COLHEITA_DIÁRIA!$I$1432</f>
        <v>0</v>
      </c>
      <c r="E1074" s="17">
        <v>6</v>
      </c>
      <c r="F1074" s="26" t="str">
        <f>CADASTROS!$E$907</f>
        <v>Cx. Econômica</v>
      </c>
      <c r="G1074" s="24">
        <f>CADASTROS!$F$907</f>
        <v>780</v>
      </c>
      <c r="H1074" s="26">
        <f>CADASTROS!$G$907</f>
        <v>23</v>
      </c>
      <c r="I1074" s="16" t="str">
        <f>CADASTROS!$H$907</f>
        <v>00012299-9</v>
      </c>
      <c r="J1074" s="18">
        <f t="shared" si="42"/>
        <v>0</v>
      </c>
    </row>
    <row r="1075" spans="1:10" ht="15.75" x14ac:dyDescent="0.25">
      <c r="A1075" s="24">
        <f>CADASTROS!$B$908</f>
        <v>906</v>
      </c>
      <c r="B1075" s="15" t="str">
        <f>CADASTROS!$C$908</f>
        <v>Glécia Ribeiro de Souza</v>
      </c>
      <c r="C1075" s="25"/>
      <c r="D1075" s="35">
        <f>PLANILHA_COLHEITA_DIÁRIA!$I$1433</f>
        <v>0</v>
      </c>
      <c r="E1075" s="17">
        <v>6</v>
      </c>
      <c r="F1075" s="26" t="str">
        <f>CADASTROS!$E$908</f>
        <v>Bradesco</v>
      </c>
      <c r="G1075" s="24">
        <f>CADASTROS!$F$908</f>
        <v>3801</v>
      </c>
      <c r="H1075" s="26" t="str">
        <f>CADASTROS!$G$908</f>
        <v>poup</v>
      </c>
      <c r="I1075" s="16" t="str">
        <f>CADASTROS!$H$908</f>
        <v>1000005-1</v>
      </c>
      <c r="J1075" s="18">
        <f t="shared" si="42"/>
        <v>0</v>
      </c>
    </row>
    <row r="1076" spans="1:10" ht="15.75" x14ac:dyDescent="0.25">
      <c r="A1076" s="24">
        <f>CADASTROS!$B$909</f>
        <v>907</v>
      </c>
      <c r="B1076" s="15" t="str">
        <f>CADASTROS!$C$909</f>
        <v>Juliana Soares Santos</v>
      </c>
      <c r="C1076" s="25"/>
      <c r="D1076" s="35">
        <f>PLANILHA_COLHEITA_DIÁRIA!$I$1434</f>
        <v>0</v>
      </c>
      <c r="E1076" s="17">
        <v>6</v>
      </c>
      <c r="F1076" s="26" t="str">
        <f>CADASTROS!$E$909</f>
        <v>Cx. Econômica</v>
      </c>
      <c r="G1076" s="24">
        <f>CADASTROS!$F$909</f>
        <v>4818</v>
      </c>
      <c r="H1076" s="26">
        <f>CADASTROS!$G$909</f>
        <v>13</v>
      </c>
      <c r="I1076" s="16" t="str">
        <f>CADASTROS!$H$909</f>
        <v>00007298-2</v>
      </c>
      <c r="J1076" s="18">
        <f t="shared" si="42"/>
        <v>0</v>
      </c>
    </row>
    <row r="1077" spans="1:10" ht="15.75" x14ac:dyDescent="0.25">
      <c r="A1077" s="24">
        <f>CADASTROS!$B$910</f>
        <v>908</v>
      </c>
      <c r="B1077" s="15" t="str">
        <f>CADASTROS!$C$910</f>
        <v>Edvaldo Brito da Silva</v>
      </c>
      <c r="C1077" s="25"/>
      <c r="D1077" s="35">
        <f>PLANILHA_COLHEITA_DIÁRIA!$I$1435</f>
        <v>0</v>
      </c>
      <c r="E1077" s="17">
        <v>6</v>
      </c>
      <c r="F1077" s="26" t="str">
        <f>CADASTROS!$E$910</f>
        <v>Cx. Econômica</v>
      </c>
      <c r="G1077" s="24">
        <f>CADASTROS!$F$910</f>
        <v>3279</v>
      </c>
      <c r="H1077" s="26">
        <f>CADASTROS!$G$910</f>
        <v>13</v>
      </c>
      <c r="I1077" s="16" t="str">
        <f>CADASTROS!$H$910</f>
        <v>00032243-0</v>
      </c>
      <c r="J1077" s="18">
        <f t="shared" si="42"/>
        <v>0</v>
      </c>
    </row>
    <row r="1078" spans="1:10" ht="15.75" x14ac:dyDescent="0.25">
      <c r="A1078" s="24">
        <f>CADASTROS!$B$911</f>
        <v>909</v>
      </c>
      <c r="B1078" s="15" t="str">
        <f>CADASTROS!$C$911</f>
        <v>Luiz Carlos dos Santos Soares</v>
      </c>
      <c r="C1078" s="25"/>
      <c r="D1078" s="35">
        <f>PLANILHA_COLHEITA_DIÁRIA!$I$1436</f>
        <v>0</v>
      </c>
      <c r="E1078" s="17">
        <v>6</v>
      </c>
      <c r="F1078" s="26" t="str">
        <f>CADASTROS!$E$911</f>
        <v>Cx. Econômica</v>
      </c>
      <c r="G1078" s="24">
        <f>CADASTROS!$F$911</f>
        <v>4818</v>
      </c>
      <c r="H1078" s="26">
        <f>CADASTROS!$G$911</f>
        <v>13</v>
      </c>
      <c r="I1078" s="16" t="str">
        <f>CADASTROS!$H$911</f>
        <v>00012912-7</v>
      </c>
      <c r="J1078" s="18">
        <f t="shared" si="42"/>
        <v>0</v>
      </c>
    </row>
    <row r="1079" spans="1:10" ht="15.75" x14ac:dyDescent="0.25">
      <c r="A1079" s="24">
        <f>CADASTROS!$B$912</f>
        <v>910</v>
      </c>
      <c r="B1079" s="15" t="str">
        <f>CADASTROS!$C$912</f>
        <v>Eliene Cesar dos Santos</v>
      </c>
      <c r="C1079" s="25"/>
      <c r="D1079" s="52">
        <f>PLANILHA_COLHEITA_DIÁRIA!$I$1437</f>
        <v>0</v>
      </c>
      <c r="E1079" s="17">
        <v>6</v>
      </c>
      <c r="F1079" s="26" t="str">
        <f>CADASTROS!$E$912</f>
        <v>Cx. Econômica</v>
      </c>
      <c r="G1079" s="24">
        <f>CADASTROS!$F$912</f>
        <v>949</v>
      </c>
      <c r="H1079" s="26">
        <f>CADASTROS!$G$912</f>
        <v>23</v>
      </c>
      <c r="I1079" s="16" t="str">
        <f>CADASTROS!$H$912</f>
        <v>00021593-6</v>
      </c>
      <c r="J1079" s="18">
        <f>D1079*E1079</f>
        <v>0</v>
      </c>
    </row>
    <row r="1080" spans="1:10" ht="15.75" x14ac:dyDescent="0.25">
      <c r="A1080" s="24">
        <f>CADASTROS!$B$913</f>
        <v>911</v>
      </c>
      <c r="B1080" s="15" t="str">
        <f>CADASTROS!$C$913</f>
        <v>Sirleide Conceição Sousa</v>
      </c>
      <c r="C1080" s="25"/>
      <c r="D1080" s="35">
        <f>PLANILHA_COLHEITA_DIÁRIA!$I$1438</f>
        <v>0</v>
      </c>
      <c r="E1080" s="17">
        <v>6</v>
      </c>
      <c r="F1080" s="26" t="str">
        <f>CADASTROS!$E$913</f>
        <v>Banco do Brasil</v>
      </c>
      <c r="G1080" s="24" t="str">
        <f>CADASTROS!$F$913</f>
        <v>2760-X</v>
      </c>
      <c r="H1080" s="26" t="str">
        <f>CADASTROS!$G$913</f>
        <v>poup</v>
      </c>
      <c r="I1080" s="16" t="str">
        <f>CADASTROS!$H$913</f>
        <v>11.896-6</v>
      </c>
      <c r="J1080" s="18">
        <f t="shared" ref="J1080" si="43">D1080*E1080</f>
        <v>0</v>
      </c>
    </row>
    <row r="1081" spans="1:10" ht="15.75" x14ac:dyDescent="0.25">
      <c r="A1081" s="24">
        <f>CADASTROS!$B$914</f>
        <v>912</v>
      </c>
      <c r="B1081" s="15" t="str">
        <f>CADASTROS!$C$914</f>
        <v>Julivado J. Nascimento</v>
      </c>
      <c r="C1081" s="25"/>
      <c r="D1081" s="52">
        <f>PLANILHA_COLHEITA_DIÁRIA!$I$1439</f>
        <v>0</v>
      </c>
      <c r="E1081" s="17">
        <v>6</v>
      </c>
      <c r="F1081" s="26" t="str">
        <f>CADASTROS!$E$914</f>
        <v>Cx. Econômica</v>
      </c>
      <c r="G1081" s="24">
        <f>CADASTROS!$F$914</f>
        <v>3419</v>
      </c>
      <c r="H1081" s="26">
        <f>CADASTROS!$G$914</f>
        <v>13</v>
      </c>
      <c r="I1081" s="16" t="str">
        <f>CADASTROS!$H$914</f>
        <v>00016017-0</v>
      </c>
      <c r="J1081" s="18">
        <f>D1081*E1081</f>
        <v>0</v>
      </c>
    </row>
    <row r="1082" spans="1:10" ht="15.75" x14ac:dyDescent="0.25">
      <c r="A1082" s="24">
        <f>CADASTROS!$B$915</f>
        <v>913</v>
      </c>
      <c r="B1082" s="15" t="str">
        <f>CADASTROS!$C$915</f>
        <v>Ediléia Silva dos Santos</v>
      </c>
      <c r="C1082" s="25"/>
      <c r="D1082" s="52">
        <f>PLANILHA_COLHEITA_DIÁRIA!$I$1452</f>
        <v>0</v>
      </c>
      <c r="E1082" s="17">
        <v>6</v>
      </c>
      <c r="F1082" s="26" t="str">
        <f>CADASTROS!$E$915</f>
        <v>Cx. Econômica</v>
      </c>
      <c r="G1082" s="24">
        <f>CADASTROS!$F$915</f>
        <v>4825</v>
      </c>
      <c r="H1082" s="26">
        <f>CADASTROS!$G$915</f>
        <v>23</v>
      </c>
      <c r="I1082" s="16" t="str">
        <f>CADASTROS!$H$915</f>
        <v>00000971-2</v>
      </c>
      <c r="J1082" s="18">
        <f t="shared" ref="J1082:J1113" si="44">D1082*E1082</f>
        <v>0</v>
      </c>
    </row>
    <row r="1083" spans="1:10" ht="15.75" x14ac:dyDescent="0.25">
      <c r="A1083" s="24">
        <f>CADASTROS!$B$916</f>
        <v>914</v>
      </c>
      <c r="B1083" s="15" t="str">
        <f>CADASTROS!$C$916</f>
        <v>Claudineia Paulina Araújo</v>
      </c>
      <c r="C1083" s="25"/>
      <c r="D1083" s="41">
        <f>PLANILHA_COLHEITA_DIÁRIA!$I$1453</f>
        <v>0</v>
      </c>
      <c r="E1083" s="17">
        <v>6</v>
      </c>
      <c r="F1083" s="26" t="str">
        <f>CADASTROS!$E$916</f>
        <v>Cx. Econômica</v>
      </c>
      <c r="G1083" s="24">
        <f>CADASTROS!$F$916</f>
        <v>2734</v>
      </c>
      <c r="H1083" s="26">
        <f>CADASTROS!$G$916</f>
        <v>13</v>
      </c>
      <c r="I1083" s="16" t="str">
        <f>CADASTROS!$H$916</f>
        <v>00044956-1</v>
      </c>
      <c r="J1083" s="18">
        <f t="shared" si="44"/>
        <v>0</v>
      </c>
    </row>
    <row r="1084" spans="1:10" ht="15.75" x14ac:dyDescent="0.25">
      <c r="A1084" s="24">
        <f>CADASTROS!$B$917</f>
        <v>915</v>
      </c>
      <c r="B1084" s="15" t="str">
        <f>CADASTROS!$C$917</f>
        <v>Maria Aparecida L. Pires</v>
      </c>
      <c r="C1084" s="25"/>
      <c r="D1084" s="52">
        <f>PLANILHA_COLHEITA_DIÁRIA!$I$1454</f>
        <v>42.5</v>
      </c>
      <c r="E1084" s="17">
        <v>6</v>
      </c>
      <c r="F1084" s="26" t="str">
        <f>CADASTROS!$E$917</f>
        <v>Cx. Econômica</v>
      </c>
      <c r="G1084" s="24">
        <f>CADASTROS!$F$917</f>
        <v>949</v>
      </c>
      <c r="H1084" s="26">
        <f>CADASTROS!$G$917</f>
        <v>23</v>
      </c>
      <c r="I1084" s="16" t="str">
        <f>CADASTROS!$H$917</f>
        <v>00024118-0</v>
      </c>
      <c r="J1084" s="18">
        <f t="shared" si="44"/>
        <v>255</v>
      </c>
    </row>
    <row r="1085" spans="1:10" ht="15.75" x14ac:dyDescent="0.25">
      <c r="A1085" s="24">
        <f>CADASTROS!$B$918</f>
        <v>916</v>
      </c>
      <c r="B1085" s="15" t="str">
        <f>CADASTROS!$C$918</f>
        <v>Dirlene Sampaio Alves</v>
      </c>
      <c r="C1085" s="25"/>
      <c r="D1085" s="35">
        <f>PLANILHA_COLHEITA_DIÁRIA!$I$1455</f>
        <v>0</v>
      </c>
      <c r="E1085" s="17">
        <v>6</v>
      </c>
      <c r="F1085" s="26" t="str">
        <f>CADASTROS!$E$918</f>
        <v>Banco do Brasil</v>
      </c>
      <c r="G1085" s="24" t="str">
        <f>CADASTROS!$F$918</f>
        <v>2760-X</v>
      </c>
      <c r="H1085" s="26" t="str">
        <f>CADASTROS!$G$918</f>
        <v>poup</v>
      </c>
      <c r="I1085" s="16" t="str">
        <f>CADASTROS!$H$918</f>
        <v>14.951-9</v>
      </c>
      <c r="J1085" s="18">
        <f t="shared" si="44"/>
        <v>0</v>
      </c>
    </row>
    <row r="1086" spans="1:10" ht="15.75" x14ac:dyDescent="0.25">
      <c r="A1086" s="24">
        <f>CADASTROS!$B$919</f>
        <v>917</v>
      </c>
      <c r="B1086" s="15" t="str">
        <f>CADASTROS!$C$919</f>
        <v>Hortencia Brito Barbosa</v>
      </c>
      <c r="C1086" s="25"/>
      <c r="D1086" s="35">
        <f>PLANILHA_COLHEITA_DIÁRIA!$I$1456</f>
        <v>0</v>
      </c>
      <c r="E1086" s="17">
        <v>6</v>
      </c>
      <c r="F1086" s="26" t="str">
        <f>CADASTROS!$E$919</f>
        <v>Cx. Econômica</v>
      </c>
      <c r="G1086" s="24">
        <f>CADASTROS!$F$919</f>
        <v>949</v>
      </c>
      <c r="H1086" s="26">
        <f>CADASTROS!$G$919</f>
        <v>13</v>
      </c>
      <c r="I1086" s="16" t="str">
        <f>CADASTROS!$H$919</f>
        <v>00038382-3</v>
      </c>
      <c r="J1086" s="18">
        <f t="shared" si="44"/>
        <v>0</v>
      </c>
    </row>
    <row r="1087" spans="1:10" ht="15.75" x14ac:dyDescent="0.25">
      <c r="A1087" s="24">
        <f>CADASTROS!$B$920</f>
        <v>918</v>
      </c>
      <c r="B1087" s="15" t="str">
        <f>CADASTROS!$C$920</f>
        <v>Raimundo P. de Souza</v>
      </c>
      <c r="C1087" s="25"/>
      <c r="D1087" s="35">
        <f>PLANILHA_COLHEITA_DIÁRIA!$I$1457</f>
        <v>0</v>
      </c>
      <c r="E1087" s="17">
        <v>6</v>
      </c>
      <c r="F1087" s="26" t="str">
        <f>CADASTROS!$E$920</f>
        <v>Cx. Econômica</v>
      </c>
      <c r="G1087" s="24">
        <f>CADASTROS!$F$920</f>
        <v>128</v>
      </c>
      <c r="H1087" s="26">
        <f>CADASTROS!$G$920</f>
        <v>13</v>
      </c>
      <c r="I1087" s="16" t="str">
        <f>CADASTROS!$H$920</f>
        <v>00013888-4</v>
      </c>
      <c r="J1087" s="18">
        <f t="shared" si="44"/>
        <v>0</v>
      </c>
    </row>
    <row r="1088" spans="1:10" ht="15.75" x14ac:dyDescent="0.25">
      <c r="A1088" s="24">
        <f>CADASTROS!$B$921</f>
        <v>919</v>
      </c>
      <c r="B1088" s="15" t="str">
        <f>CADASTROS!$C$921</f>
        <v>Antônio Ramos de Carvalho</v>
      </c>
      <c r="C1088" s="25"/>
      <c r="D1088" s="35">
        <f>PLANILHA_COLHEITA_DIÁRIA!$I$1458</f>
        <v>0</v>
      </c>
      <c r="E1088" s="17">
        <v>6</v>
      </c>
      <c r="F1088" s="26" t="str">
        <f>CADASTROS!$E$921</f>
        <v>Banco do Brasil</v>
      </c>
      <c r="G1088" s="24" t="str">
        <f>CADASTROS!$F$921</f>
        <v>2760-X</v>
      </c>
      <c r="H1088" s="26" t="str">
        <f>CADASTROS!$G$921</f>
        <v>poup</v>
      </c>
      <c r="I1088" s="16" t="str">
        <f>CADASTROS!$H$921</f>
        <v>5.819-X</v>
      </c>
      <c r="J1088" s="18">
        <f t="shared" si="44"/>
        <v>0</v>
      </c>
    </row>
    <row r="1089" spans="1:10" ht="15.75" x14ac:dyDescent="0.25">
      <c r="A1089" s="24">
        <f>CADASTROS!$B$922</f>
        <v>920</v>
      </c>
      <c r="B1089" s="15" t="str">
        <f>CADASTROS!$C$922</f>
        <v>Carmozita Francisca dos Santos</v>
      </c>
      <c r="C1089" s="25"/>
      <c r="D1089" s="52">
        <f>PLANILHA_COLHEITA_DIÁRIA!$I$1459</f>
        <v>0</v>
      </c>
      <c r="E1089" s="17">
        <v>6</v>
      </c>
      <c r="F1089" s="26" t="str">
        <f>CADASTROS!$E$922</f>
        <v>Banco do Brasil</v>
      </c>
      <c r="G1089" s="24" t="str">
        <f>CADASTROS!$F$922</f>
        <v>2760-X</v>
      </c>
      <c r="H1089" s="26" t="str">
        <f>CADASTROS!$G$922</f>
        <v>poup</v>
      </c>
      <c r="I1089" s="16" t="str">
        <f>CADASTROS!$H$922</f>
        <v>21.050-1</v>
      </c>
      <c r="J1089" s="18">
        <f t="shared" si="44"/>
        <v>0</v>
      </c>
    </row>
    <row r="1090" spans="1:10" ht="15.75" x14ac:dyDescent="0.25">
      <c r="A1090" s="24">
        <f>CADASTROS!$B$923</f>
        <v>921</v>
      </c>
      <c r="B1090" s="15" t="str">
        <f>CADASTROS!$C$923</f>
        <v>Juliana Alves de Souza</v>
      </c>
      <c r="C1090" s="25"/>
      <c r="D1090" s="52">
        <f>PLANILHA_COLHEITA_DIÁRIA!$I$1460</f>
        <v>43.5</v>
      </c>
      <c r="E1090" s="17">
        <v>6</v>
      </c>
      <c r="F1090" s="26" t="str">
        <f>CADASTROS!$E$923</f>
        <v>Cx. Econômica</v>
      </c>
      <c r="G1090" s="24">
        <f>CADASTROS!$F$923</f>
        <v>4818</v>
      </c>
      <c r="H1090" s="26">
        <f>CADASTROS!$G$923</f>
        <v>13</v>
      </c>
      <c r="I1090" s="16" t="str">
        <f>CADASTROS!$H$923</f>
        <v>00004290-0</v>
      </c>
      <c r="J1090" s="18">
        <f t="shared" si="44"/>
        <v>261</v>
      </c>
    </row>
    <row r="1091" spans="1:10" ht="15.75" x14ac:dyDescent="0.25">
      <c r="A1091" s="24">
        <f>CADASTROS!$B$924</f>
        <v>922</v>
      </c>
      <c r="B1091" s="15" t="str">
        <f>CADASTROS!$C$924</f>
        <v>Girlene de Souza Oliveira</v>
      </c>
      <c r="C1091" s="25"/>
      <c r="D1091" s="41">
        <f>PLANILHA_COLHEITA_DIÁRIA!$I$1461</f>
        <v>51.5</v>
      </c>
      <c r="E1091" s="17">
        <v>6</v>
      </c>
      <c r="F1091" s="26" t="str">
        <f>CADASTROS!$E$924</f>
        <v>Cx. Econômica</v>
      </c>
      <c r="G1091" s="24">
        <f>CADASTROS!$F$924</f>
        <v>4825</v>
      </c>
      <c r="H1091" s="26">
        <f>CADASTROS!$G$924</f>
        <v>13</v>
      </c>
      <c r="I1091" s="16" t="str">
        <f>CADASTROS!$H$924</f>
        <v>00007862-8</v>
      </c>
      <c r="J1091" s="18">
        <f t="shared" si="44"/>
        <v>309</v>
      </c>
    </row>
    <row r="1092" spans="1:10" ht="15.75" x14ac:dyDescent="0.25">
      <c r="A1092" s="24">
        <f>CADASTROS!$B$925</f>
        <v>923</v>
      </c>
      <c r="B1092" s="15" t="str">
        <f>CADASTROS!$C$925</f>
        <v>Maria Sônia Ferreira Silva</v>
      </c>
      <c r="C1092" s="25"/>
      <c r="D1092" s="35">
        <f>PLANILHA_COLHEITA_DIÁRIA!$I$1462</f>
        <v>0</v>
      </c>
      <c r="E1092" s="17">
        <v>6</v>
      </c>
      <c r="F1092" s="26" t="str">
        <f>CADASTROS!$E$925</f>
        <v>Cx. Econômica</v>
      </c>
      <c r="G1092" s="24">
        <f>CADASTROS!$F$925</f>
        <v>4825</v>
      </c>
      <c r="H1092" s="26">
        <f>CADASTROS!$G$925</f>
        <v>13</v>
      </c>
      <c r="I1092" s="16" t="str">
        <f>CADASTROS!$H$925</f>
        <v>00019706-6</v>
      </c>
      <c r="J1092" s="18">
        <f t="shared" si="44"/>
        <v>0</v>
      </c>
    </row>
    <row r="1093" spans="1:10" ht="15.75" x14ac:dyDescent="0.25">
      <c r="A1093" s="24">
        <f>CADASTROS!$B$926</f>
        <v>924</v>
      </c>
      <c r="B1093" s="15" t="str">
        <f>CADASTROS!$C$926</f>
        <v>Luciene O. da Silva</v>
      </c>
      <c r="C1093" s="25"/>
      <c r="D1093" s="52">
        <f>PLANILHA_COLHEITA_DIÁRIA!$I$1463</f>
        <v>0</v>
      </c>
      <c r="E1093" s="17">
        <v>6</v>
      </c>
      <c r="F1093" s="26" t="str">
        <f>CADASTROS!$E$926</f>
        <v>Cx. Econômica</v>
      </c>
      <c r="G1093" s="24">
        <f>CADASTROS!$F$926</f>
        <v>2734</v>
      </c>
      <c r="H1093" s="26">
        <f>CADASTROS!$G$926</f>
        <v>13</v>
      </c>
      <c r="I1093" s="16" t="str">
        <f>CADASTROS!$H$926</f>
        <v>00061044-3</v>
      </c>
      <c r="J1093" s="18">
        <f t="shared" si="44"/>
        <v>0</v>
      </c>
    </row>
    <row r="1094" spans="1:10" ht="15.75" x14ac:dyDescent="0.25">
      <c r="A1094" s="24">
        <f>CADASTROS!$B$927</f>
        <v>925</v>
      </c>
      <c r="B1094" s="15" t="str">
        <f>CADASTROS!$C$927</f>
        <v>Heleno Monteiro da Silva</v>
      </c>
      <c r="C1094" s="25"/>
      <c r="D1094" s="52">
        <f>PLANILHA_COLHEITA_DIÁRIA!$I$1464</f>
        <v>0</v>
      </c>
      <c r="E1094" s="17">
        <v>6</v>
      </c>
      <c r="F1094" s="26" t="str">
        <f>CADASTROS!$E$927</f>
        <v>Cx. Econômica</v>
      </c>
      <c r="G1094" s="24">
        <f>CADASTROS!$F$927</f>
        <v>4825</v>
      </c>
      <c r="H1094" s="26">
        <f>CADASTROS!$G$927</f>
        <v>13</v>
      </c>
      <c r="I1094" s="16" t="str">
        <f>CADASTROS!$H$927</f>
        <v>00008999-9</v>
      </c>
      <c r="J1094" s="18">
        <f t="shared" si="44"/>
        <v>0</v>
      </c>
    </row>
    <row r="1095" spans="1:10" ht="15.75" x14ac:dyDescent="0.25">
      <c r="A1095" s="24">
        <f>CADASTROS!$B$928</f>
        <v>926</v>
      </c>
      <c r="B1095" s="15" t="str">
        <f>CADASTROS!$C$928</f>
        <v>Agnaldo José Ribeiro</v>
      </c>
      <c r="C1095" s="25"/>
      <c r="D1095" s="35">
        <f>PLANILHA_COLHEITA_DIÁRIA!$I$1465</f>
        <v>54.5</v>
      </c>
      <c r="E1095" s="17">
        <v>6</v>
      </c>
      <c r="F1095" s="26" t="str">
        <f>CADASTROS!$E$928</f>
        <v>Cx. Econômica</v>
      </c>
      <c r="G1095" s="24">
        <f>CADASTROS!$F$928</f>
        <v>4825</v>
      </c>
      <c r="H1095" s="26">
        <f>CADASTROS!$G$928</f>
        <v>13</v>
      </c>
      <c r="I1095" s="16" t="str">
        <f>CADASTROS!$H$928</f>
        <v>00004746-3</v>
      </c>
      <c r="J1095" s="18">
        <f t="shared" si="44"/>
        <v>327</v>
      </c>
    </row>
    <row r="1096" spans="1:10" ht="15.75" x14ac:dyDescent="0.25">
      <c r="A1096" s="24">
        <f>CADASTROS!$B$929</f>
        <v>927</v>
      </c>
      <c r="B1096" s="15" t="str">
        <f>CADASTROS!$C$929</f>
        <v>Roque Souza Silva</v>
      </c>
      <c r="C1096" s="25"/>
      <c r="D1096" s="35">
        <f>PLANILHA_COLHEITA_DIÁRIA!$I$1466</f>
        <v>0</v>
      </c>
      <c r="E1096" s="17">
        <v>6</v>
      </c>
      <c r="F1096" s="26" t="str">
        <f>CADASTROS!$E$929</f>
        <v>Cx. Econômica</v>
      </c>
      <c r="G1096" s="24">
        <f>CADASTROS!$F$929</f>
        <v>949</v>
      </c>
      <c r="H1096" s="26">
        <f>CADASTROS!$G$929</f>
        <v>13</v>
      </c>
      <c r="I1096" s="16" t="str">
        <f>CADASTROS!$H$929</f>
        <v>00029537-1</v>
      </c>
      <c r="J1096" s="18">
        <f t="shared" si="44"/>
        <v>0</v>
      </c>
    </row>
    <row r="1097" spans="1:10" ht="15.75" x14ac:dyDescent="0.25">
      <c r="A1097" s="24">
        <f>CADASTROS!$B$930</f>
        <v>928</v>
      </c>
      <c r="B1097" s="15" t="str">
        <f>CADASTROS!$C$930</f>
        <v>Dilma Mendes Santos Oliveira</v>
      </c>
      <c r="C1097" s="25"/>
      <c r="D1097" s="35">
        <f>PLANILHA_COLHEITA_DIÁRIA!$I$1467</f>
        <v>0</v>
      </c>
      <c r="E1097" s="17">
        <v>6</v>
      </c>
      <c r="F1097" s="26" t="str">
        <f>CADASTROS!$E$930</f>
        <v>Banco do Brasil</v>
      </c>
      <c r="G1097" s="24" t="str">
        <f>CADASTROS!$F$930</f>
        <v>2760-X</v>
      </c>
      <c r="H1097" s="26" t="str">
        <f>CADASTROS!$G$930</f>
        <v>corr</v>
      </c>
      <c r="I1097" s="16" t="str">
        <f>CADASTROS!$H$930</f>
        <v>15.182-3</v>
      </c>
      <c r="J1097" s="18">
        <f t="shared" si="44"/>
        <v>0</v>
      </c>
    </row>
    <row r="1098" spans="1:10" ht="15.75" x14ac:dyDescent="0.25">
      <c r="A1098" s="24">
        <f>CADASTROS!$B$931</f>
        <v>929</v>
      </c>
      <c r="B1098" s="15" t="str">
        <f>CADASTROS!$C$931</f>
        <v>Guiomar Silva Santos</v>
      </c>
      <c r="C1098" s="25"/>
      <c r="D1098" s="35">
        <f>PLANILHA_COLHEITA_DIÁRIA!$I$1468</f>
        <v>0</v>
      </c>
      <c r="E1098" s="17">
        <v>6</v>
      </c>
      <c r="F1098" s="26" t="str">
        <f>CADASTROS!$E$931</f>
        <v>Cx. Econômica</v>
      </c>
      <c r="G1098" s="24">
        <f>CADASTROS!$F$931</f>
        <v>4818</v>
      </c>
      <c r="H1098" s="26">
        <f>CADASTROS!$G$931</f>
        <v>13</v>
      </c>
      <c r="I1098" s="16" t="str">
        <f>CADASTROS!$H$931</f>
        <v>00011633-5</v>
      </c>
      <c r="J1098" s="18">
        <f t="shared" si="44"/>
        <v>0</v>
      </c>
    </row>
    <row r="1099" spans="1:10" ht="15.75" x14ac:dyDescent="0.25">
      <c r="A1099" s="24">
        <f>CADASTROS!$B$932</f>
        <v>930</v>
      </c>
      <c r="B1099" s="15" t="str">
        <f>CADASTROS!$C$932</f>
        <v>Aurenide Damasceno Soares</v>
      </c>
      <c r="C1099" s="25"/>
      <c r="D1099" s="35">
        <f>PLANILHA_COLHEITA_DIÁRIA!$I$1469</f>
        <v>0</v>
      </c>
      <c r="E1099" s="17">
        <v>6</v>
      </c>
      <c r="F1099" s="26" t="str">
        <f>CADASTROS!$E$932</f>
        <v>Cx. Econômica</v>
      </c>
      <c r="G1099" s="24">
        <f>CADASTROS!$F$932</f>
        <v>4818</v>
      </c>
      <c r="H1099" s="26">
        <f>CADASTROS!$G$932</f>
        <v>13</v>
      </c>
      <c r="I1099" s="16" t="str">
        <f>CADASTROS!$H$932</f>
        <v>00011666-1</v>
      </c>
      <c r="J1099" s="18">
        <f t="shared" si="44"/>
        <v>0</v>
      </c>
    </row>
    <row r="1100" spans="1:10" ht="15.75" x14ac:dyDescent="0.25">
      <c r="A1100" s="24">
        <f>CADASTROS!$B$933</f>
        <v>931</v>
      </c>
      <c r="B1100" s="15" t="str">
        <f>CADASTROS!$C$933</f>
        <v>Janildo Machado Farias</v>
      </c>
      <c r="C1100" s="25"/>
      <c r="D1100" s="52">
        <f>PLANILHA_COLHEITA_DIÁRIA!$I$1470</f>
        <v>0</v>
      </c>
      <c r="E1100" s="17">
        <v>6</v>
      </c>
      <c r="F1100" s="26" t="str">
        <f>CADASTROS!$E$933</f>
        <v>Cx. Econômica</v>
      </c>
      <c r="G1100" s="24">
        <f>CADASTROS!$F$933</f>
        <v>4818</v>
      </c>
      <c r="H1100" s="26">
        <f>CADASTROS!$G$933</f>
        <v>13</v>
      </c>
      <c r="I1100" s="16" t="str">
        <f>CADASTROS!$H$933</f>
        <v>00007141-2</v>
      </c>
      <c r="J1100" s="18">
        <f t="shared" si="44"/>
        <v>0</v>
      </c>
    </row>
    <row r="1101" spans="1:10" ht="15.75" x14ac:dyDescent="0.25">
      <c r="A1101" s="24">
        <f>CADASTROS!$B$934</f>
        <v>932</v>
      </c>
      <c r="B1101" s="15" t="str">
        <f>CADASTROS!$C$934</f>
        <v>Luan Ramos de Jesus</v>
      </c>
      <c r="C1101" s="25"/>
      <c r="D1101" s="52">
        <f>PLANILHA_COLHEITA_DIÁRIA!$I$1471</f>
        <v>64.5</v>
      </c>
      <c r="E1101" s="17">
        <v>6</v>
      </c>
      <c r="F1101" s="26" t="str">
        <f>CADASTROS!$E$934</f>
        <v>Banco do Brasil</v>
      </c>
      <c r="G1101" s="24" t="str">
        <f>CADASTROS!$F$934</f>
        <v>1099-5</v>
      </c>
      <c r="H1101" s="26" t="str">
        <f>CADASTROS!$G$934</f>
        <v>poup</v>
      </c>
      <c r="I1101" s="16" t="str">
        <f>CADASTROS!$H$934</f>
        <v>22.744-7</v>
      </c>
      <c r="J1101" s="18">
        <f t="shared" si="44"/>
        <v>387</v>
      </c>
    </row>
    <row r="1102" spans="1:10" ht="15.75" x14ac:dyDescent="0.25">
      <c r="A1102" s="24">
        <f>CADASTROS!$B$935</f>
        <v>933</v>
      </c>
      <c r="B1102" s="15" t="str">
        <f>CADASTROS!$C$935</f>
        <v>Cleiton da Silva Borges</v>
      </c>
      <c r="C1102" s="25"/>
      <c r="D1102" s="35">
        <f>PLANILHA_COLHEITA_DIÁRIA!$I$1472</f>
        <v>0</v>
      </c>
      <c r="E1102" s="17">
        <v>6</v>
      </c>
      <c r="F1102" s="26" t="str">
        <f>CADASTROS!$E$935</f>
        <v>Bradesco</v>
      </c>
      <c r="G1102" s="24">
        <f>CADASTROS!$F$935</f>
        <v>3738</v>
      </c>
      <c r="H1102" s="26" t="str">
        <f>CADASTROS!$G$935</f>
        <v>c/corr</v>
      </c>
      <c r="I1102" s="16" t="str">
        <f>CADASTROS!$H$935</f>
        <v>0125485-5</v>
      </c>
      <c r="J1102" s="18">
        <f t="shared" si="44"/>
        <v>0</v>
      </c>
    </row>
    <row r="1103" spans="1:10" ht="15.75" x14ac:dyDescent="0.25">
      <c r="A1103" s="24">
        <f>CADASTROS!$B$936</f>
        <v>934</v>
      </c>
      <c r="B1103" s="15" t="str">
        <f>CADASTROS!$C$936</f>
        <v>Janete Rosa Pires</v>
      </c>
      <c r="C1103" s="25"/>
      <c r="D1103" s="35">
        <f>PLANILHA_COLHEITA_DIÁRIA!$I$1473</f>
        <v>0</v>
      </c>
      <c r="E1103" s="17">
        <v>6</v>
      </c>
      <c r="F1103" s="26" t="str">
        <f>CADASTROS!$E$936</f>
        <v>Cx. Econômica</v>
      </c>
      <c r="G1103" s="24">
        <f>CADASTROS!$F$936</f>
        <v>949</v>
      </c>
      <c r="H1103" s="26">
        <f>CADASTROS!$G$936</f>
        <v>13</v>
      </c>
      <c r="I1103" s="16" t="str">
        <f>CADASTROS!$H$936</f>
        <v>835308154-5</v>
      </c>
      <c r="J1103" s="18">
        <f t="shared" si="44"/>
        <v>0</v>
      </c>
    </row>
    <row r="1104" spans="1:10" ht="15.75" x14ac:dyDescent="0.25">
      <c r="A1104" s="24">
        <f>CADASTROS!$B$937</f>
        <v>935</v>
      </c>
      <c r="B1104" s="15" t="str">
        <f>CADASTROS!$C$937</f>
        <v>Lucas Souza Ferreira</v>
      </c>
      <c r="C1104" s="25"/>
      <c r="D1104" s="52">
        <f>PLANILHA_COLHEITA_DIÁRIA!$I$1474</f>
        <v>0</v>
      </c>
      <c r="E1104" s="17">
        <v>6</v>
      </c>
      <c r="F1104" s="26" t="str">
        <f>CADASTROS!$E$937</f>
        <v>Cx. Econômica</v>
      </c>
      <c r="G1104" s="24">
        <f>CADASTROS!$F$937</f>
        <v>4818</v>
      </c>
      <c r="H1104" s="26">
        <f>CADASTROS!$G$937</f>
        <v>13</v>
      </c>
      <c r="I1104" s="16" t="str">
        <f>CADASTROS!$H$937</f>
        <v>00006204-9</v>
      </c>
      <c r="J1104" s="18">
        <f t="shared" si="44"/>
        <v>0</v>
      </c>
    </row>
    <row r="1105" spans="1:10" ht="15.75" x14ac:dyDescent="0.25">
      <c r="A1105" s="24">
        <f>CADASTROS!$B$938</f>
        <v>936</v>
      </c>
      <c r="B1105" s="15" t="str">
        <f>CADASTROS!$C$938</f>
        <v>Maria Conceição P. Silva</v>
      </c>
      <c r="C1105" s="25"/>
      <c r="D1105" s="35">
        <f>PLANILHA_COLHEITA_DIÁRIA!$I$1475</f>
        <v>0</v>
      </c>
      <c r="E1105" s="17">
        <v>6</v>
      </c>
      <c r="F1105" s="26" t="str">
        <f>CADASTROS!$E$938</f>
        <v>Banco do Brasil</v>
      </c>
      <c r="G1105" s="24" t="str">
        <f>CADASTROS!$F$938</f>
        <v>2760-X</v>
      </c>
      <c r="H1105" s="26" t="str">
        <f>CADASTROS!$G$938</f>
        <v>poup</v>
      </c>
      <c r="I1105" s="16" t="str">
        <f>CADASTROS!$H$938</f>
        <v>510.014.037-6</v>
      </c>
      <c r="J1105" s="18">
        <f t="shared" si="44"/>
        <v>0</v>
      </c>
    </row>
    <row r="1106" spans="1:10" ht="15.75" x14ac:dyDescent="0.25">
      <c r="A1106" s="24">
        <f>CADASTROS!$B$939</f>
        <v>937</v>
      </c>
      <c r="B1106" s="15" t="str">
        <f>CADASTROS!$C$939</f>
        <v>Milzaene Francisca Teixeira</v>
      </c>
      <c r="C1106" s="25"/>
      <c r="D1106" s="35">
        <f>PLANILHA_COLHEITA_DIÁRIA!$I$1476</f>
        <v>0</v>
      </c>
      <c r="E1106" s="17">
        <v>6</v>
      </c>
      <c r="F1106" s="26" t="str">
        <f>CADASTROS!$E$939</f>
        <v>Cx. Econômica</v>
      </c>
      <c r="G1106" s="24">
        <f>CADASTROS!$F$939</f>
        <v>780</v>
      </c>
      <c r="H1106" s="26">
        <f>CADASTROS!$G$939</f>
        <v>23</v>
      </c>
      <c r="I1106" s="16" t="str">
        <f>CADASTROS!$H$939</f>
        <v>0006331-3</v>
      </c>
      <c r="J1106" s="18">
        <f t="shared" si="44"/>
        <v>0</v>
      </c>
    </row>
    <row r="1107" spans="1:10" ht="15.75" x14ac:dyDescent="0.25">
      <c r="A1107" s="24">
        <f>CADASTROS!$B$940</f>
        <v>938</v>
      </c>
      <c r="B1107" s="15" t="str">
        <f>CADASTROS!$C$940</f>
        <v>Carina Alves Pereira</v>
      </c>
      <c r="C1107" s="25"/>
      <c r="D1107" s="35">
        <f>PLANILHA_COLHEITA_DIÁRIA!$I$1477</f>
        <v>0</v>
      </c>
      <c r="E1107" s="17">
        <v>6</v>
      </c>
      <c r="F1107" s="26" t="str">
        <f>CADASTROS!$E$940</f>
        <v>Banco do Nordeste</v>
      </c>
      <c r="G1107" s="24">
        <f>CADASTROS!$F$940</f>
        <v>3</v>
      </c>
      <c r="H1107" s="26" t="str">
        <f>CADASTROS!$G$940</f>
        <v>corr</v>
      </c>
      <c r="I1107" s="16" t="str">
        <f>CADASTROS!$H$940</f>
        <v>000016488-0</v>
      </c>
      <c r="J1107" s="18">
        <f t="shared" si="44"/>
        <v>0</v>
      </c>
    </row>
    <row r="1108" spans="1:10" ht="15.75" x14ac:dyDescent="0.25">
      <c r="A1108" s="24">
        <f>CADASTROS!$B$941</f>
        <v>939</v>
      </c>
      <c r="B1108" s="15" t="str">
        <f>CADASTROS!$C$941</f>
        <v>Vera Lucia Cruz Almeida</v>
      </c>
      <c r="C1108" s="25"/>
      <c r="D1108" s="35">
        <f>PLANILHA_COLHEITA_DIÁRIA!$I$1478</f>
        <v>0</v>
      </c>
      <c r="E1108" s="17">
        <v>6</v>
      </c>
      <c r="F1108" s="26" t="str">
        <f>CADASTROS!$E$941</f>
        <v>Banco do Brasil</v>
      </c>
      <c r="G1108" s="24" t="str">
        <f>CADASTROS!$F$941</f>
        <v>2760-X</v>
      </c>
      <c r="H1108" s="26" t="str">
        <f>CADASTROS!$G$941</f>
        <v>poup</v>
      </c>
      <c r="I1108" s="16" t="str">
        <f>CADASTROS!$H$941</f>
        <v>14.661-7</v>
      </c>
      <c r="J1108" s="18">
        <f t="shared" si="44"/>
        <v>0</v>
      </c>
    </row>
    <row r="1109" spans="1:10" ht="15.75" x14ac:dyDescent="0.25">
      <c r="A1109" s="24">
        <f>CADASTROS!$B$942</f>
        <v>940</v>
      </c>
      <c r="B1109" s="15" t="str">
        <f>CADASTROS!$C$942</f>
        <v>Edicléia Santana Santos</v>
      </c>
      <c r="C1109" s="25"/>
      <c r="D1109" s="35">
        <f>PLANILHA_COLHEITA_DIÁRIA!$I$1491</f>
        <v>0</v>
      </c>
      <c r="E1109" s="17">
        <v>6</v>
      </c>
      <c r="F1109" s="26" t="str">
        <f>CADASTROS!$E$942</f>
        <v>Cx. Econômica</v>
      </c>
      <c r="G1109" s="24">
        <f>CADASTROS!$F$942</f>
        <v>4818</v>
      </c>
      <c r="H1109" s="26">
        <f>CADASTROS!$G$942</f>
        <v>13</v>
      </c>
      <c r="I1109" s="16" t="str">
        <f>CADASTROS!$H$942</f>
        <v>00005091-1</v>
      </c>
      <c r="J1109" s="18">
        <f t="shared" si="44"/>
        <v>0</v>
      </c>
    </row>
    <row r="1110" spans="1:10" ht="15.75" x14ac:dyDescent="0.25">
      <c r="A1110" s="24">
        <f>CADASTROS!$B$943</f>
        <v>941</v>
      </c>
      <c r="B1110" s="15" t="str">
        <f>CADASTROS!$C$943</f>
        <v>Jair Carneiro Farias</v>
      </c>
      <c r="C1110" s="25"/>
      <c r="D1110" s="35">
        <f>PLANILHA_COLHEITA_DIÁRIA!$I$1492</f>
        <v>0</v>
      </c>
      <c r="E1110" s="17">
        <v>6</v>
      </c>
      <c r="F1110" s="26" t="str">
        <f>CADASTROS!$E$943</f>
        <v>Cx. Econômica</v>
      </c>
      <c r="G1110" s="24">
        <f>CADASTROS!$F$943</f>
        <v>4577</v>
      </c>
      <c r="H1110" s="26">
        <f>CADASTROS!$G$943</f>
        <v>13</v>
      </c>
      <c r="I1110" s="16" t="str">
        <f>CADASTROS!$H$943</f>
        <v>00011092-3</v>
      </c>
      <c r="J1110" s="18">
        <f t="shared" si="44"/>
        <v>0</v>
      </c>
    </row>
    <row r="1111" spans="1:10" ht="15.75" x14ac:dyDescent="0.25">
      <c r="A1111" s="24">
        <f>CADASTROS!$B$944</f>
        <v>942</v>
      </c>
      <c r="B1111" s="15" t="str">
        <f>CADASTROS!$C$944</f>
        <v>Adinela Francisca dos Santos</v>
      </c>
      <c r="C1111" s="25"/>
      <c r="D1111" s="35">
        <f>PLANILHA_COLHEITA_DIÁRIA!$I$1493</f>
        <v>0</v>
      </c>
      <c r="E1111" s="17">
        <v>6</v>
      </c>
      <c r="F1111" s="26" t="str">
        <f>CADASTROS!$E$944</f>
        <v>Banco do Brasil</v>
      </c>
      <c r="G1111" s="24" t="str">
        <f>CADASTROS!$F$944</f>
        <v>2760-X</v>
      </c>
      <c r="H1111" s="26" t="str">
        <f>CADASTROS!$G$944</f>
        <v>poup</v>
      </c>
      <c r="I1111" s="16" t="str">
        <f>CADASTROS!$H$944</f>
        <v>17.865-9</v>
      </c>
      <c r="J1111" s="18">
        <f t="shared" si="44"/>
        <v>0</v>
      </c>
    </row>
    <row r="1112" spans="1:10" ht="15.75" x14ac:dyDescent="0.25">
      <c r="A1112" s="24">
        <f>CADASTROS!$B$945</f>
        <v>943</v>
      </c>
      <c r="B1112" s="15" t="str">
        <f>CADASTROS!$C$945</f>
        <v>Jaires Francisco Santos</v>
      </c>
      <c r="C1112" s="25"/>
      <c r="D1112" s="52">
        <f>PLANILHA_COLHEITA_DIÁRIA!$I$1494</f>
        <v>0</v>
      </c>
      <c r="E1112" s="17">
        <v>6</v>
      </c>
      <c r="F1112" s="26" t="str">
        <f>CADASTROS!$E$945</f>
        <v>Banco do Brasil</v>
      </c>
      <c r="G1112" s="24" t="str">
        <f>CADASTROS!$F$945</f>
        <v>2760-X</v>
      </c>
      <c r="H1112" s="26" t="str">
        <f>CADASTROS!$G$945</f>
        <v>poup</v>
      </c>
      <c r="I1112" s="16" t="str">
        <f>CADASTROS!$H$945</f>
        <v>13.737-5</v>
      </c>
      <c r="J1112" s="18">
        <f t="shared" si="44"/>
        <v>0</v>
      </c>
    </row>
    <row r="1113" spans="1:10" ht="15.75" x14ac:dyDescent="0.25">
      <c r="A1113" s="24">
        <f>CADASTROS!$B$946</f>
        <v>944</v>
      </c>
      <c r="B1113" s="15" t="str">
        <f>CADASTROS!$C$946</f>
        <v>Joilson Santos Lima</v>
      </c>
      <c r="C1113" s="25"/>
      <c r="D1113" s="35">
        <f>PLANILHA_COLHEITA_DIÁRIA!$I$1495</f>
        <v>0</v>
      </c>
      <c r="E1113" s="17">
        <v>6</v>
      </c>
      <c r="F1113" s="26" t="str">
        <f>CADASTROS!$E$946</f>
        <v>Cx. Econômica</v>
      </c>
      <c r="G1113" s="24">
        <f>CADASTROS!$F$946</f>
        <v>4818</v>
      </c>
      <c r="H1113" s="26">
        <f>CADASTROS!$G$946</f>
        <v>13</v>
      </c>
      <c r="I1113" s="16" t="str">
        <f>CADASTROS!$H$946</f>
        <v>00004371-0</v>
      </c>
      <c r="J1113" s="18">
        <f t="shared" si="44"/>
        <v>0</v>
      </c>
    </row>
    <row r="1114" spans="1:10" ht="15.75" x14ac:dyDescent="0.25">
      <c r="B1114" s="220"/>
      <c r="C1114" s="220"/>
      <c r="D1114" s="12">
        <f>SUM(D1069:D1113)</f>
        <v>256.5</v>
      </c>
      <c r="E1114" s="12"/>
      <c r="F1114" s="162"/>
      <c r="G1114" s="163"/>
      <c r="H1114" s="163"/>
      <c r="I1114" s="164"/>
      <c r="J1114" s="14">
        <f>SUM(J1069:J1113)</f>
        <v>1539</v>
      </c>
    </row>
    <row r="1116" spans="1:10" ht="15.75" x14ac:dyDescent="0.25">
      <c r="A1116" s="213" t="s">
        <v>4816</v>
      </c>
      <c r="B1116" s="213"/>
      <c r="C1116" s="213"/>
      <c r="D1116" s="213"/>
      <c r="E1116" s="213"/>
      <c r="F1116" s="213"/>
      <c r="G1116" s="213"/>
      <c r="H1116" s="213"/>
      <c r="I1116" s="213"/>
      <c r="J1116" s="213"/>
    </row>
    <row r="1117" spans="1:10" ht="16.5" thickBot="1" x14ac:dyDescent="0.3">
      <c r="A1117" s="214" t="s">
        <v>4843</v>
      </c>
      <c r="B1117" s="214"/>
      <c r="C1117" s="214"/>
      <c r="D1117" s="214"/>
      <c r="E1117" s="214"/>
      <c r="F1117" s="214"/>
      <c r="G1117" s="214"/>
      <c r="H1117" s="214"/>
      <c r="I1117" s="214"/>
      <c r="J1117" s="214"/>
    </row>
    <row r="1118" spans="1:10" ht="17.25" thickTop="1" thickBot="1" x14ac:dyDescent="0.3">
      <c r="A1118" s="215" t="s">
        <v>4844</v>
      </c>
      <c r="B1118" s="215"/>
      <c r="C1118" s="215"/>
      <c r="D1118" s="215"/>
      <c r="E1118" s="215"/>
      <c r="F1118" s="215"/>
      <c r="G1118" s="215"/>
      <c r="H1118" s="215"/>
      <c r="I1118" s="215"/>
      <c r="J1118" s="215"/>
    </row>
    <row r="1119" spans="1:10" ht="18" customHeight="1" x14ac:dyDescent="0.25">
      <c r="A1119" s="19" t="s">
        <v>4846</v>
      </c>
      <c r="B1119" s="216" t="s">
        <v>1</v>
      </c>
      <c r="C1119" s="221" t="s">
        <v>2</v>
      </c>
      <c r="D1119" s="223" t="s">
        <v>4847</v>
      </c>
      <c r="E1119" s="20" t="s">
        <v>4848</v>
      </c>
      <c r="F1119" s="216" t="s">
        <v>3</v>
      </c>
      <c r="G1119" s="216" t="s">
        <v>4</v>
      </c>
      <c r="H1119" s="216" t="s">
        <v>5</v>
      </c>
      <c r="I1119" s="216" t="s">
        <v>6</v>
      </c>
      <c r="J1119" s="218" t="s">
        <v>4849</v>
      </c>
    </row>
    <row r="1120" spans="1:10" ht="19.5" customHeight="1" thickBot="1" x14ac:dyDescent="0.3">
      <c r="A1120" s="21" t="s">
        <v>4850</v>
      </c>
      <c r="B1120" s="217"/>
      <c r="C1120" s="222"/>
      <c r="D1120" s="224"/>
      <c r="E1120" s="161" t="s">
        <v>4851</v>
      </c>
      <c r="F1120" s="217"/>
      <c r="G1120" s="217"/>
      <c r="H1120" s="217"/>
      <c r="I1120" s="217"/>
      <c r="J1120" s="219"/>
    </row>
    <row r="1121" spans="1:10" ht="15.75" x14ac:dyDescent="0.25">
      <c r="A1121" s="24">
        <f>CADASTROS!$B$947</f>
        <v>945</v>
      </c>
      <c r="B1121" s="15" t="str">
        <f>CADASTROS!$C$947</f>
        <v>Maria de Almeida</v>
      </c>
      <c r="C1121" s="25"/>
      <c r="D1121" s="35">
        <f>PLANILHA_COLHEITA_DIÁRIA!$I$1496</f>
        <v>0</v>
      </c>
      <c r="E1121" s="17">
        <v>6</v>
      </c>
      <c r="F1121" s="26" t="str">
        <f>CADASTROS!$E$947</f>
        <v>Cx. Econômica</v>
      </c>
      <c r="G1121" s="24">
        <f>CADASTROS!$F$947</f>
        <v>949</v>
      </c>
      <c r="H1121" s="26">
        <f>CADASTROS!$G$947</f>
        <v>23</v>
      </c>
      <c r="I1121" s="16" t="str">
        <f>CADASTROS!$H$947</f>
        <v>00024202-0</v>
      </c>
      <c r="J1121" s="18">
        <f t="shared" ref="J1121:J1130" si="45">D1121*E1121</f>
        <v>0</v>
      </c>
    </row>
    <row r="1122" spans="1:10" ht="15.75" x14ac:dyDescent="0.25">
      <c r="A1122" s="24">
        <f>CADASTROS!$B$948</f>
        <v>946</v>
      </c>
      <c r="B1122" s="15" t="str">
        <f>CADASTROS!$C$948</f>
        <v xml:space="preserve">Nobertino Mauricio da Conceição </v>
      </c>
      <c r="C1122" s="25"/>
      <c r="D1122" s="52">
        <f>PLANILHA_COLHEITA_DIÁRIA!$I$1497</f>
        <v>50.5</v>
      </c>
      <c r="E1122" s="17">
        <v>6</v>
      </c>
      <c r="F1122" s="26" t="str">
        <f>CADASTROS!$E$948</f>
        <v>Bradesco</v>
      </c>
      <c r="G1122" s="24" t="str">
        <f>CADASTROS!$F$948</f>
        <v>3532-7</v>
      </c>
      <c r="H1122" s="26" t="str">
        <f>CADASTROS!$G$948</f>
        <v>c/corr</v>
      </c>
      <c r="I1122" s="16" t="str">
        <f>CADASTROS!$H$948</f>
        <v>0517291-8</v>
      </c>
      <c r="J1122" s="18">
        <f t="shared" si="45"/>
        <v>303</v>
      </c>
    </row>
    <row r="1123" spans="1:10" ht="15.75" x14ac:dyDescent="0.25">
      <c r="A1123" s="24">
        <f>CADASTROS!$B$949</f>
        <v>947</v>
      </c>
      <c r="B1123" s="15" t="str">
        <f>CADASTROS!$C$949</f>
        <v>Rosangela Alves Pereira (2B)</v>
      </c>
      <c r="C1123" s="25"/>
      <c r="D1123" s="35">
        <f>PLANILHA_COLHEITA_DIÁRIA!$I$1498</f>
        <v>0</v>
      </c>
      <c r="E1123" s="17">
        <v>6</v>
      </c>
      <c r="F1123" s="26" t="str">
        <f>CADASTROS!$E$949</f>
        <v>Cx. Econômica</v>
      </c>
      <c r="G1123" s="24">
        <f>CADASTROS!$F$949</f>
        <v>4694</v>
      </c>
      <c r="H1123" s="26">
        <f>CADASTROS!$G$949</f>
        <v>23</v>
      </c>
      <c r="I1123" s="16" t="str">
        <f>CADASTROS!$H$949</f>
        <v>00000451-5</v>
      </c>
      <c r="J1123" s="18">
        <f t="shared" si="45"/>
        <v>0</v>
      </c>
    </row>
    <row r="1124" spans="1:10" ht="15.75" x14ac:dyDescent="0.25">
      <c r="A1124" s="24">
        <f>CADASTROS!$B$950</f>
        <v>948</v>
      </c>
      <c r="B1124" s="15" t="str">
        <f>CADASTROS!$C$950</f>
        <v>Iolanda Moureira da Silva (2B)</v>
      </c>
      <c r="C1124" s="25"/>
      <c r="D1124" s="52">
        <f>PLANILHA_COLHEITA_DIÁRIA!$I$1499</f>
        <v>0</v>
      </c>
      <c r="E1124" s="17">
        <v>6</v>
      </c>
      <c r="F1124" s="26" t="str">
        <f>CADASTROS!$E$950</f>
        <v>Cx. Econômica</v>
      </c>
      <c r="G1124" s="24">
        <f>CADASTROS!$F$950</f>
        <v>4825</v>
      </c>
      <c r="H1124" s="26">
        <f>CADASTROS!$G$950</f>
        <v>1288</v>
      </c>
      <c r="I1124" s="16" t="str">
        <f>CADASTROS!$H$950</f>
        <v>854853008-0</v>
      </c>
      <c r="J1124" s="18">
        <f t="shared" si="45"/>
        <v>0</v>
      </c>
    </row>
    <row r="1125" spans="1:10" ht="15.75" x14ac:dyDescent="0.25">
      <c r="A1125" s="24">
        <f>CADASTROS!$B$951</f>
        <v>949</v>
      </c>
      <c r="B1125" s="15" t="str">
        <f>CADASTROS!$C$951</f>
        <v>Marivalda Santos da S. Macedo</v>
      </c>
      <c r="C1125" s="25"/>
      <c r="D1125" s="52">
        <f>PLANILHA_COLHEITA_DIÁRIA!$I$1500</f>
        <v>0</v>
      </c>
      <c r="E1125" s="17">
        <v>6</v>
      </c>
      <c r="F1125" s="26" t="str">
        <f>CADASTROS!$E$951</f>
        <v>Cx. Econômica</v>
      </c>
      <c r="G1125" s="24">
        <f>CADASTROS!$F$951</f>
        <v>4825</v>
      </c>
      <c r="H1125" s="26">
        <f>CADASTROS!$G$951</f>
        <v>13</v>
      </c>
      <c r="I1125" s="16" t="str">
        <f>CADASTROS!$H$951</f>
        <v>00005897-0</v>
      </c>
      <c r="J1125" s="18">
        <f t="shared" si="45"/>
        <v>0</v>
      </c>
    </row>
    <row r="1126" spans="1:10" ht="15.75" x14ac:dyDescent="0.25">
      <c r="A1126" s="24">
        <f>CADASTROS!$B$952</f>
        <v>950</v>
      </c>
      <c r="B1126" s="15" t="str">
        <f>CADASTROS!$C$952</f>
        <v>Albino Joaquim da Silva</v>
      </c>
      <c r="C1126" s="25"/>
      <c r="D1126" s="52">
        <f>PLANILHA_COLHEITA_DIÁRIA!$I$1501</f>
        <v>0</v>
      </c>
      <c r="E1126" s="17">
        <v>6</v>
      </c>
      <c r="F1126" s="26" t="str">
        <f>CADASTROS!$E$952</f>
        <v>Bradesco</v>
      </c>
      <c r="G1126" s="24">
        <f>CADASTROS!$F$952</f>
        <v>3801</v>
      </c>
      <c r="H1126" s="26" t="str">
        <f>CADASTROS!$G$952</f>
        <v>c/corr</v>
      </c>
      <c r="I1126" s="16" t="str">
        <f>CADASTROS!$H$952</f>
        <v>520834-3</v>
      </c>
      <c r="J1126" s="18">
        <f t="shared" si="45"/>
        <v>0</v>
      </c>
    </row>
    <row r="1127" spans="1:10" ht="15.75" x14ac:dyDescent="0.25">
      <c r="A1127" s="24">
        <f>CADASTROS!$B$953</f>
        <v>951</v>
      </c>
      <c r="B1127" s="15" t="str">
        <f>CADASTROS!$C$953</f>
        <v>Zenilda Paixão dos Santos</v>
      </c>
      <c r="C1127" s="25"/>
      <c r="D1127" s="35">
        <f>PLANILHA_COLHEITA_DIÁRIA!$I$1502</f>
        <v>0</v>
      </c>
      <c r="E1127" s="17">
        <v>6</v>
      </c>
      <c r="F1127" s="26" t="str">
        <f>CADASTROS!$E$953</f>
        <v>Bradesco</v>
      </c>
      <c r="G1127" s="24">
        <f>CADASTROS!$F$953</f>
        <v>3616</v>
      </c>
      <c r="H1127" s="26" t="str">
        <f>CADASTROS!$G$953</f>
        <v>poup</v>
      </c>
      <c r="I1127" s="16" t="str">
        <f>CADASTROS!$H$953</f>
        <v>1000061-0</v>
      </c>
      <c r="J1127" s="18">
        <f t="shared" si="45"/>
        <v>0</v>
      </c>
    </row>
    <row r="1128" spans="1:10" ht="15.75" x14ac:dyDescent="0.25">
      <c r="A1128" s="24">
        <f>CADASTROS!$B$954</f>
        <v>952</v>
      </c>
      <c r="B1128" s="15" t="str">
        <f>CADASTROS!$C$954</f>
        <v>Jazon Dias Damasceno</v>
      </c>
      <c r="C1128" s="25"/>
      <c r="D1128" s="35">
        <f>PLANILHA_COLHEITA_DIÁRIA!$I$1503</f>
        <v>0</v>
      </c>
      <c r="E1128" s="17">
        <v>6</v>
      </c>
      <c r="F1128" s="26" t="str">
        <f>CADASTROS!$E$954</f>
        <v>Cx. Econômica</v>
      </c>
      <c r="G1128" s="24">
        <f>CADASTROS!$F$954</f>
        <v>4818</v>
      </c>
      <c r="H1128" s="26">
        <f>CADASTROS!$G$954</f>
        <v>13</v>
      </c>
      <c r="I1128" s="16" t="str">
        <f>CADASTROS!$H$954</f>
        <v>00010722-0</v>
      </c>
      <c r="J1128" s="18">
        <f t="shared" si="45"/>
        <v>0</v>
      </c>
    </row>
    <row r="1129" spans="1:10" ht="15.75" x14ac:dyDescent="0.25">
      <c r="A1129" s="24">
        <f>CADASTROS!$B$955</f>
        <v>953</v>
      </c>
      <c r="B1129" s="15" t="str">
        <f>CADASTROS!$C$955</f>
        <v>Pureza de Jesus Oliveira</v>
      </c>
      <c r="C1129" s="25"/>
      <c r="D1129" s="35">
        <f>PLANILHA_COLHEITA_DIÁRIA!$I$1504</f>
        <v>0</v>
      </c>
      <c r="E1129" s="17">
        <v>6</v>
      </c>
      <c r="F1129" s="26" t="str">
        <f>CADASTROS!$E$955</f>
        <v>Cx. Econômica</v>
      </c>
      <c r="G1129" s="24">
        <f>CADASTROS!$F$955</f>
        <v>949</v>
      </c>
      <c r="H1129" s="26">
        <f>CADASTROS!$G$955</f>
        <v>23</v>
      </c>
      <c r="I1129" s="16" t="str">
        <f>CADASTROS!$H$955</f>
        <v>00029452-6</v>
      </c>
      <c r="J1129" s="18">
        <f t="shared" si="45"/>
        <v>0</v>
      </c>
    </row>
    <row r="1130" spans="1:10" ht="15.75" x14ac:dyDescent="0.25">
      <c r="A1130" s="24">
        <f>CADASTROS!$B$956</f>
        <v>954</v>
      </c>
      <c r="B1130" s="15" t="str">
        <f>CADASTROS!$C$956</f>
        <v>Marinalva A. Moraes de Souza</v>
      </c>
      <c r="C1130" s="25"/>
      <c r="D1130" s="52">
        <f>PLANILHA_COLHEITA_DIÁRIA!$I$1505</f>
        <v>0</v>
      </c>
      <c r="E1130" s="17">
        <v>6</v>
      </c>
      <c r="F1130" s="26" t="str">
        <f>CADASTROS!$E$956</f>
        <v>Banco do Brasil</v>
      </c>
      <c r="G1130" s="24" t="str">
        <f>CADASTROS!$F$956</f>
        <v>2760-X</v>
      </c>
      <c r="H1130" s="26" t="str">
        <f>CADASTROS!$G$956</f>
        <v>poup</v>
      </c>
      <c r="I1130" s="16" t="str">
        <f>CADASTROS!$H$956</f>
        <v>8.035-7</v>
      </c>
      <c r="J1130" s="18">
        <f t="shared" si="45"/>
        <v>0</v>
      </c>
    </row>
    <row r="1131" spans="1:10" ht="15.75" x14ac:dyDescent="0.25">
      <c r="A1131" s="24">
        <f>CADASTROS!$B$957</f>
        <v>955</v>
      </c>
      <c r="B1131" s="15" t="str">
        <f>CADASTROS!$C$957</f>
        <v>Luzinaria Laranjeira de Sousa</v>
      </c>
      <c r="C1131" s="25"/>
      <c r="D1131" s="52">
        <f>PLANILHA_COLHEITA_DIÁRIA!$I$1506</f>
        <v>0</v>
      </c>
      <c r="E1131" s="17">
        <v>6</v>
      </c>
      <c r="F1131" s="26" t="str">
        <f>CADASTROS!$E$957</f>
        <v>Cx. Econômica</v>
      </c>
      <c r="G1131" s="24">
        <f>CADASTROS!$F$957</f>
        <v>3444</v>
      </c>
      <c r="H1131" s="26">
        <f>CADASTROS!$G$957</f>
        <v>13</v>
      </c>
      <c r="I1131" s="16" t="str">
        <f>CADASTROS!$H$957</f>
        <v>00028114-4</v>
      </c>
      <c r="J1131" s="18">
        <f>D1131*E1131</f>
        <v>0</v>
      </c>
    </row>
    <row r="1132" spans="1:10" ht="15.75" x14ac:dyDescent="0.25">
      <c r="A1132" s="24">
        <f>CADASTROS!$B$958</f>
        <v>956</v>
      </c>
      <c r="B1132" s="15" t="str">
        <f>CADASTROS!$C$958</f>
        <v>Ailton Cedro de Souza</v>
      </c>
      <c r="C1132" s="25"/>
      <c r="D1132" s="35">
        <f>PLANILHA_COLHEITA_DIÁRIA!$I$1507</f>
        <v>0</v>
      </c>
      <c r="E1132" s="17">
        <v>6</v>
      </c>
      <c r="F1132" s="26" t="str">
        <f>CADASTROS!$E$958</f>
        <v>Cx. Econômica</v>
      </c>
      <c r="G1132" s="24">
        <f>CADASTROS!$F$958</f>
        <v>4818</v>
      </c>
      <c r="H1132" s="26">
        <f>CADASTROS!$G$958</f>
        <v>0</v>
      </c>
      <c r="I1132" s="16" t="str">
        <f>CADASTROS!$H$958</f>
        <v>000857553572-0</v>
      </c>
      <c r="J1132" s="18">
        <f t="shared" ref="J1132" si="46">D1132*E1132</f>
        <v>0</v>
      </c>
    </row>
    <row r="1133" spans="1:10" ht="15.75" x14ac:dyDescent="0.25">
      <c r="A1133" s="24">
        <f>CADASTROS!$B$959</f>
        <v>957</v>
      </c>
      <c r="B1133" s="15" t="str">
        <f>CADASTROS!$C$959</f>
        <v>Terezinha C. Ferreira</v>
      </c>
      <c r="C1133" s="25"/>
      <c r="D1133" s="53">
        <f>PLANILHA_COLHEITA_DIÁRIA!$I$1508</f>
        <v>0</v>
      </c>
      <c r="E1133" s="17">
        <v>6</v>
      </c>
      <c r="F1133" s="26" t="str">
        <f>CADASTROS!$E$959</f>
        <v>Cx. Econômica</v>
      </c>
      <c r="G1133" s="24">
        <f>CADASTROS!$F$959</f>
        <v>949</v>
      </c>
      <c r="H1133" s="26">
        <f>CADASTROS!$G$959</f>
        <v>23</v>
      </c>
      <c r="I1133" s="16" t="str">
        <f>CADASTROS!$H$959</f>
        <v>00006438-5</v>
      </c>
      <c r="J1133" s="18">
        <f>D1133*E1133</f>
        <v>0</v>
      </c>
    </row>
    <row r="1134" spans="1:10" ht="15.75" x14ac:dyDescent="0.25">
      <c r="A1134" s="24">
        <f>CADASTROS!$B$960</f>
        <v>958</v>
      </c>
      <c r="B1134" s="15" t="str">
        <f>CADASTROS!$C$960</f>
        <v>Jocelma Costa dos Santos</v>
      </c>
      <c r="C1134" s="25"/>
      <c r="D1134" s="35">
        <f>PLANILHA_COLHEITA_DIÁRIA!$I$1509</f>
        <v>0</v>
      </c>
      <c r="E1134" s="17">
        <v>6</v>
      </c>
      <c r="F1134" s="26" t="str">
        <f>CADASTROS!$E$960</f>
        <v>Banco do Brasil</v>
      </c>
      <c r="G1134" s="24" t="str">
        <f>CADASTROS!$F$960</f>
        <v>2760-X</v>
      </c>
      <c r="H1134" s="26" t="str">
        <f>CADASTROS!$G$960</f>
        <v>poup</v>
      </c>
      <c r="I1134" s="16" t="str">
        <f>CADASTROS!$H$960</f>
        <v>15.281-1</v>
      </c>
      <c r="J1134" s="18">
        <f t="shared" ref="J1134:J1165" si="47">D1134*E1134</f>
        <v>0</v>
      </c>
    </row>
    <row r="1135" spans="1:10" ht="15.75" x14ac:dyDescent="0.25">
      <c r="A1135" s="24">
        <f>CADASTROS!$B$961</f>
        <v>959</v>
      </c>
      <c r="B1135" s="15" t="str">
        <f>CADASTROS!$C$961</f>
        <v>Daiane Miranda da Cruz (2B)</v>
      </c>
      <c r="C1135" s="25"/>
      <c r="D1135" s="35">
        <f>PLANILHA_COLHEITA_DIÁRIA!$I$1510</f>
        <v>0</v>
      </c>
      <c r="E1135" s="17">
        <v>6</v>
      </c>
      <c r="F1135" s="26" t="str">
        <f>CADASTROS!$E$961</f>
        <v>Cx. Econômica</v>
      </c>
      <c r="G1135" s="24">
        <f>CADASTROS!$F$961</f>
        <v>4825</v>
      </c>
      <c r="H1135" s="26">
        <f>CADASTROS!$G$961</f>
        <v>13</v>
      </c>
      <c r="I1135" s="16" t="str">
        <f>CADASTROS!$H$961</f>
        <v>00016551-2</v>
      </c>
      <c r="J1135" s="18">
        <f t="shared" si="47"/>
        <v>0</v>
      </c>
    </row>
    <row r="1136" spans="1:10" ht="15.75" x14ac:dyDescent="0.25">
      <c r="A1136" s="24">
        <f>CADASTROS!$B$962</f>
        <v>960</v>
      </c>
      <c r="B1136" s="15" t="str">
        <f>CADASTROS!$C$962</f>
        <v>Maria do Carmo Almeida Cruz</v>
      </c>
      <c r="C1136" s="25"/>
      <c r="D1136" s="35">
        <f>PLANILHA_COLHEITA_DIÁRIA!$I$1511</f>
        <v>0</v>
      </c>
      <c r="E1136" s="17">
        <v>6</v>
      </c>
      <c r="F1136" s="26" t="str">
        <f>CADASTROS!$E$962</f>
        <v>Cx. Econômica</v>
      </c>
      <c r="G1136" s="24">
        <f>CADASTROS!$F$962</f>
        <v>949</v>
      </c>
      <c r="H1136" s="26">
        <f>CADASTROS!$G$962</f>
        <v>23</v>
      </c>
      <c r="I1136" s="16" t="str">
        <f>CADASTROS!$H$962</f>
        <v>00012717-4</v>
      </c>
      <c r="J1136" s="18">
        <f t="shared" si="47"/>
        <v>0</v>
      </c>
    </row>
    <row r="1137" spans="1:10" ht="15.75" x14ac:dyDescent="0.25">
      <c r="A1137" s="24">
        <f>CADASTROS!$B$963</f>
        <v>961</v>
      </c>
      <c r="B1137" s="15" t="str">
        <f>CADASTROS!$C$963</f>
        <v>José Marcos V. Lopes</v>
      </c>
      <c r="C1137" s="25"/>
      <c r="D1137" s="35">
        <f>PLANILHA_COLHEITA_DIÁRIA!$I$1512</f>
        <v>0</v>
      </c>
      <c r="E1137" s="17">
        <v>6</v>
      </c>
      <c r="F1137" s="26" t="str">
        <f>CADASTROS!$E$963</f>
        <v>Cx. Econômica</v>
      </c>
      <c r="G1137" s="24">
        <f>CADASTROS!$F$963</f>
        <v>4825</v>
      </c>
      <c r="H1137" s="26">
        <f>CADASTROS!$G$963</f>
        <v>13</v>
      </c>
      <c r="I1137" s="16" t="str">
        <f>CADASTROS!$H$963</f>
        <v>00006569-0</v>
      </c>
      <c r="J1137" s="18">
        <f t="shared" si="47"/>
        <v>0</v>
      </c>
    </row>
    <row r="1138" spans="1:10" ht="15.75" x14ac:dyDescent="0.25">
      <c r="A1138" s="24">
        <f>CADASTROS!$B$964</f>
        <v>962</v>
      </c>
      <c r="B1138" s="15" t="str">
        <f>CADASTROS!$C$964</f>
        <v>Eleonia Jesus A Oliveira</v>
      </c>
      <c r="C1138" s="25"/>
      <c r="D1138" s="35">
        <f>PLANILHA_COLHEITA_DIÁRIA!$I$1513</f>
        <v>0</v>
      </c>
      <c r="E1138" s="17">
        <v>6</v>
      </c>
      <c r="F1138" s="26" t="str">
        <f>CADASTROS!$E$964</f>
        <v>Cx. Econômica</v>
      </c>
      <c r="G1138" s="24">
        <f>CADASTROS!$F$964</f>
        <v>949</v>
      </c>
      <c r="H1138" s="26">
        <f>CADASTROS!$G$964</f>
        <v>13</v>
      </c>
      <c r="I1138" s="16" t="str">
        <f>CADASTROS!$H$964</f>
        <v>00030196-7</v>
      </c>
      <c r="J1138" s="18">
        <f t="shared" si="47"/>
        <v>0</v>
      </c>
    </row>
    <row r="1139" spans="1:10" ht="15.75" x14ac:dyDescent="0.25">
      <c r="A1139" s="24">
        <f>CADASTROS!$B$965</f>
        <v>963</v>
      </c>
      <c r="B1139" s="15" t="str">
        <f>CADASTROS!$C$965</f>
        <v>Osvaldo Mendes S. Santos</v>
      </c>
      <c r="C1139" s="25"/>
      <c r="D1139" s="35">
        <f>PLANILHA_COLHEITA_DIÁRIA!$I$1514</f>
        <v>24</v>
      </c>
      <c r="E1139" s="17">
        <v>6</v>
      </c>
      <c r="F1139" s="26" t="str">
        <f>CADASTROS!$E$965</f>
        <v>Bradesco</v>
      </c>
      <c r="G1139" s="24">
        <f>CADASTROS!$F$965</f>
        <v>3616</v>
      </c>
      <c r="H1139" s="26" t="str">
        <f>CADASTROS!$G$965</f>
        <v>poup</v>
      </c>
      <c r="I1139" s="16" t="str">
        <f>CADASTROS!$H$965</f>
        <v>0004271-4</v>
      </c>
      <c r="J1139" s="18">
        <f t="shared" si="47"/>
        <v>144</v>
      </c>
    </row>
    <row r="1140" spans="1:10" ht="15.75" x14ac:dyDescent="0.25">
      <c r="A1140" s="24">
        <f>CADASTROS!$B$966</f>
        <v>964</v>
      </c>
      <c r="B1140" s="15" t="str">
        <f>CADASTROS!$C$966</f>
        <v>Nilda Bispo Gama</v>
      </c>
      <c r="C1140" s="25"/>
      <c r="D1140" s="35">
        <f>PLANILHA_COLHEITA_DIÁRIA!$I$1515</f>
        <v>0</v>
      </c>
      <c r="E1140" s="17">
        <v>6</v>
      </c>
      <c r="F1140" s="26" t="str">
        <f>CADASTROS!$E$966</f>
        <v>Cx. Econômica</v>
      </c>
      <c r="G1140" s="24">
        <f>CADASTROS!$F$966</f>
        <v>780</v>
      </c>
      <c r="H1140" s="26">
        <f>CADASTROS!$G$966</f>
        <v>13</v>
      </c>
      <c r="I1140" s="16" t="str">
        <f>CADASTROS!$H$966</f>
        <v>00069809-5</v>
      </c>
      <c r="J1140" s="18">
        <f t="shared" si="47"/>
        <v>0</v>
      </c>
    </row>
    <row r="1141" spans="1:10" ht="15.75" x14ac:dyDescent="0.25">
      <c r="A1141" s="24">
        <f>CADASTROS!$B$967</f>
        <v>965</v>
      </c>
      <c r="B1141" s="15" t="str">
        <f>CADASTROS!$C$967</f>
        <v>Edivaldo Ferreira de Souza</v>
      </c>
      <c r="C1141" s="25"/>
      <c r="D1141" s="35">
        <f>PLANILHA_COLHEITA_DIÁRIA!$I$1516</f>
        <v>0</v>
      </c>
      <c r="E1141" s="17">
        <v>6</v>
      </c>
      <c r="F1141" s="26" t="str">
        <f>CADASTROS!$E$967</f>
        <v>Cx. Econômica</v>
      </c>
      <c r="G1141" s="24">
        <f>CADASTROS!$F$967</f>
        <v>4818</v>
      </c>
      <c r="H1141" s="26">
        <f>CADASTROS!$G$967</f>
        <v>13</v>
      </c>
      <c r="I1141" s="16" t="str">
        <f>CADASTROS!$H$967</f>
        <v>00009733-0</v>
      </c>
      <c r="J1141" s="18">
        <f t="shared" si="47"/>
        <v>0</v>
      </c>
    </row>
    <row r="1142" spans="1:10" ht="15.75" x14ac:dyDescent="0.25">
      <c r="A1142" s="24">
        <f>CADASTROS!$B$968</f>
        <v>966</v>
      </c>
      <c r="B1142" s="15" t="str">
        <f>CADASTROS!$C$968</f>
        <v>Eunaide Gonçalves Ferreira</v>
      </c>
      <c r="C1142" s="25"/>
      <c r="D1142" s="52">
        <f>PLANILHA_COLHEITA_DIÁRIA!$I$1517</f>
        <v>0</v>
      </c>
      <c r="E1142" s="17">
        <v>6</v>
      </c>
      <c r="F1142" s="26" t="str">
        <f>CADASTROS!$E$968</f>
        <v>Cx. Econômica</v>
      </c>
      <c r="G1142" s="24">
        <f>CADASTROS!$F$968</f>
        <v>4818</v>
      </c>
      <c r="H1142" s="26">
        <f>CADASTROS!$G$968</f>
        <v>13</v>
      </c>
      <c r="I1142" s="16" t="str">
        <f>CADASTROS!$H$968</f>
        <v>00005500-0</v>
      </c>
      <c r="J1142" s="18">
        <f t="shared" si="47"/>
        <v>0</v>
      </c>
    </row>
    <row r="1143" spans="1:10" ht="15.75" x14ac:dyDescent="0.25">
      <c r="A1143" s="24">
        <f>CADASTROS!$B$969</f>
        <v>967</v>
      </c>
      <c r="B1143" s="15" t="str">
        <f>CADASTROS!$C$969</f>
        <v>Carmelita Pereira Souza</v>
      </c>
      <c r="C1143" s="25"/>
      <c r="D1143" s="52">
        <f>PLANILHA_COLHEITA_DIÁRIA!$I$1529</f>
        <v>0</v>
      </c>
      <c r="E1143" s="17">
        <v>6</v>
      </c>
      <c r="F1143" s="26" t="str">
        <f>CADASTROS!$E$969</f>
        <v>Cx. Econômica</v>
      </c>
      <c r="G1143" s="24">
        <f>CADASTROS!$F$969</f>
        <v>949</v>
      </c>
      <c r="H1143" s="26">
        <f>CADASTROS!$G$969</f>
        <v>13</v>
      </c>
      <c r="I1143" s="16" t="str">
        <f>CADASTROS!$H$969</f>
        <v>00033787-2</v>
      </c>
      <c r="J1143" s="18">
        <f t="shared" si="47"/>
        <v>0</v>
      </c>
    </row>
    <row r="1144" spans="1:10" ht="15.75" x14ac:dyDescent="0.25">
      <c r="A1144" s="24">
        <f>CADASTROS!$B$970</f>
        <v>968</v>
      </c>
      <c r="B1144" s="15" t="str">
        <f>CADASTROS!$C$970</f>
        <v>Adair V. dos Santos</v>
      </c>
      <c r="C1144" s="25"/>
      <c r="D1144" s="35">
        <f>PLANILHA_COLHEITA_DIÁRIA!$I$1530</f>
        <v>0</v>
      </c>
      <c r="E1144" s="17">
        <v>6</v>
      </c>
      <c r="F1144" s="26" t="str">
        <f>CADASTROS!$E$970</f>
        <v>Cx. Econômica</v>
      </c>
      <c r="G1144" s="24">
        <f>CADASTROS!$F$970</f>
        <v>949</v>
      </c>
      <c r="H1144" s="26">
        <f>CADASTROS!$G$970</f>
        <v>13</v>
      </c>
      <c r="I1144" s="16" t="str">
        <f>CADASTROS!$H$970</f>
        <v>00038889-2</v>
      </c>
      <c r="J1144" s="18">
        <f t="shared" si="47"/>
        <v>0</v>
      </c>
    </row>
    <row r="1145" spans="1:10" ht="15.75" x14ac:dyDescent="0.25">
      <c r="A1145" s="24">
        <f>CADASTROS!$B$971</f>
        <v>969</v>
      </c>
      <c r="B1145" s="15" t="str">
        <f>CADASTROS!$C$971</f>
        <v>Santilha dos Santos Leite</v>
      </c>
      <c r="C1145" s="25"/>
      <c r="D1145" s="35">
        <f>PLANILHA_COLHEITA_DIÁRIA!$I$1531</f>
        <v>0</v>
      </c>
      <c r="E1145" s="17">
        <v>6</v>
      </c>
      <c r="F1145" s="26" t="str">
        <f>CADASTROS!$E$971</f>
        <v>Cx. Econômica</v>
      </c>
      <c r="G1145" s="24">
        <f>CADASTROS!$F$971</f>
        <v>4818</v>
      </c>
      <c r="H1145" s="26">
        <f>CADASTROS!$G$971</f>
        <v>13</v>
      </c>
      <c r="I1145" s="16" t="str">
        <f>CADASTROS!$H$971</f>
        <v>00010479-5</v>
      </c>
      <c r="J1145" s="18">
        <f t="shared" si="47"/>
        <v>0</v>
      </c>
    </row>
    <row r="1146" spans="1:10" ht="15.75" x14ac:dyDescent="0.25">
      <c r="A1146" s="24">
        <f>CADASTROS!$B$972</f>
        <v>970</v>
      </c>
      <c r="B1146" s="15" t="str">
        <f>CADASTROS!$C$972</f>
        <v>Marivaldo Santos da Silva</v>
      </c>
      <c r="C1146" s="25"/>
      <c r="D1146" s="35">
        <f>PLANILHA_COLHEITA_DIÁRIA!$I$1532</f>
        <v>0</v>
      </c>
      <c r="E1146" s="17">
        <v>6</v>
      </c>
      <c r="F1146" s="26" t="str">
        <f>CADASTROS!$E$972</f>
        <v>Cx. Econômica</v>
      </c>
      <c r="G1146" s="24">
        <f>CADASTROS!$F$972</f>
        <v>4818</v>
      </c>
      <c r="H1146" s="26">
        <f>CADASTROS!$G$972</f>
        <v>13</v>
      </c>
      <c r="I1146" s="16" t="str">
        <f>CADASTROS!$H$972</f>
        <v>00012889-9</v>
      </c>
      <c r="J1146" s="18">
        <f t="shared" si="47"/>
        <v>0</v>
      </c>
    </row>
    <row r="1147" spans="1:10" ht="15.75" x14ac:dyDescent="0.25">
      <c r="A1147" s="24">
        <f>CADASTROS!$B$973</f>
        <v>971</v>
      </c>
      <c r="B1147" s="15" t="str">
        <f>CADASTROS!$C$973</f>
        <v>Edson Santos da Silva (2B)</v>
      </c>
      <c r="C1147" s="25"/>
      <c r="D1147" s="52">
        <f>PLANILHA_COLHEITA_DIÁRIA!$I$1533</f>
        <v>0</v>
      </c>
      <c r="E1147" s="17">
        <v>6</v>
      </c>
      <c r="F1147" s="26" t="str">
        <f>CADASTROS!$E$973</f>
        <v>Cx. Econômica</v>
      </c>
      <c r="G1147" s="24">
        <f>CADASTROS!$F$973</f>
        <v>3419</v>
      </c>
      <c r="H1147" s="26">
        <f>CADASTROS!$G$973</f>
        <v>13</v>
      </c>
      <c r="I1147" s="16" t="str">
        <f>CADASTROS!$H$973</f>
        <v>00017906-8</v>
      </c>
      <c r="J1147" s="18">
        <f t="shared" si="47"/>
        <v>0</v>
      </c>
    </row>
    <row r="1148" spans="1:10" ht="15.75" x14ac:dyDescent="0.25">
      <c r="A1148" s="24">
        <f>CADASTROS!$B$974</f>
        <v>972</v>
      </c>
      <c r="B1148" s="15" t="str">
        <f>CADASTROS!$C$974</f>
        <v>Maria da Paixão de Jesus</v>
      </c>
      <c r="C1148" s="25"/>
      <c r="D1148" s="35">
        <f>PLANILHA_COLHEITA_DIÁRIA!$I$1534</f>
        <v>0</v>
      </c>
      <c r="E1148" s="17">
        <v>6</v>
      </c>
      <c r="F1148" s="26" t="str">
        <f>CADASTROS!$E$974</f>
        <v>Cx. Econômica</v>
      </c>
      <c r="G1148" s="24">
        <f>CADASTROS!$F$974</f>
        <v>4818</v>
      </c>
      <c r="H1148" s="26">
        <f>CADASTROS!$G$974</f>
        <v>13</v>
      </c>
      <c r="I1148" s="16" t="str">
        <f>CADASTROS!$H$974</f>
        <v>00009902-3</v>
      </c>
      <c r="J1148" s="18">
        <f t="shared" si="47"/>
        <v>0</v>
      </c>
    </row>
    <row r="1149" spans="1:10" ht="15.75" x14ac:dyDescent="0.25">
      <c r="A1149" s="24">
        <f>CADASTROS!$B$975</f>
        <v>973</v>
      </c>
      <c r="B1149" s="15" t="str">
        <f>CADASTROS!$C$975</f>
        <v>Barbara Regina de Souza</v>
      </c>
      <c r="C1149" s="25"/>
      <c r="D1149" s="35">
        <f>PLANILHA_COLHEITA_DIÁRIA!$I$1535</f>
        <v>0</v>
      </c>
      <c r="E1149" s="17">
        <v>6</v>
      </c>
      <c r="F1149" s="26" t="str">
        <f>CADASTROS!$E$975</f>
        <v>Cx. Econômica</v>
      </c>
      <c r="G1149" s="24">
        <f>CADASTROS!$F$975</f>
        <v>949</v>
      </c>
      <c r="H1149" s="26">
        <f>CADASTROS!$G$975</f>
        <v>13</v>
      </c>
      <c r="I1149" s="16" t="str">
        <f>CADASTROS!$H$975</f>
        <v>00038687-3</v>
      </c>
      <c r="J1149" s="18">
        <f t="shared" si="47"/>
        <v>0</v>
      </c>
    </row>
    <row r="1150" spans="1:10" ht="15.75" x14ac:dyDescent="0.25">
      <c r="A1150" s="24">
        <f>CADASTROS!$B$976</f>
        <v>974</v>
      </c>
      <c r="B1150" s="15" t="str">
        <f>CADASTROS!$C$976</f>
        <v>Núbia Margarete Araújo</v>
      </c>
      <c r="C1150" s="25"/>
      <c r="D1150" s="35">
        <f>PLANILHA_COLHEITA_DIÁRIA!$I$1536</f>
        <v>0</v>
      </c>
      <c r="E1150" s="17">
        <v>6</v>
      </c>
      <c r="F1150" s="26" t="str">
        <f>CADASTROS!$E$976</f>
        <v>Cx. Econômica</v>
      </c>
      <c r="G1150" s="24">
        <f>CADASTROS!$F$976</f>
        <v>949</v>
      </c>
      <c r="H1150" s="26">
        <f>CADASTROS!$G$976</f>
        <v>23</v>
      </c>
      <c r="I1150" s="16" t="str">
        <f>CADASTROS!$H$976</f>
        <v>00006981-6</v>
      </c>
      <c r="J1150" s="18">
        <f t="shared" si="47"/>
        <v>0</v>
      </c>
    </row>
    <row r="1151" spans="1:10" ht="15.75" x14ac:dyDescent="0.25">
      <c r="A1151" s="24">
        <f>CADASTROS!$B$977</f>
        <v>975</v>
      </c>
      <c r="B1151" s="15" t="str">
        <f>CADASTROS!$C$977</f>
        <v>Alex da Silva Santos</v>
      </c>
      <c r="C1151" s="25"/>
      <c r="D1151" s="52">
        <f>PLANILHA_COLHEITA_DIÁRIA!$I$1537</f>
        <v>0</v>
      </c>
      <c r="E1151" s="17">
        <v>6</v>
      </c>
      <c r="F1151" s="26" t="str">
        <f>CADASTROS!$E$977</f>
        <v>Cx. Econômica</v>
      </c>
      <c r="G1151" s="24">
        <f>CADASTROS!$F$977</f>
        <v>4825</v>
      </c>
      <c r="H1151" s="26">
        <f>CADASTROS!$G$977</f>
        <v>13</v>
      </c>
      <c r="I1151" s="16" t="str">
        <f>CADASTROS!$H$977</f>
        <v>00020515-8</v>
      </c>
      <c r="J1151" s="18">
        <f t="shared" si="47"/>
        <v>0</v>
      </c>
    </row>
    <row r="1152" spans="1:10" ht="15.75" x14ac:dyDescent="0.25">
      <c r="A1152" s="24">
        <f>CADASTROS!$B$978</f>
        <v>976</v>
      </c>
      <c r="B1152" s="15" t="str">
        <f>CADASTROS!$C$978</f>
        <v>Viviane Ramalho de Oliveira</v>
      </c>
      <c r="C1152" s="25"/>
      <c r="D1152" s="52">
        <f>PLANILHA_COLHEITA_DIÁRIA!$I$1538</f>
        <v>0</v>
      </c>
      <c r="E1152" s="17">
        <v>6</v>
      </c>
      <c r="F1152" s="26" t="str">
        <f>CADASTROS!$E$978</f>
        <v>Cx. Econômica</v>
      </c>
      <c r="G1152" s="24">
        <f>CADASTROS!$F$978</f>
        <v>565</v>
      </c>
      <c r="H1152" s="26">
        <f>CADASTROS!$G$978</f>
        <v>23</v>
      </c>
      <c r="I1152" s="16" t="str">
        <f>CADASTROS!$H$978</f>
        <v>00006006-4</v>
      </c>
      <c r="J1152" s="18">
        <f t="shared" si="47"/>
        <v>0</v>
      </c>
    </row>
    <row r="1153" spans="1:10" ht="15.75" x14ac:dyDescent="0.25">
      <c r="A1153" s="24">
        <f>CADASTROS!$B$979</f>
        <v>977</v>
      </c>
      <c r="B1153" s="15" t="str">
        <f>CADASTROS!$C$979</f>
        <v>Fábio de Souza Dias</v>
      </c>
      <c r="C1153" s="25"/>
      <c r="D1153" s="52">
        <f>PLANILHA_COLHEITA_DIÁRIA!$I$1539</f>
        <v>0</v>
      </c>
      <c r="E1153" s="17">
        <v>6</v>
      </c>
      <c r="F1153" s="26" t="str">
        <f>CADASTROS!$E$979</f>
        <v>Bradesco</v>
      </c>
      <c r="G1153" s="24">
        <f>CADASTROS!$F$979</f>
        <v>3414</v>
      </c>
      <c r="H1153" s="26" t="str">
        <f>CADASTROS!$G$979</f>
        <v>poup</v>
      </c>
      <c r="I1153" s="16" t="str">
        <f>CADASTROS!$H$979</f>
        <v>0017394-0</v>
      </c>
      <c r="J1153" s="18">
        <f t="shared" si="47"/>
        <v>0</v>
      </c>
    </row>
    <row r="1154" spans="1:10" ht="15.75" x14ac:dyDescent="0.25">
      <c r="A1154" s="24">
        <f>CADASTROS!$B$980</f>
        <v>978</v>
      </c>
      <c r="B1154" s="15" t="str">
        <f>CADASTROS!$C$980</f>
        <v>Ourivaldo Bispo Gama</v>
      </c>
      <c r="C1154" s="25"/>
      <c r="D1154" s="35">
        <f>PLANILHA_COLHEITA_DIÁRIA!$I$1540</f>
        <v>0</v>
      </c>
      <c r="E1154" s="17">
        <v>6</v>
      </c>
      <c r="F1154" s="26" t="str">
        <f>CADASTROS!$E$980</f>
        <v>Bradesco</v>
      </c>
      <c r="G1154" s="24">
        <f>CADASTROS!$F$980</f>
        <v>3616</v>
      </c>
      <c r="H1154" s="26" t="str">
        <f>CADASTROS!$G$980</f>
        <v>poup</v>
      </c>
      <c r="I1154" s="16" t="str">
        <f>CADASTROS!$H$980</f>
        <v>0523455-7</v>
      </c>
      <c r="J1154" s="18">
        <f t="shared" si="47"/>
        <v>0</v>
      </c>
    </row>
    <row r="1155" spans="1:10" ht="15.75" x14ac:dyDescent="0.25">
      <c r="A1155" s="24">
        <f>CADASTROS!$B$981</f>
        <v>979</v>
      </c>
      <c r="B1155" s="15" t="str">
        <f>CADASTROS!$C$981</f>
        <v>Marta Alves Pinheiro (VG)</v>
      </c>
      <c r="C1155" s="25"/>
      <c r="D1155" s="52">
        <f>PLANILHA_COLHEITA_DIÁRIA!$I$1541</f>
        <v>0</v>
      </c>
      <c r="E1155" s="17">
        <v>6</v>
      </c>
      <c r="F1155" s="26" t="str">
        <f>CADASTROS!$E$981</f>
        <v>Cx. Econômica</v>
      </c>
      <c r="G1155" s="24">
        <f>CADASTROS!$F$981</f>
        <v>4818</v>
      </c>
      <c r="H1155" s="26">
        <f>CADASTROS!$G$981</f>
        <v>13</v>
      </c>
      <c r="I1155" s="16" t="str">
        <f>CADASTROS!$H$981</f>
        <v>00012108-8</v>
      </c>
      <c r="J1155" s="18">
        <f t="shared" si="47"/>
        <v>0</v>
      </c>
    </row>
    <row r="1156" spans="1:10" ht="15.75" x14ac:dyDescent="0.25">
      <c r="A1156" s="24">
        <f>CADASTROS!$B$982</f>
        <v>980</v>
      </c>
      <c r="B1156" s="15" t="str">
        <f>CADASTROS!$C$982</f>
        <v>Rosangela Silva Sales (VG)</v>
      </c>
      <c r="C1156" s="25"/>
      <c r="D1156" s="52">
        <f>PLANILHA_COLHEITA_DIÁRIA!$I$1542</f>
        <v>0</v>
      </c>
      <c r="E1156" s="17">
        <v>6</v>
      </c>
      <c r="F1156" s="26" t="str">
        <f>CADASTROS!$E$982</f>
        <v>Cx. Econômica</v>
      </c>
      <c r="G1156" s="24">
        <f>CADASTROS!$F$982</f>
        <v>4818</v>
      </c>
      <c r="H1156" s="26">
        <f>CADASTROS!$G$982</f>
        <v>13</v>
      </c>
      <c r="I1156" s="16" t="str">
        <f>CADASTROS!$H$982</f>
        <v>00007784-4</v>
      </c>
      <c r="J1156" s="18">
        <f t="shared" si="47"/>
        <v>0</v>
      </c>
    </row>
    <row r="1157" spans="1:10" ht="15.75" x14ac:dyDescent="0.25">
      <c r="A1157" s="24">
        <f>CADASTROS!$B$983</f>
        <v>981</v>
      </c>
      <c r="B1157" s="15" t="str">
        <f>CADASTROS!$C$983</f>
        <v>Marcia Miranda Rocha (VG)</v>
      </c>
      <c r="C1157" s="25"/>
      <c r="D1157" s="52">
        <f>PLANILHA_COLHEITA_DIÁRIA!$I$1543</f>
        <v>0</v>
      </c>
      <c r="E1157" s="17">
        <v>6</v>
      </c>
      <c r="F1157" s="26" t="str">
        <f>CADASTROS!$E$983</f>
        <v>Bradesco</v>
      </c>
      <c r="G1157" s="24">
        <f>CADASTROS!$F$983</f>
        <v>3589</v>
      </c>
      <c r="H1157" s="26" t="str">
        <f>CADASTROS!$G$983</f>
        <v>poup</v>
      </c>
      <c r="I1157" s="16" t="str">
        <f>CADASTROS!$H$983</f>
        <v>1003631-3</v>
      </c>
      <c r="J1157" s="18">
        <f t="shared" si="47"/>
        <v>0</v>
      </c>
    </row>
    <row r="1158" spans="1:10" ht="15.75" x14ac:dyDescent="0.25">
      <c r="A1158" s="24">
        <f>CADASTROS!$B$984</f>
        <v>982</v>
      </c>
      <c r="B1158" s="15" t="str">
        <f>CADASTROS!$C$984</f>
        <v>Soene Nunes Vieira (VG)</v>
      </c>
      <c r="C1158" s="25"/>
      <c r="D1158" s="35">
        <f>PLANILHA_COLHEITA_DIÁRIA!$I$1544</f>
        <v>0</v>
      </c>
      <c r="E1158" s="17">
        <v>6</v>
      </c>
      <c r="F1158" s="26" t="str">
        <f>CADASTROS!$E$984</f>
        <v>Bradesco</v>
      </c>
      <c r="G1158" s="24">
        <f>CADASTROS!$F$984</f>
        <v>3589</v>
      </c>
      <c r="H1158" s="26" t="str">
        <f>CADASTROS!$G$984</f>
        <v>poup</v>
      </c>
      <c r="I1158" s="16" t="str">
        <f>CADASTROS!$H$984</f>
        <v>0614937-5</v>
      </c>
      <c r="J1158" s="18">
        <f t="shared" si="47"/>
        <v>0</v>
      </c>
    </row>
    <row r="1159" spans="1:10" ht="15.75" x14ac:dyDescent="0.25">
      <c r="A1159" s="24">
        <f>CADASTROS!$B$985</f>
        <v>983</v>
      </c>
      <c r="B1159" s="15" t="str">
        <f>CADASTROS!$C$985</f>
        <v>Edva Reis Santos (VG)</v>
      </c>
      <c r="C1159" s="25"/>
      <c r="D1159" s="35">
        <f>PLANILHA_COLHEITA_DIÁRIA!$I$1545</f>
        <v>0</v>
      </c>
      <c r="E1159" s="17">
        <v>6</v>
      </c>
      <c r="F1159" s="26" t="str">
        <f>CADASTROS!$E$985</f>
        <v>Banco do Brasil</v>
      </c>
      <c r="G1159" s="24" t="str">
        <f>CADASTROS!$F$985</f>
        <v>2760-X</v>
      </c>
      <c r="H1159" s="26" t="str">
        <f>CADASTROS!$G$985</f>
        <v>poup</v>
      </c>
      <c r="I1159" s="16" t="str">
        <f>CADASTROS!$H$985</f>
        <v>18.312-1</v>
      </c>
      <c r="J1159" s="18">
        <f t="shared" si="47"/>
        <v>0</v>
      </c>
    </row>
    <row r="1160" spans="1:10" ht="15.75" x14ac:dyDescent="0.25">
      <c r="A1160" s="24">
        <f>CADASTROS!$B$986</f>
        <v>984</v>
      </c>
      <c r="B1160" s="15" t="str">
        <f>CADASTROS!$C$986</f>
        <v>Paulo Sérgio S. Oliveira (VG)</v>
      </c>
      <c r="C1160" s="25"/>
      <c r="D1160" s="52">
        <f>PLANILHA_COLHEITA_DIÁRIA!$I$1546</f>
        <v>0</v>
      </c>
      <c r="E1160" s="17">
        <v>6</v>
      </c>
      <c r="F1160" s="26" t="str">
        <f>CADASTROS!$E$986</f>
        <v>Banco do Brasil</v>
      </c>
      <c r="G1160" s="24" t="str">
        <f>CADASTROS!$F$986</f>
        <v>3640-4</v>
      </c>
      <c r="H1160" s="26" t="str">
        <f>CADASTROS!$G$986</f>
        <v>poup</v>
      </c>
      <c r="I1160" s="16" t="str">
        <f>CADASTROS!$H$986</f>
        <v>17.624-9</v>
      </c>
      <c r="J1160" s="18">
        <f t="shared" si="47"/>
        <v>0</v>
      </c>
    </row>
    <row r="1161" spans="1:10" ht="15.75" x14ac:dyDescent="0.25">
      <c r="A1161" s="24">
        <f>CADASTROS!$B$987</f>
        <v>985</v>
      </c>
      <c r="B1161" s="15" t="str">
        <f>CADASTROS!$C$987</f>
        <v>Kayky das Merces Santa</v>
      </c>
      <c r="C1161" s="25"/>
      <c r="D1161" s="52">
        <f>PLANILHA_COLHEITA_DIÁRIA!$I$1547</f>
        <v>0</v>
      </c>
      <c r="E1161" s="17">
        <v>6</v>
      </c>
      <c r="F1161" s="26" t="str">
        <f>CADASTROS!$E$987</f>
        <v>Bradesco</v>
      </c>
      <c r="G1161" s="24">
        <f>CADASTROS!$F$987</f>
        <v>3589</v>
      </c>
      <c r="H1161" s="26" t="str">
        <f>CADASTROS!$G$987</f>
        <v>poup</v>
      </c>
      <c r="I1161" s="16" t="str">
        <f>CADASTROS!$H$987</f>
        <v>1003846-4</v>
      </c>
      <c r="J1161" s="18">
        <f t="shared" si="47"/>
        <v>0</v>
      </c>
    </row>
    <row r="1162" spans="1:10" ht="15.75" x14ac:dyDescent="0.25">
      <c r="A1162" s="24">
        <f>CADASTROS!$B$988</f>
        <v>986</v>
      </c>
      <c r="B1162" s="15" t="str">
        <f>CADASTROS!$C$988</f>
        <v>Ivanete Sampaio Alves (VG)</v>
      </c>
      <c r="C1162" s="25"/>
      <c r="D1162" s="52">
        <f>PLANILHA_COLHEITA_DIÁRIA!$I$1548</f>
        <v>0</v>
      </c>
      <c r="E1162" s="17">
        <v>6</v>
      </c>
      <c r="F1162" s="26" t="str">
        <f>CADASTROS!$E$988</f>
        <v>Banco do Brasil</v>
      </c>
      <c r="G1162" s="24" t="str">
        <f>CADASTROS!$F$988</f>
        <v>2760-X</v>
      </c>
      <c r="H1162" s="26" t="str">
        <f>CADASTROS!$G$988</f>
        <v>poup</v>
      </c>
      <c r="I1162" s="16" t="str">
        <f>CADASTROS!$H$988</f>
        <v>16.864-5</v>
      </c>
      <c r="J1162" s="18">
        <f t="shared" si="47"/>
        <v>0</v>
      </c>
    </row>
    <row r="1163" spans="1:10" ht="15.75" x14ac:dyDescent="0.25">
      <c r="A1163" s="24">
        <f>CADASTROS!$B$989</f>
        <v>987</v>
      </c>
      <c r="B1163" s="15" t="str">
        <f>CADASTROS!$C$989</f>
        <v>Juliene Silva Lima (VG)</v>
      </c>
      <c r="C1163" s="25"/>
      <c r="D1163" s="35">
        <f>PLANILHA_COLHEITA_DIÁRIA!$I$1549</f>
        <v>0</v>
      </c>
      <c r="E1163" s="17">
        <v>6</v>
      </c>
      <c r="F1163" s="26" t="str">
        <f>CADASTROS!$E$989</f>
        <v>Bradesco</v>
      </c>
      <c r="G1163" s="24">
        <f>CADASTROS!$F$989</f>
        <v>3616</v>
      </c>
      <c r="H1163" s="26" t="str">
        <f>CADASTROS!$G$989</f>
        <v>poup</v>
      </c>
      <c r="I1163" s="16" t="str">
        <f>CADASTROS!$H$989</f>
        <v>1000188-9</v>
      </c>
      <c r="J1163" s="18">
        <f t="shared" si="47"/>
        <v>0</v>
      </c>
    </row>
    <row r="1164" spans="1:10" ht="15.75" x14ac:dyDescent="0.25">
      <c r="A1164" s="24">
        <f>CADASTROS!$B$990</f>
        <v>988</v>
      </c>
      <c r="B1164" s="15" t="str">
        <f>CADASTROS!$C$990</f>
        <v>Judival Andrade de Araújo</v>
      </c>
      <c r="C1164" s="25"/>
      <c r="D1164" s="35">
        <f>PLANILHA_COLHEITA_DIÁRIA!$I$1550</f>
        <v>0</v>
      </c>
      <c r="E1164" s="17">
        <v>6</v>
      </c>
      <c r="F1164" s="26" t="str">
        <f>CADASTROS!$E$990</f>
        <v>Banco do Brasil</v>
      </c>
      <c r="G1164" s="24" t="str">
        <f>CADASTROS!$F$990</f>
        <v>2760-X</v>
      </c>
      <c r="H1164" s="26" t="str">
        <f>CADASTROS!$G$990</f>
        <v>poup</v>
      </c>
      <c r="I1164" s="16" t="str">
        <f>CADASTROS!$H$990</f>
        <v>12.416-8</v>
      </c>
      <c r="J1164" s="18">
        <f t="shared" si="47"/>
        <v>0</v>
      </c>
    </row>
    <row r="1165" spans="1:10" ht="15.75" x14ac:dyDescent="0.25">
      <c r="A1165" s="24">
        <f>CADASTROS!$B$991</f>
        <v>989</v>
      </c>
      <c r="B1165" s="15" t="str">
        <f>CADASTROS!$C$991</f>
        <v>Valdelice Oliveira Souza</v>
      </c>
      <c r="C1165" s="25"/>
      <c r="D1165" s="35">
        <f>PLANILHA_COLHEITA_DIÁRIA!$I$1551</f>
        <v>0</v>
      </c>
      <c r="E1165" s="17">
        <v>6</v>
      </c>
      <c r="F1165" s="26" t="str">
        <f>CADASTROS!$E$991</f>
        <v>Bradesco</v>
      </c>
      <c r="G1165" s="24">
        <f>CADASTROS!$F$991</f>
        <v>3589</v>
      </c>
      <c r="H1165" s="26" t="str">
        <f>CADASTROS!$G$991</f>
        <v>poup</v>
      </c>
      <c r="I1165" s="16" t="str">
        <f>CADASTROS!$H$991</f>
        <v>1003782-4</v>
      </c>
      <c r="J1165" s="18">
        <f t="shared" si="47"/>
        <v>0</v>
      </c>
    </row>
    <row r="1166" spans="1:10" ht="15.75" x14ac:dyDescent="0.25">
      <c r="B1166" s="220"/>
      <c r="C1166" s="220"/>
      <c r="D1166" s="12">
        <f>SUM(D1121:D1165)</f>
        <v>74.5</v>
      </c>
      <c r="E1166" s="12"/>
      <c r="F1166" s="162"/>
      <c r="G1166" s="163"/>
      <c r="H1166" s="163"/>
      <c r="I1166" s="164"/>
      <c r="J1166" s="14">
        <f>SUM(J1121:J1165)</f>
        <v>447</v>
      </c>
    </row>
    <row r="1168" spans="1:10" ht="15.75" x14ac:dyDescent="0.25">
      <c r="A1168" s="213" t="s">
        <v>4816</v>
      </c>
      <c r="B1168" s="213"/>
      <c r="C1168" s="213"/>
      <c r="D1168" s="213"/>
      <c r="E1168" s="213"/>
      <c r="F1168" s="213"/>
      <c r="G1168" s="213"/>
      <c r="H1168" s="213"/>
      <c r="I1168" s="213"/>
      <c r="J1168" s="213"/>
    </row>
    <row r="1169" spans="1:10" ht="16.5" thickBot="1" x14ac:dyDescent="0.3">
      <c r="A1169" s="214" t="s">
        <v>4843</v>
      </c>
      <c r="B1169" s="214"/>
      <c r="C1169" s="214"/>
      <c r="D1169" s="214"/>
      <c r="E1169" s="214"/>
      <c r="F1169" s="214"/>
      <c r="G1169" s="214"/>
      <c r="H1169" s="214"/>
      <c r="I1169" s="214"/>
      <c r="J1169" s="214"/>
    </row>
    <row r="1170" spans="1:10" ht="17.25" thickTop="1" thickBot="1" x14ac:dyDescent="0.3">
      <c r="A1170" s="215" t="s">
        <v>4844</v>
      </c>
      <c r="B1170" s="215"/>
      <c r="C1170" s="215"/>
      <c r="D1170" s="215"/>
      <c r="E1170" s="215"/>
      <c r="F1170" s="215"/>
      <c r="G1170" s="215"/>
      <c r="H1170" s="215"/>
      <c r="I1170" s="215"/>
      <c r="J1170" s="215"/>
    </row>
    <row r="1171" spans="1:10" ht="18" customHeight="1" x14ac:dyDescent="0.25">
      <c r="A1171" s="19" t="s">
        <v>4846</v>
      </c>
      <c r="B1171" s="216" t="s">
        <v>1</v>
      </c>
      <c r="C1171" s="221" t="s">
        <v>2</v>
      </c>
      <c r="D1171" s="223" t="s">
        <v>4847</v>
      </c>
      <c r="E1171" s="20" t="s">
        <v>4848</v>
      </c>
      <c r="F1171" s="216" t="s">
        <v>3</v>
      </c>
      <c r="G1171" s="216" t="s">
        <v>4</v>
      </c>
      <c r="H1171" s="216" t="s">
        <v>5</v>
      </c>
      <c r="I1171" s="216" t="s">
        <v>6</v>
      </c>
      <c r="J1171" s="218" t="s">
        <v>4849</v>
      </c>
    </row>
    <row r="1172" spans="1:10" ht="19.5" customHeight="1" thickBot="1" x14ac:dyDescent="0.3">
      <c r="A1172" s="21" t="s">
        <v>4850</v>
      </c>
      <c r="B1172" s="217"/>
      <c r="C1172" s="222"/>
      <c r="D1172" s="224"/>
      <c r="E1172" s="161" t="s">
        <v>4851</v>
      </c>
      <c r="F1172" s="217"/>
      <c r="G1172" s="217"/>
      <c r="H1172" s="217"/>
      <c r="I1172" s="217"/>
      <c r="J1172" s="219"/>
    </row>
    <row r="1173" spans="1:10" ht="15.75" x14ac:dyDescent="0.25">
      <c r="A1173" s="24">
        <f>CADASTROS!$B$992</f>
        <v>990</v>
      </c>
      <c r="B1173" s="15" t="str">
        <f>CADASTROS!$C$992</f>
        <v>Josiane Araújo Souza</v>
      </c>
      <c r="C1173" s="25"/>
      <c r="D1173" s="35">
        <f>PLANILHA_COLHEITA_DIÁRIA!$I$1552</f>
        <v>0</v>
      </c>
      <c r="E1173" s="17">
        <v>6</v>
      </c>
      <c r="F1173" s="26" t="str">
        <f>CADASTROS!$E$992</f>
        <v>Cx. Econômica</v>
      </c>
      <c r="G1173" s="24">
        <f>CADASTROS!$F$992</f>
        <v>4818</v>
      </c>
      <c r="H1173" s="26">
        <f>CADASTROS!$G$992</f>
        <v>13</v>
      </c>
      <c r="I1173" s="16" t="str">
        <f>CADASTROS!$H$992</f>
        <v>00005980-3</v>
      </c>
      <c r="J1173" s="18">
        <f t="shared" ref="J1173:J1182" si="48">D1173*E1173</f>
        <v>0</v>
      </c>
    </row>
    <row r="1174" spans="1:10" ht="15.75" x14ac:dyDescent="0.25">
      <c r="A1174" s="24">
        <f>CADASTROS!$B$993</f>
        <v>991</v>
      </c>
      <c r="B1174" s="15" t="str">
        <f>CADASTROS!$C$993</f>
        <v>Marielza Rosa Santana</v>
      </c>
      <c r="C1174" s="25"/>
      <c r="D1174" s="35">
        <f>PLANILHA_COLHEITA_DIÁRIA!$I$1553</f>
        <v>0</v>
      </c>
      <c r="E1174" s="17">
        <v>6</v>
      </c>
      <c r="F1174" s="26" t="str">
        <f>CADASTROS!$E$993</f>
        <v>Cx. Econômica</v>
      </c>
      <c r="G1174" s="24">
        <f>CADASTROS!$F$993</f>
        <v>4825</v>
      </c>
      <c r="H1174" s="26">
        <f>CADASTROS!$G$993</f>
        <v>13</v>
      </c>
      <c r="I1174" s="16" t="str">
        <f>CADASTROS!$H$993</f>
        <v>00005458-3</v>
      </c>
      <c r="J1174" s="18">
        <f t="shared" si="48"/>
        <v>0</v>
      </c>
    </row>
    <row r="1175" spans="1:10" ht="15.75" x14ac:dyDescent="0.25">
      <c r="A1175" s="24">
        <f>CADASTROS!$B$994</f>
        <v>992</v>
      </c>
      <c r="B1175" s="15" t="str">
        <f>CADASTROS!$C$994</f>
        <v>Gilberto R. Pereira</v>
      </c>
      <c r="C1175" s="25"/>
      <c r="D1175" s="35">
        <f>PLANILHA_COLHEITA_DIÁRIA!$I$1554</f>
        <v>0</v>
      </c>
      <c r="E1175" s="17">
        <v>6</v>
      </c>
      <c r="F1175" s="26" t="str">
        <f>CADASTROS!$E$994</f>
        <v>Cx. Econômica</v>
      </c>
      <c r="G1175" s="24">
        <f>CADASTROS!$F$994</f>
        <v>941</v>
      </c>
      <c r="H1175" s="26">
        <f>CADASTROS!$G$994</f>
        <v>13</v>
      </c>
      <c r="I1175" s="16" t="str">
        <f>CADASTROS!$H$994</f>
        <v>00047727-1</v>
      </c>
      <c r="J1175" s="18">
        <f t="shared" si="48"/>
        <v>0</v>
      </c>
    </row>
    <row r="1176" spans="1:10" ht="15.75" x14ac:dyDescent="0.25">
      <c r="A1176" s="24">
        <f>CADASTROS!$B$995</f>
        <v>993</v>
      </c>
      <c r="B1176" s="15" t="str">
        <f>CADASTROS!$C$995</f>
        <v>Vanusa de Araújo Moreira</v>
      </c>
      <c r="C1176" s="25"/>
      <c r="D1176" s="35">
        <f>PLANILHA_COLHEITA_DIÁRIA!$I$1555</f>
        <v>0</v>
      </c>
      <c r="E1176" s="17">
        <v>6</v>
      </c>
      <c r="F1176" s="26" t="str">
        <f>CADASTROS!$E$995</f>
        <v>Cx. Econômica</v>
      </c>
      <c r="G1176" s="24">
        <f>CADASTROS!$F$995</f>
        <v>949</v>
      </c>
      <c r="H1176" s="26">
        <f>CADASTROS!$G$995</f>
        <v>23</v>
      </c>
      <c r="I1176" s="16" t="str">
        <f>CADASTROS!$H$995</f>
        <v>00017105-0</v>
      </c>
      <c r="J1176" s="18">
        <f t="shared" si="48"/>
        <v>0</v>
      </c>
    </row>
    <row r="1177" spans="1:10" ht="15.75" x14ac:dyDescent="0.25">
      <c r="A1177" s="24">
        <f>CADASTROS!$B$996</f>
        <v>994</v>
      </c>
      <c r="B1177" s="15" t="str">
        <f>CADASTROS!$C$996</f>
        <v>Lucinalva Oliveira de Almeida</v>
      </c>
      <c r="C1177" s="25"/>
      <c r="D1177" s="52">
        <f>PLANILHA_COLHEITA_DIÁRIA!$I$1567</f>
        <v>0</v>
      </c>
      <c r="E1177" s="17">
        <v>6</v>
      </c>
      <c r="F1177" s="26" t="str">
        <f>CADASTROS!$E$996</f>
        <v>Cx. Econômica</v>
      </c>
      <c r="G1177" s="24">
        <f>CADASTROS!$F$996</f>
        <v>949</v>
      </c>
      <c r="H1177" s="26">
        <f>CADASTROS!$G$996</f>
        <v>23</v>
      </c>
      <c r="I1177" s="16" t="str">
        <f>CADASTROS!$H$996</f>
        <v>00002320-9</v>
      </c>
      <c r="J1177" s="18">
        <f t="shared" si="48"/>
        <v>0</v>
      </c>
    </row>
    <row r="1178" spans="1:10" ht="15.75" x14ac:dyDescent="0.25">
      <c r="A1178" s="24">
        <f>CADASTROS!$B$997</f>
        <v>995</v>
      </c>
      <c r="B1178" s="15" t="str">
        <f>CADASTROS!$C$997</f>
        <v>Julivania de Jesus Silva</v>
      </c>
      <c r="C1178" s="25"/>
      <c r="D1178" s="35">
        <f>PLANILHA_COLHEITA_DIÁRIA!$I$1568</f>
        <v>0</v>
      </c>
      <c r="E1178" s="17">
        <v>6</v>
      </c>
      <c r="F1178" s="26" t="str">
        <f>CADASTROS!$E$997</f>
        <v>Cx. Econômica</v>
      </c>
      <c r="G1178" s="24">
        <f>CADASTROS!$F$997</f>
        <v>949</v>
      </c>
      <c r="H1178" s="26">
        <f>CADASTROS!$G$997</f>
        <v>13</v>
      </c>
      <c r="I1178" s="16" t="str">
        <f>CADASTROS!$H$997</f>
        <v>00056794-0</v>
      </c>
      <c r="J1178" s="18">
        <f t="shared" si="48"/>
        <v>0</v>
      </c>
    </row>
    <row r="1179" spans="1:10" ht="15.75" x14ac:dyDescent="0.25">
      <c r="A1179" s="24">
        <f>CADASTROS!$B$998</f>
        <v>996</v>
      </c>
      <c r="B1179" s="15" t="str">
        <f>CADASTROS!$C$998</f>
        <v>Adilson Santos Costa</v>
      </c>
      <c r="C1179" s="25"/>
      <c r="D1179" s="53">
        <f>PLANILHA_COLHEITA_DIÁRIA!$I$1569</f>
        <v>0</v>
      </c>
      <c r="E1179" s="17">
        <v>6</v>
      </c>
      <c r="F1179" s="26" t="str">
        <f>CADASTROS!$E$998</f>
        <v>Cx. Econômica</v>
      </c>
      <c r="G1179" s="24">
        <f>CADASTROS!$F$998</f>
        <v>3419</v>
      </c>
      <c r="H1179" s="26">
        <f>CADASTROS!$G$998</f>
        <v>13</v>
      </c>
      <c r="I1179" s="16" t="str">
        <f>CADASTROS!$H$998</f>
        <v>00025102-8</v>
      </c>
      <c r="J1179" s="18">
        <f t="shared" si="48"/>
        <v>0</v>
      </c>
    </row>
    <row r="1180" spans="1:10" ht="15.75" x14ac:dyDescent="0.25">
      <c r="A1180" s="24">
        <f>CADASTROS!$B$999</f>
        <v>997</v>
      </c>
      <c r="B1180" s="15" t="str">
        <f>CADASTROS!$C$999</f>
        <v>Leidinalva Sousa Andrade</v>
      </c>
      <c r="C1180" s="25"/>
      <c r="D1180" s="52">
        <f>PLANILHA_COLHEITA_DIÁRIA!$I$1570</f>
        <v>0</v>
      </c>
      <c r="E1180" s="17">
        <v>6</v>
      </c>
      <c r="F1180" s="26" t="str">
        <f>CADASTROS!$E$999</f>
        <v>Cx. Econômica</v>
      </c>
      <c r="G1180" s="24">
        <f>CADASTROS!$F$999</f>
        <v>949</v>
      </c>
      <c r="H1180" s="26">
        <f>CADASTROS!$G$999</f>
        <v>23</v>
      </c>
      <c r="I1180" s="16" t="str">
        <f>CADASTROS!$H$999</f>
        <v>00007485-2</v>
      </c>
      <c r="J1180" s="18">
        <f t="shared" si="48"/>
        <v>0</v>
      </c>
    </row>
    <row r="1181" spans="1:10" ht="15.75" x14ac:dyDescent="0.25">
      <c r="A1181" s="24">
        <f>CADASTROS!$B$1000</f>
        <v>998</v>
      </c>
      <c r="B1181" s="15" t="str">
        <f>CADASTROS!$C$1000</f>
        <v>Taís Alves da Silva (BC)</v>
      </c>
      <c r="C1181" s="25"/>
      <c r="D1181" s="35">
        <f>PLANILHA_COLHEITA_DIÁRIA!$I$1571</f>
        <v>0</v>
      </c>
      <c r="E1181" s="17">
        <v>6</v>
      </c>
      <c r="F1181" s="26" t="str">
        <f>CADASTROS!$E$1000</f>
        <v>Cx. Econômica</v>
      </c>
      <c r="G1181" s="24">
        <f>CADASTROS!$F$1000</f>
        <v>4825</v>
      </c>
      <c r="H1181" s="26">
        <f>CADASTROS!$G$1000</f>
        <v>13</v>
      </c>
      <c r="I1181" s="16" t="str">
        <f>CADASTROS!$H$1000</f>
        <v>00002300-9</v>
      </c>
      <c r="J1181" s="18">
        <f t="shared" si="48"/>
        <v>0</v>
      </c>
    </row>
    <row r="1182" spans="1:10" ht="15.75" x14ac:dyDescent="0.25">
      <c r="A1182" s="24">
        <f>CADASTROS!$B$1001</f>
        <v>999</v>
      </c>
      <c r="B1182" s="15" t="str">
        <f>CADASTROS!$C$1001</f>
        <v>Raimundo da Silva</v>
      </c>
      <c r="C1182" s="25"/>
      <c r="D1182" s="35">
        <f>PLANILHA_COLHEITA_DIÁRIA!$I$1572</f>
        <v>0</v>
      </c>
      <c r="E1182" s="17">
        <v>6</v>
      </c>
      <c r="F1182" s="26" t="str">
        <f>CADASTROS!$E$1001</f>
        <v>Bradesco</v>
      </c>
      <c r="G1182" s="24">
        <f>CADASTROS!$F$1001</f>
        <v>5490</v>
      </c>
      <c r="H1182" s="26" t="str">
        <f>CADASTROS!$G$1001</f>
        <v>poup</v>
      </c>
      <c r="I1182" s="16" t="str">
        <f>CADASTROS!$H$1001</f>
        <v>0002343-4</v>
      </c>
      <c r="J1182" s="18">
        <f t="shared" si="48"/>
        <v>0</v>
      </c>
    </row>
    <row r="1183" spans="1:10" ht="15.75" x14ac:dyDescent="0.25">
      <c r="A1183" s="24">
        <f>CADASTROS!$B$1002</f>
        <v>1000</v>
      </c>
      <c r="B1183" s="15" t="str">
        <f>CADASTROS!$C$1002</f>
        <v>Ivone Oliveira da Silva</v>
      </c>
      <c r="C1183" s="25"/>
      <c r="D1183" s="52">
        <f>PLANILHA_COLHEITA_DIÁRIA!$I$1573</f>
        <v>0</v>
      </c>
      <c r="E1183" s="17">
        <v>6</v>
      </c>
      <c r="F1183" s="26" t="str">
        <f>CADASTROS!$E$1002</f>
        <v>Cx. Econômica</v>
      </c>
      <c r="G1183" s="24">
        <f>CADASTROS!$F$1002</f>
        <v>949</v>
      </c>
      <c r="H1183" s="26">
        <f>CADASTROS!$G$1002</f>
        <v>23</v>
      </c>
      <c r="I1183" s="16" t="str">
        <f>CADASTROS!$H$1002</f>
        <v>00006420-2</v>
      </c>
      <c r="J1183" s="18">
        <f>D1183*E1183</f>
        <v>0</v>
      </c>
    </row>
    <row r="1184" spans="1:10" ht="15.75" x14ac:dyDescent="0.25">
      <c r="A1184" s="24">
        <f>CADASTROS!$B$1003</f>
        <v>1001</v>
      </c>
      <c r="B1184" s="15" t="str">
        <f>CADASTROS!$C$1003</f>
        <v>Adailton de J. Santiago</v>
      </c>
      <c r="C1184" s="25"/>
      <c r="D1184" s="52">
        <f>PLANILHA_COLHEITA_DIÁRIA!$I$1574</f>
        <v>0</v>
      </c>
      <c r="E1184" s="17">
        <v>6</v>
      </c>
      <c r="F1184" s="26" t="str">
        <f>CADASTROS!$E$1003</f>
        <v>Cx. Econômica</v>
      </c>
      <c r="G1184" s="24">
        <f>CADASTROS!$F$1003</f>
        <v>1448</v>
      </c>
      <c r="H1184" s="26">
        <f>CADASTROS!$G$1003</f>
        <v>13</v>
      </c>
      <c r="I1184" s="16" t="str">
        <f>CADASTROS!$H$1003</f>
        <v>00093817-4</v>
      </c>
      <c r="J1184" s="18">
        <f t="shared" ref="J1184" si="49">D1184*E1184</f>
        <v>0</v>
      </c>
    </row>
    <row r="1185" spans="1:10" ht="15.75" x14ac:dyDescent="0.25">
      <c r="A1185" s="24">
        <f>CADASTROS!$B$1004</f>
        <v>1002</v>
      </c>
      <c r="B1185" s="15" t="str">
        <f>CADASTROS!$C$1004</f>
        <v>Milton Alves Alencar</v>
      </c>
      <c r="C1185" s="25"/>
      <c r="D1185" s="52">
        <f>PLANILHA_COLHEITA_DIÁRIA!$I$1575</f>
        <v>0</v>
      </c>
      <c r="E1185" s="17">
        <v>6</v>
      </c>
      <c r="F1185" s="26" t="str">
        <f>CADASTROS!$E$1004</f>
        <v>Cx. Econômica</v>
      </c>
      <c r="G1185" s="24">
        <f>CADASTROS!$F$1004</f>
        <v>4818</v>
      </c>
      <c r="H1185" s="26">
        <f>CADASTROS!$G$1004</f>
        <v>13</v>
      </c>
      <c r="I1185" s="16" t="str">
        <f>CADASTROS!$H$1004</f>
        <v>00010939-8</v>
      </c>
      <c r="J1185" s="18">
        <f>D1185*E1185</f>
        <v>0</v>
      </c>
    </row>
    <row r="1186" spans="1:10" ht="15.75" x14ac:dyDescent="0.25">
      <c r="A1186" s="24">
        <f>CADASTROS!$B$1005</f>
        <v>1003</v>
      </c>
      <c r="B1186" s="15" t="str">
        <f>CADASTROS!$C$1005</f>
        <v>Paulo Ferreira dos Santos</v>
      </c>
      <c r="C1186" s="25"/>
      <c r="D1186" s="52">
        <f>PLANILHA_COLHEITA_DIÁRIA!$I$1576</f>
        <v>0</v>
      </c>
      <c r="E1186" s="17">
        <v>6</v>
      </c>
      <c r="F1186" s="26" t="str">
        <f>CADASTROS!$E$1005</f>
        <v>Cx. Econômica</v>
      </c>
      <c r="G1186" s="24">
        <f>CADASTROS!$F$1005</f>
        <v>4818</v>
      </c>
      <c r="H1186" s="26">
        <f>CADASTROS!$G$1005</f>
        <v>13</v>
      </c>
      <c r="I1186" s="16" t="str">
        <f>CADASTROS!$H$1005</f>
        <v>00007925-1</v>
      </c>
      <c r="J1186" s="18">
        <f t="shared" ref="J1186:J1217" si="50">D1186*E1186</f>
        <v>0</v>
      </c>
    </row>
    <row r="1187" spans="1:10" ht="15.75" x14ac:dyDescent="0.25">
      <c r="A1187" s="24">
        <f>CADASTROS!$B$1006</f>
        <v>1004</v>
      </c>
      <c r="B1187" s="15" t="str">
        <f>CADASTROS!$C$1006</f>
        <v>Tereza Gabriela de Souza</v>
      </c>
      <c r="C1187" s="25"/>
      <c r="D1187" s="35">
        <f>PLANILHA_COLHEITA_DIÁRIA!$I$1577</f>
        <v>0</v>
      </c>
      <c r="E1187" s="17">
        <v>6</v>
      </c>
      <c r="F1187" s="26" t="str">
        <f>CADASTROS!$E$1006</f>
        <v>Cx. Econômica</v>
      </c>
      <c r="G1187" s="24">
        <f>CADASTROS!$F$1006</f>
        <v>949</v>
      </c>
      <c r="H1187" s="26">
        <f>CADASTROS!$G$1006</f>
        <v>23</v>
      </c>
      <c r="I1187" s="16" t="str">
        <f>CADASTROS!$H$1006</f>
        <v>00012749-2</v>
      </c>
      <c r="J1187" s="18">
        <f t="shared" si="50"/>
        <v>0</v>
      </c>
    </row>
    <row r="1188" spans="1:10" ht="15.75" x14ac:dyDescent="0.25">
      <c r="A1188" s="24">
        <f>CADASTROS!$B$1007</f>
        <v>1005</v>
      </c>
      <c r="B1188" s="15" t="str">
        <f>CADASTROS!$C$1007</f>
        <v>Hercules Pereira Santos</v>
      </c>
      <c r="C1188" s="25"/>
      <c r="D1188" s="35">
        <f>PLANILHA_COLHEITA_DIÁRIA!$I$1578</f>
        <v>0</v>
      </c>
      <c r="E1188" s="17">
        <v>6</v>
      </c>
      <c r="F1188" s="26" t="str">
        <f>CADASTROS!$E$1007</f>
        <v>Cx. Econômica</v>
      </c>
      <c r="G1188" s="24">
        <f>CADASTROS!$F$1007</f>
        <v>4818</v>
      </c>
      <c r="H1188" s="26">
        <f>CADASTROS!$G$1007</f>
        <v>13</v>
      </c>
      <c r="I1188" s="16" t="str">
        <f>CADASTROS!$H$1007</f>
        <v>00009403-0</v>
      </c>
      <c r="J1188" s="18">
        <f t="shared" si="50"/>
        <v>0</v>
      </c>
    </row>
    <row r="1189" spans="1:10" ht="15.75" x14ac:dyDescent="0.25">
      <c r="A1189" s="24">
        <f>CADASTROS!$B$1008</f>
        <v>1006</v>
      </c>
      <c r="B1189" s="15" t="str">
        <f>CADASTROS!$C$1008</f>
        <v>Ana Maria de Souza Oliveira</v>
      </c>
      <c r="C1189" s="25"/>
      <c r="D1189" s="53">
        <f>PLANILHA_COLHEITA_DIÁRIA!$I$1579</f>
        <v>27</v>
      </c>
      <c r="E1189" s="17">
        <v>6</v>
      </c>
      <c r="F1189" s="26" t="str">
        <f>CADASTROS!$E$1008</f>
        <v>Bradesco</v>
      </c>
      <c r="G1189" s="24">
        <f>CADASTROS!$F$1008</f>
        <v>3801</v>
      </c>
      <c r="H1189" s="26" t="str">
        <f>CADASTROS!$G$1008</f>
        <v>poup</v>
      </c>
      <c r="I1189" s="16" t="str">
        <f>CADASTROS!$H$1008</f>
        <v>0060067-9</v>
      </c>
      <c r="J1189" s="18">
        <f t="shared" si="50"/>
        <v>162</v>
      </c>
    </row>
    <row r="1190" spans="1:10" ht="15.75" x14ac:dyDescent="0.25">
      <c r="A1190" s="24">
        <f>CADASTROS!$B$1009</f>
        <v>1007</v>
      </c>
      <c r="B1190" s="15" t="str">
        <f>CADASTROS!$C$1009</f>
        <v>Italo Braga Santos</v>
      </c>
      <c r="C1190" s="25"/>
      <c r="D1190" s="35">
        <f>PLANILHA_COLHEITA_DIÁRIA!$I$1580</f>
        <v>0</v>
      </c>
      <c r="E1190" s="17">
        <v>6</v>
      </c>
      <c r="F1190" s="26" t="str">
        <f>CADASTROS!$E$1009</f>
        <v>Cx. Econômica</v>
      </c>
      <c r="G1190" s="24">
        <f>CADASTROS!$F$1009</f>
        <v>4818</v>
      </c>
      <c r="H1190" s="26">
        <f>CADASTROS!$G$1009</f>
        <v>13</v>
      </c>
      <c r="I1190" s="16" t="str">
        <f>CADASTROS!$H$1009</f>
        <v>00008829-3</v>
      </c>
      <c r="J1190" s="18">
        <f t="shared" si="50"/>
        <v>0</v>
      </c>
    </row>
    <row r="1191" spans="1:10" ht="15.75" x14ac:dyDescent="0.25">
      <c r="A1191" s="24">
        <f>CADASTROS!$B$1010</f>
        <v>1008</v>
      </c>
      <c r="B1191" s="15" t="str">
        <f>CADASTROS!$C$1010</f>
        <v>Bruno de Jesus Oliveira</v>
      </c>
      <c r="C1191" s="25"/>
      <c r="D1191" s="52">
        <f>PLANILHA_COLHEITA_DIÁRIA!$I$1581</f>
        <v>0</v>
      </c>
      <c r="E1191" s="17">
        <v>6</v>
      </c>
      <c r="F1191" s="26" t="str">
        <f>CADASTROS!$E$1010</f>
        <v>Cx. Econômica</v>
      </c>
      <c r="G1191" s="24">
        <f>CADASTROS!$F$1010</f>
        <v>4818</v>
      </c>
      <c r="H1191" s="26">
        <f>CADASTROS!$G$1010</f>
        <v>13</v>
      </c>
      <c r="I1191" s="16" t="str">
        <f>CADASTROS!$H$1010</f>
        <v>00005897-1</v>
      </c>
      <c r="J1191" s="18">
        <f t="shared" si="50"/>
        <v>0</v>
      </c>
    </row>
    <row r="1192" spans="1:10" ht="15.75" x14ac:dyDescent="0.25">
      <c r="A1192" s="24">
        <f>CADASTROS!$B$1011</f>
        <v>1009</v>
      </c>
      <c r="B1192" s="15" t="str">
        <f>CADASTROS!$C$1011</f>
        <v>Maria da Paixão C. da Silva</v>
      </c>
      <c r="C1192" s="25"/>
      <c r="D1192" s="35">
        <f>PLANILHA_COLHEITA_DIÁRIA!$I$1582</f>
        <v>0</v>
      </c>
      <c r="E1192" s="17">
        <v>6</v>
      </c>
      <c r="F1192" s="26" t="str">
        <f>CADASTROS!$E$1011</f>
        <v>Cx. Econômica</v>
      </c>
      <c r="G1192" s="24">
        <f>CADASTROS!$F$1011</f>
        <v>949</v>
      </c>
      <c r="H1192" s="26">
        <f>CADASTROS!$G$1011</f>
        <v>0</v>
      </c>
      <c r="I1192" s="16" t="str">
        <f>CADASTROS!$H$1011</f>
        <v>960432089-6</v>
      </c>
      <c r="J1192" s="18">
        <f t="shared" si="50"/>
        <v>0</v>
      </c>
    </row>
    <row r="1193" spans="1:10" ht="15.75" x14ac:dyDescent="0.25">
      <c r="A1193" s="24">
        <f>CADASTROS!$B$1012</f>
        <v>1010</v>
      </c>
      <c r="B1193" s="15" t="str">
        <f>CADASTROS!$C$1012</f>
        <v>Crispiniano Macedo Santos</v>
      </c>
      <c r="C1193" s="25"/>
      <c r="D1193" s="35">
        <f>PLANILHA_COLHEITA_DIÁRIA!$I$1583</f>
        <v>64</v>
      </c>
      <c r="E1193" s="17">
        <v>6</v>
      </c>
      <c r="F1193" s="26" t="str">
        <f>CADASTROS!$E$1012</f>
        <v>Cx. Econômica</v>
      </c>
      <c r="G1193" s="24">
        <f>CADASTROS!$F$1012</f>
        <v>4825</v>
      </c>
      <c r="H1193" s="26">
        <f>CADASTROS!$G$1012</f>
        <v>13</v>
      </c>
      <c r="I1193" s="16" t="str">
        <f>CADASTROS!$H$1012</f>
        <v>00006733-2</v>
      </c>
      <c r="J1193" s="18">
        <f t="shared" si="50"/>
        <v>384</v>
      </c>
    </row>
    <row r="1194" spans="1:10" ht="15.75" x14ac:dyDescent="0.25">
      <c r="A1194" s="24">
        <f>CADASTROS!$B$1013</f>
        <v>1011</v>
      </c>
      <c r="B1194" s="15" t="str">
        <f>CADASTROS!$C$1013</f>
        <v>Raimunda Santana Silva</v>
      </c>
      <c r="C1194" s="25"/>
      <c r="D1194" s="35">
        <f>PLANILHA_COLHEITA_DIÁRIA!$I$1584</f>
        <v>77.5</v>
      </c>
      <c r="E1194" s="17">
        <v>6</v>
      </c>
      <c r="F1194" s="26" t="str">
        <f>CADASTROS!$E$1013</f>
        <v>Cx. Econômica</v>
      </c>
      <c r="G1194" s="24">
        <f>CADASTROS!$F$1013</f>
        <v>4818</v>
      </c>
      <c r="H1194" s="26">
        <f>CADASTROS!$G$1013</f>
        <v>13</v>
      </c>
      <c r="I1194" s="16" t="str">
        <f>CADASTROS!$H$1013</f>
        <v>00008977-0</v>
      </c>
      <c r="J1194" s="18">
        <f t="shared" si="50"/>
        <v>465</v>
      </c>
    </row>
    <row r="1195" spans="1:10" ht="15.75" x14ac:dyDescent="0.25">
      <c r="A1195" s="24">
        <f>CADASTROS!$B$1014</f>
        <v>1012</v>
      </c>
      <c r="B1195" s="15" t="str">
        <f>CADASTROS!$C$1014</f>
        <v>Jasiane Lima de Souza</v>
      </c>
      <c r="C1195" s="25"/>
      <c r="D1195" s="52">
        <f>PLANILHA_COLHEITA_DIÁRIA!$I$1585</f>
        <v>0</v>
      </c>
      <c r="E1195" s="17">
        <v>6</v>
      </c>
      <c r="F1195" s="26" t="str">
        <f>CADASTROS!$E$1014</f>
        <v>Banco do Brasil</v>
      </c>
      <c r="G1195" s="24" t="str">
        <f>CADASTROS!$F$1014</f>
        <v>2760-X</v>
      </c>
      <c r="H1195" s="26" t="str">
        <f>CADASTROS!$G$1014</f>
        <v>poup</v>
      </c>
      <c r="I1195" s="16" t="str">
        <f>CADASTROS!$H$1014</f>
        <v>13.311-6</v>
      </c>
      <c r="J1195" s="18">
        <f t="shared" si="50"/>
        <v>0</v>
      </c>
    </row>
    <row r="1196" spans="1:10" ht="15.75" x14ac:dyDescent="0.25">
      <c r="A1196" s="24">
        <f>CADASTROS!$B$1015</f>
        <v>1013</v>
      </c>
      <c r="B1196" s="15" t="str">
        <f>CADASTROS!$C$1015</f>
        <v>Rosileide Brito Cerqueira</v>
      </c>
      <c r="C1196" s="25"/>
      <c r="D1196" s="52">
        <f>PLANILHA_COLHEITA_DIÁRIA!$I$1586</f>
        <v>124</v>
      </c>
      <c r="E1196" s="17">
        <v>6</v>
      </c>
      <c r="F1196" s="26" t="str">
        <f>CADASTROS!$E$1015</f>
        <v>Cx. Econômica</v>
      </c>
      <c r="G1196" s="24">
        <f>CADASTROS!$F$1015</f>
        <v>949</v>
      </c>
      <c r="H1196" s="26">
        <f>CADASTROS!$G$1015</f>
        <v>1288</v>
      </c>
      <c r="I1196" s="16" t="str">
        <f>CADASTROS!$H$1015</f>
        <v>798432683-6</v>
      </c>
      <c r="J1196" s="18">
        <f t="shared" si="50"/>
        <v>744</v>
      </c>
    </row>
    <row r="1197" spans="1:10" ht="15.75" x14ac:dyDescent="0.25">
      <c r="A1197" s="24">
        <f>CADASTROS!$B$1016</f>
        <v>1014</v>
      </c>
      <c r="B1197" s="15" t="str">
        <f>CADASTROS!$C$1016</f>
        <v>Ana Paula Ferreira Silva</v>
      </c>
      <c r="C1197" s="25"/>
      <c r="D1197" s="35">
        <f>PLANILHA_COLHEITA_DIÁRIA!$I$1587</f>
        <v>0</v>
      </c>
      <c r="E1197" s="17">
        <v>6</v>
      </c>
      <c r="F1197" s="26" t="str">
        <f>CADASTROS!$E$1016</f>
        <v>Cx. Econômica</v>
      </c>
      <c r="G1197" s="24">
        <f>CADASTROS!$F$1016</f>
        <v>4825</v>
      </c>
      <c r="H1197" s="26">
        <f>CADASTROS!$G$1016</f>
        <v>13</v>
      </c>
      <c r="I1197" s="16" t="str">
        <f>CADASTROS!$H$1016</f>
        <v>00019907-7</v>
      </c>
      <c r="J1197" s="18">
        <f t="shared" si="50"/>
        <v>0</v>
      </c>
    </row>
    <row r="1198" spans="1:10" ht="15.75" x14ac:dyDescent="0.25">
      <c r="A1198" s="24">
        <f>CADASTROS!$B$1017</f>
        <v>1015</v>
      </c>
      <c r="B1198" s="15" t="str">
        <f>CADASTROS!$C$1017</f>
        <v>Claudimiro R. Soares</v>
      </c>
      <c r="C1198" s="25"/>
      <c r="D1198" s="52">
        <f>PLANILHA_COLHEITA_DIÁRIA!$I$1588</f>
        <v>0</v>
      </c>
      <c r="E1198" s="17">
        <v>6</v>
      </c>
      <c r="F1198" s="26" t="str">
        <f>CADASTROS!$E$1017</f>
        <v>Cx. Econômica</v>
      </c>
      <c r="G1198" s="24">
        <f>CADASTROS!$F$1017</f>
        <v>4818</v>
      </c>
      <c r="H1198" s="26">
        <f>CADASTROS!$G$1017</f>
        <v>13</v>
      </c>
      <c r="I1198" s="16" t="str">
        <f>CADASTROS!$H$1017</f>
        <v>00005218-3</v>
      </c>
      <c r="J1198" s="18">
        <f t="shared" si="50"/>
        <v>0</v>
      </c>
    </row>
    <row r="1199" spans="1:10" ht="15.75" x14ac:dyDescent="0.25">
      <c r="A1199" s="24">
        <f>CADASTROS!$B$1018</f>
        <v>1016</v>
      </c>
      <c r="B1199" s="15" t="str">
        <f>CADASTROS!$C$1018</f>
        <v>Laiane Dmasceno Silva</v>
      </c>
      <c r="C1199" s="25"/>
      <c r="D1199" s="35">
        <f>PLANILHA_COLHEITA_DIÁRIA!$I$1589</f>
        <v>0</v>
      </c>
      <c r="E1199" s="17">
        <v>6</v>
      </c>
      <c r="F1199" s="26" t="str">
        <f>CADASTROS!$E$1018</f>
        <v>Cx. Econômica</v>
      </c>
      <c r="G1199" s="24">
        <f>CADASTROS!$F$1018</f>
        <v>4825</v>
      </c>
      <c r="H1199" s="26">
        <f>CADASTROS!$G$1018</f>
        <v>13</v>
      </c>
      <c r="I1199" s="16" t="str">
        <f>CADASTROS!$H$1018</f>
        <v>00016418-4</v>
      </c>
      <c r="J1199" s="18">
        <f t="shared" si="50"/>
        <v>0</v>
      </c>
    </row>
    <row r="1200" spans="1:10" ht="15.75" x14ac:dyDescent="0.25">
      <c r="A1200" s="24">
        <f>CADASTROS!$B$1019</f>
        <v>1017</v>
      </c>
      <c r="B1200" s="15" t="str">
        <f>CADASTROS!$C$1019</f>
        <v>Edilene Ferreira Vieira</v>
      </c>
      <c r="C1200" s="25"/>
      <c r="D1200" s="35">
        <f>PLANILHA_COLHEITA_DIÁRIA!$I$1590</f>
        <v>0</v>
      </c>
      <c r="E1200" s="17">
        <v>6</v>
      </c>
      <c r="F1200" s="26" t="str">
        <f>CADASTROS!$E$1019</f>
        <v>Cx. Econômica</v>
      </c>
      <c r="G1200" s="24">
        <f>CADASTROS!$F$1019</f>
        <v>949</v>
      </c>
      <c r="H1200" s="26">
        <f>CADASTROS!$G$1019</f>
        <v>13</v>
      </c>
      <c r="I1200" s="16" t="str">
        <f>CADASTROS!$H$1019</f>
        <v>00020829-8</v>
      </c>
      <c r="J1200" s="18">
        <f t="shared" si="50"/>
        <v>0</v>
      </c>
    </row>
    <row r="1201" spans="1:10" ht="15.75" x14ac:dyDescent="0.25">
      <c r="A1201" s="24">
        <f>CADASTROS!$B$1020</f>
        <v>1018</v>
      </c>
      <c r="B1201" s="15" t="str">
        <f>CADASTROS!$C$1020</f>
        <v>Thaise Souza Pires</v>
      </c>
      <c r="C1201" s="25"/>
      <c r="D1201" s="35">
        <f>PLANILHA_COLHEITA_DIÁRIA!$I$1591</f>
        <v>0</v>
      </c>
      <c r="E1201" s="17">
        <v>6</v>
      </c>
      <c r="F1201" s="26" t="str">
        <f>CADASTROS!$E$1020</f>
        <v>Banco do Brasil</v>
      </c>
      <c r="G1201" s="24" t="str">
        <f>CADASTROS!$F$1020</f>
        <v>2105-9</v>
      </c>
      <c r="H1201" s="26" t="str">
        <f>CADASTROS!$G$1020</f>
        <v>poup</v>
      </c>
      <c r="I1201" s="16" t="str">
        <f>CADASTROS!$H$1020</f>
        <v>13.297-7</v>
      </c>
      <c r="J1201" s="18">
        <f t="shared" si="50"/>
        <v>0</v>
      </c>
    </row>
    <row r="1202" spans="1:10" ht="15.75" x14ac:dyDescent="0.25">
      <c r="A1202" s="24">
        <f>CADASTROS!$B$1021</f>
        <v>1019</v>
      </c>
      <c r="B1202" s="15" t="str">
        <f>CADASTROS!$C$1021</f>
        <v>Nelson Pereira dos Santos (LN)</v>
      </c>
      <c r="C1202" s="25"/>
      <c r="D1202" s="35">
        <f>PLANILHA_COLHEITA_DIÁRIA!$I$1592</f>
        <v>0</v>
      </c>
      <c r="E1202" s="17">
        <v>6</v>
      </c>
      <c r="F1202" s="26" t="str">
        <f>CADASTROS!$E$1021</f>
        <v>Cx. Econômica</v>
      </c>
      <c r="G1202" s="24">
        <f>CADASTROS!$F$1021</f>
        <v>4825</v>
      </c>
      <c r="H1202" s="26">
        <f>CADASTROS!$G$1021</f>
        <v>13</v>
      </c>
      <c r="I1202" s="16" t="str">
        <f>CADASTROS!$H$1021</f>
        <v>00018868-7</v>
      </c>
      <c r="J1202" s="18">
        <f t="shared" si="50"/>
        <v>0</v>
      </c>
    </row>
    <row r="1203" spans="1:10" ht="15.75" x14ac:dyDescent="0.25">
      <c r="A1203" s="24">
        <f>CADASTROS!$B$1022</f>
        <v>1020</v>
      </c>
      <c r="B1203" s="15" t="str">
        <f>CADASTROS!$C$1022</f>
        <v>Adaiane dos Santos Cedro (LN)</v>
      </c>
      <c r="C1203" s="25"/>
      <c r="D1203" s="35">
        <f>PLANILHA_COLHEITA_DIÁRIA!$I$1593</f>
        <v>0</v>
      </c>
      <c r="E1203" s="17">
        <v>6</v>
      </c>
      <c r="F1203" s="26" t="str">
        <f>CADASTROS!$E$1022</f>
        <v>Bradesco</v>
      </c>
      <c r="G1203" s="24">
        <f>CADASTROS!$F$1022</f>
        <v>3801</v>
      </c>
      <c r="H1203" s="26" t="str">
        <f>CADASTROS!$G$1022</f>
        <v>poup</v>
      </c>
      <c r="I1203" s="16" t="str">
        <f>CADASTROS!$H$1022</f>
        <v>0002747-2</v>
      </c>
      <c r="J1203" s="18">
        <f t="shared" si="50"/>
        <v>0</v>
      </c>
    </row>
    <row r="1204" spans="1:10" ht="15.75" x14ac:dyDescent="0.25">
      <c r="A1204" s="24">
        <f>CADASTROS!$B$1023</f>
        <v>1021</v>
      </c>
      <c r="B1204" s="15" t="str">
        <f>CADASTROS!$C$1023</f>
        <v>Luiz Carlos S. Silva (LN)</v>
      </c>
      <c r="C1204" s="25"/>
      <c r="D1204" s="35">
        <f>PLANILHA_COLHEITA_DIÁRIA!$I$1605</f>
        <v>0</v>
      </c>
      <c r="E1204" s="17">
        <v>6</v>
      </c>
      <c r="F1204" s="26" t="str">
        <f>CADASTROS!$E$1023</f>
        <v>Cx. Econômica</v>
      </c>
      <c r="G1204" s="24">
        <f>CADASTROS!$F$1023</f>
        <v>4825</v>
      </c>
      <c r="H1204" s="26">
        <f>CADASTROS!$G$1023</f>
        <v>13</v>
      </c>
      <c r="I1204" s="16" t="str">
        <f>CADASTROS!$H$1023</f>
        <v>00003937-1</v>
      </c>
      <c r="J1204" s="18">
        <f t="shared" si="50"/>
        <v>0</v>
      </c>
    </row>
    <row r="1205" spans="1:10" ht="15.75" x14ac:dyDescent="0.25">
      <c r="A1205" s="24">
        <f>CADASTROS!$B$1024</f>
        <v>1022</v>
      </c>
      <c r="B1205" s="15" t="str">
        <f>CADASTROS!$C$1024</f>
        <v>José Carlos Souza (2B)</v>
      </c>
      <c r="C1205" s="25"/>
      <c r="D1205" s="52">
        <f>PLANILHA_COLHEITA_DIÁRIA!$I$1606</f>
        <v>0</v>
      </c>
      <c r="E1205" s="17">
        <v>6</v>
      </c>
      <c r="F1205" s="26" t="str">
        <f>CADASTROS!$E$1024</f>
        <v>Banco do Brasil</v>
      </c>
      <c r="G1205" s="24" t="str">
        <f>CADASTROS!$F$1024</f>
        <v>2760-X</v>
      </c>
      <c r="H1205" s="26" t="str">
        <f>CADASTROS!$G$1024</f>
        <v>poup</v>
      </c>
      <c r="I1205" s="16" t="str">
        <f>CADASTROS!$H$1024</f>
        <v>18.325-3</v>
      </c>
      <c r="J1205" s="18">
        <f t="shared" si="50"/>
        <v>0</v>
      </c>
    </row>
    <row r="1206" spans="1:10" ht="15.75" x14ac:dyDescent="0.25">
      <c r="A1206" s="24">
        <f>CADASTROS!$B$1025</f>
        <v>1023</v>
      </c>
      <c r="B1206" s="15" t="str">
        <f>CADASTROS!$C$1025</f>
        <v>Maria T. S. Oliveira (LN)</v>
      </c>
      <c r="C1206" s="25"/>
      <c r="D1206" s="35">
        <f>PLANILHA_COLHEITA_DIÁRIA!$I$1607</f>
        <v>125.5</v>
      </c>
      <c r="E1206" s="17">
        <v>6</v>
      </c>
      <c r="F1206" s="26" t="str">
        <f>CADASTROS!$E$1025</f>
        <v>Banco do Brasil</v>
      </c>
      <c r="G1206" s="24" t="str">
        <f>CADASTROS!$F$1025</f>
        <v>2150-4</v>
      </c>
      <c r="H1206" s="26" t="str">
        <f>CADASTROS!$G$1025</f>
        <v>poup</v>
      </c>
      <c r="I1206" s="16" t="str">
        <f>CADASTROS!$H$1025</f>
        <v>13616-6</v>
      </c>
      <c r="J1206" s="18">
        <f t="shared" si="50"/>
        <v>753</v>
      </c>
    </row>
    <row r="1207" spans="1:10" ht="15.75" x14ac:dyDescent="0.25">
      <c r="A1207" s="24">
        <f>CADASTROS!$B$1026</f>
        <v>1024</v>
      </c>
      <c r="B1207" s="15" t="str">
        <f>CADASTROS!$C$1026</f>
        <v>Sinara Campos de Oliveira (LN)</v>
      </c>
      <c r="C1207" s="25"/>
      <c r="D1207" s="35">
        <f>PLANILHA_COLHEITA_DIÁRIA!$I$1608</f>
        <v>0</v>
      </c>
      <c r="E1207" s="17">
        <v>6</v>
      </c>
      <c r="F1207" s="26" t="str">
        <f>CADASTROS!$E$1026</f>
        <v>Cx. Econômica</v>
      </c>
      <c r="G1207" s="24">
        <f>CADASTROS!$F$1026</f>
        <v>4825</v>
      </c>
      <c r="H1207" s="26">
        <f>CADASTROS!$G$1026</f>
        <v>13</v>
      </c>
      <c r="I1207" s="16" t="str">
        <f>CADASTROS!$H$1026</f>
        <v>00009046-6</v>
      </c>
      <c r="J1207" s="18">
        <f t="shared" si="50"/>
        <v>0</v>
      </c>
    </row>
    <row r="1208" spans="1:10" ht="15.75" x14ac:dyDescent="0.25">
      <c r="A1208" s="24">
        <f>CADASTROS!$B$1027</f>
        <v>1025</v>
      </c>
      <c r="B1208" s="15" t="str">
        <f>CADASTROS!$C$1027</f>
        <v>Maciel Souza Silva (LN)</v>
      </c>
      <c r="C1208" s="25"/>
      <c r="D1208" s="52">
        <f>PLANILHA_COLHEITA_DIÁRIA!$I$1609</f>
        <v>0</v>
      </c>
      <c r="E1208" s="17">
        <v>6</v>
      </c>
      <c r="F1208" s="26" t="str">
        <f>CADASTROS!$E$1027</f>
        <v>Banco do Brasil</v>
      </c>
      <c r="G1208" s="24" t="str">
        <f>CADASTROS!$F$1027</f>
        <v>2760-X</v>
      </c>
      <c r="H1208" s="26">
        <f>CADASTROS!$G$1027</f>
        <v>0</v>
      </c>
      <c r="I1208" s="16" t="str">
        <f>CADASTROS!$H$1027</f>
        <v>24.810-X</v>
      </c>
      <c r="J1208" s="18">
        <f t="shared" si="50"/>
        <v>0</v>
      </c>
    </row>
    <row r="1209" spans="1:10" ht="15.75" x14ac:dyDescent="0.25">
      <c r="A1209" s="24">
        <f>CADASTROS!$B$1028</f>
        <v>1026</v>
      </c>
      <c r="B1209" s="15" t="str">
        <f>CADASTROS!$C$1028</f>
        <v>Ivaneide Carvalho Sampaio (LN)</v>
      </c>
      <c r="C1209" s="25"/>
      <c r="D1209" s="35">
        <f>PLANILHA_COLHEITA_DIÁRIA!$I$1610</f>
        <v>0</v>
      </c>
      <c r="E1209" s="17">
        <v>6</v>
      </c>
      <c r="F1209" s="26" t="str">
        <f>CADASTROS!$E$1028</f>
        <v>Cx. Econômica</v>
      </c>
      <c r="G1209" s="24">
        <f>CADASTROS!$F$1028</f>
        <v>780</v>
      </c>
      <c r="H1209" s="26">
        <f>CADASTROS!$G$1028</f>
        <v>23</v>
      </c>
      <c r="I1209" s="16" t="str">
        <f>CADASTROS!$H$1028</f>
        <v>00029196-0</v>
      </c>
      <c r="J1209" s="18">
        <f t="shared" si="50"/>
        <v>0</v>
      </c>
    </row>
    <row r="1210" spans="1:10" ht="15.75" x14ac:dyDescent="0.25">
      <c r="A1210" s="24">
        <f>CADASTROS!$B$1029</f>
        <v>1027</v>
      </c>
      <c r="B1210" s="15" t="str">
        <f>CADASTROS!$C$1029</f>
        <v>Rosangela C. Sampaio (LN)</v>
      </c>
      <c r="C1210" s="25"/>
      <c r="D1210" s="35">
        <f>PLANILHA_COLHEITA_DIÁRIA!$I$1611</f>
        <v>0</v>
      </c>
      <c r="E1210" s="17">
        <v>6</v>
      </c>
      <c r="F1210" s="26" t="str">
        <f>CADASTROS!$E$1029</f>
        <v>Cx. Econômica</v>
      </c>
      <c r="G1210" s="24">
        <f>CADASTROS!$F$1029</f>
        <v>4825</v>
      </c>
      <c r="H1210" s="26">
        <f>CADASTROS!$G$1029</f>
        <v>13</v>
      </c>
      <c r="I1210" s="16" t="str">
        <f>CADASTROS!$H$1029</f>
        <v>00014296-2</v>
      </c>
      <c r="J1210" s="18">
        <f t="shared" si="50"/>
        <v>0</v>
      </c>
    </row>
    <row r="1211" spans="1:10" ht="15.75" x14ac:dyDescent="0.25">
      <c r="A1211" s="24">
        <f>CADASTROS!$B$1030</f>
        <v>1028</v>
      </c>
      <c r="B1211" s="15" t="str">
        <f>CADASTROS!$C$1030</f>
        <v>Rosinete O. do E. Santo</v>
      </c>
      <c r="C1211" s="25"/>
      <c r="D1211" s="52">
        <f>PLANILHA_COLHEITA_DIÁRIA!$I$1612</f>
        <v>0</v>
      </c>
      <c r="E1211" s="17">
        <v>6</v>
      </c>
      <c r="F1211" s="26" t="str">
        <f>CADASTROS!$E$1030</f>
        <v>Cx. Econômica</v>
      </c>
      <c r="G1211" s="24">
        <f>CADASTROS!$F$1030</f>
        <v>4825</v>
      </c>
      <c r="H1211" s="26">
        <f>CADASTROS!$G$1030</f>
        <v>23</v>
      </c>
      <c r="I1211" s="16" t="str">
        <f>CADASTROS!$H$1030</f>
        <v>00000956-9</v>
      </c>
      <c r="J1211" s="18">
        <f t="shared" si="50"/>
        <v>0</v>
      </c>
    </row>
    <row r="1212" spans="1:10" ht="15.75" x14ac:dyDescent="0.25">
      <c r="A1212" s="24">
        <f>CADASTROS!$B$1031</f>
        <v>1029</v>
      </c>
      <c r="B1212" s="15" t="str">
        <f>CADASTROS!$C$1031</f>
        <v>Jussiaria Pires Alves</v>
      </c>
      <c r="C1212" s="25"/>
      <c r="D1212" s="35">
        <f>PLANILHA_COLHEITA_DIÁRIA!$I$1613</f>
        <v>0</v>
      </c>
      <c r="E1212" s="17">
        <v>6</v>
      </c>
      <c r="F1212" s="26" t="str">
        <f>CADASTROS!$E$1031</f>
        <v>Cx. Econômica</v>
      </c>
      <c r="G1212" s="24">
        <f>CADASTROS!$F$1031</f>
        <v>4825</v>
      </c>
      <c r="H1212" s="26">
        <f>CADASTROS!$G$1031</f>
        <v>13</v>
      </c>
      <c r="I1212" s="16" t="str">
        <f>CADASTROS!$H$1031</f>
        <v>00012159-0</v>
      </c>
      <c r="J1212" s="18">
        <f t="shared" si="50"/>
        <v>0</v>
      </c>
    </row>
    <row r="1213" spans="1:10" ht="15.75" x14ac:dyDescent="0.25">
      <c r="A1213" s="24">
        <f>CADASTROS!$B$1032</f>
        <v>1030</v>
      </c>
      <c r="B1213" s="15" t="str">
        <f>CADASTROS!$C$1032</f>
        <v>Rael Cassiano da Cruz (2B)</v>
      </c>
      <c r="C1213" s="25"/>
      <c r="D1213" s="35">
        <f>PLANILHA_COLHEITA_DIÁRIA!$I$1614</f>
        <v>0</v>
      </c>
      <c r="E1213" s="17">
        <v>6</v>
      </c>
      <c r="F1213" s="26" t="str">
        <f>CADASTROS!$E$1032</f>
        <v>Cx. Econômica</v>
      </c>
      <c r="G1213" s="24">
        <f>CADASTROS!$F$1032</f>
        <v>4825</v>
      </c>
      <c r="H1213" s="26">
        <f>CADASTROS!$G$1032</f>
        <v>13</v>
      </c>
      <c r="I1213" s="16" t="str">
        <f>CADASTROS!$H$1032</f>
        <v>00016191-6</v>
      </c>
      <c r="J1213" s="18">
        <f t="shared" si="50"/>
        <v>0</v>
      </c>
    </row>
    <row r="1214" spans="1:10" ht="15.75" x14ac:dyDescent="0.25">
      <c r="A1214" s="24">
        <f>CADASTROS!$B$1033</f>
        <v>1031</v>
      </c>
      <c r="B1214" s="15" t="str">
        <f>CADASTROS!$C$1033</f>
        <v>Eliene Almeida Oliveira (2B)</v>
      </c>
      <c r="C1214" s="25"/>
      <c r="D1214" s="52">
        <f>PLANILHA_COLHEITA_DIÁRIA!$I$1615</f>
        <v>0</v>
      </c>
      <c r="E1214" s="17">
        <v>6</v>
      </c>
      <c r="F1214" s="26" t="str">
        <f>CADASTROS!$E$1033</f>
        <v>Cx. Econômica</v>
      </c>
      <c r="G1214" s="24">
        <f>CADASTROS!$F$1033</f>
        <v>4825</v>
      </c>
      <c r="H1214" s="26">
        <f>CADASTROS!$G$1033</f>
        <v>13</v>
      </c>
      <c r="I1214" s="16" t="str">
        <f>CADASTROS!$H$1033</f>
        <v>00009578-6</v>
      </c>
      <c r="J1214" s="18">
        <f t="shared" si="50"/>
        <v>0</v>
      </c>
    </row>
    <row r="1215" spans="1:10" ht="15.75" x14ac:dyDescent="0.25">
      <c r="A1215" s="24">
        <f>CADASTROS!$B$1034</f>
        <v>1032</v>
      </c>
      <c r="B1215" s="15" t="str">
        <f>CADASTROS!$C$1034</f>
        <v>Adriana do N. Santana</v>
      </c>
      <c r="C1215" s="25"/>
      <c r="D1215" s="52">
        <f>PLANILHA_COLHEITA_DIÁRIA!$I$1616</f>
        <v>0</v>
      </c>
      <c r="E1215" s="17">
        <v>6</v>
      </c>
      <c r="F1215" s="26" t="str">
        <f>CADASTROS!$E$1034</f>
        <v>Cx. Econômica</v>
      </c>
      <c r="G1215" s="24">
        <f>CADASTROS!$F$1034</f>
        <v>4825</v>
      </c>
      <c r="H1215" s="26">
        <f>CADASTROS!$G$1034</f>
        <v>13</v>
      </c>
      <c r="I1215" s="16" t="str">
        <f>CADASTROS!$H$1034</f>
        <v>00001847-1</v>
      </c>
      <c r="J1215" s="18">
        <f t="shared" si="50"/>
        <v>0</v>
      </c>
    </row>
    <row r="1216" spans="1:10" ht="15.75" x14ac:dyDescent="0.25">
      <c r="A1216" s="24">
        <f>CADASTROS!$B$1035</f>
        <v>1033</v>
      </c>
      <c r="B1216" s="15" t="str">
        <f>CADASTROS!$C$1035</f>
        <v>Giselia Silva de Miranda</v>
      </c>
      <c r="C1216" s="25"/>
      <c r="D1216" s="35">
        <f>PLANILHA_COLHEITA_DIÁRIA!$I$1617</f>
        <v>0</v>
      </c>
      <c r="E1216" s="17">
        <v>6</v>
      </c>
      <c r="F1216" s="26" t="str">
        <f>CADASTROS!$E$1035</f>
        <v>Cx. Econômica</v>
      </c>
      <c r="G1216" s="24">
        <f>CADASTROS!$F$1035</f>
        <v>780</v>
      </c>
      <c r="H1216" s="26">
        <f>CADASTROS!$G$1035</f>
        <v>13</v>
      </c>
      <c r="I1216" s="16" t="str">
        <f>CADASTROS!$H$1035</f>
        <v>00033571-5</v>
      </c>
      <c r="J1216" s="18">
        <f t="shared" si="50"/>
        <v>0</v>
      </c>
    </row>
    <row r="1217" spans="1:10" ht="15.75" x14ac:dyDescent="0.25">
      <c r="A1217" s="24">
        <f>CADASTROS!$B$1036</f>
        <v>1034</v>
      </c>
      <c r="B1217" s="15" t="str">
        <f>CADASTROS!$C$1036</f>
        <v>Maria Silva S. Oliveira</v>
      </c>
      <c r="C1217" s="25"/>
      <c r="D1217" s="35">
        <f>PLANILHA_COLHEITA_DIÁRIA!$I$1618</f>
        <v>0</v>
      </c>
      <c r="E1217" s="17">
        <v>6</v>
      </c>
      <c r="F1217" s="26" t="str">
        <f>CADASTROS!$E$1036</f>
        <v>Cx. Econômica</v>
      </c>
      <c r="G1217" s="24">
        <f>CADASTROS!$F$1036</f>
        <v>780</v>
      </c>
      <c r="H1217" s="26">
        <f>CADASTROS!$G$1036</f>
        <v>23</v>
      </c>
      <c r="I1217" s="16" t="str">
        <f>CADASTROS!$H$1036</f>
        <v>00010444-3</v>
      </c>
      <c r="J1217" s="18">
        <f t="shared" si="50"/>
        <v>0</v>
      </c>
    </row>
    <row r="1218" spans="1:10" ht="15.75" x14ac:dyDescent="0.25">
      <c r="B1218" s="220"/>
      <c r="C1218" s="220"/>
      <c r="D1218" s="12">
        <f>SUM(D1173:D1217)</f>
        <v>418</v>
      </c>
      <c r="E1218" s="12"/>
      <c r="F1218" s="162"/>
      <c r="G1218" s="163"/>
      <c r="H1218" s="163"/>
      <c r="I1218" s="164"/>
      <c r="J1218" s="14">
        <f>SUM(J1173:J1217)</f>
        <v>2508</v>
      </c>
    </row>
    <row r="1220" spans="1:10" ht="15.75" x14ac:dyDescent="0.25">
      <c r="A1220" s="213" t="s">
        <v>4816</v>
      </c>
      <c r="B1220" s="213"/>
      <c r="C1220" s="213"/>
      <c r="D1220" s="213"/>
      <c r="E1220" s="213"/>
      <c r="F1220" s="213"/>
      <c r="G1220" s="213"/>
      <c r="H1220" s="213"/>
      <c r="I1220" s="213"/>
      <c r="J1220" s="213"/>
    </row>
    <row r="1221" spans="1:10" ht="16.5" thickBot="1" x14ac:dyDescent="0.3">
      <c r="A1221" s="214" t="s">
        <v>4843</v>
      </c>
      <c r="B1221" s="214"/>
      <c r="C1221" s="214"/>
      <c r="D1221" s="214"/>
      <c r="E1221" s="214"/>
      <c r="F1221" s="214"/>
      <c r="G1221" s="214"/>
      <c r="H1221" s="214"/>
      <c r="I1221" s="214"/>
      <c r="J1221" s="214"/>
    </row>
    <row r="1222" spans="1:10" ht="17.25" thickTop="1" thickBot="1" x14ac:dyDescent="0.3">
      <c r="A1222" s="215" t="s">
        <v>4844</v>
      </c>
      <c r="B1222" s="215"/>
      <c r="C1222" s="215"/>
      <c r="D1222" s="215"/>
      <c r="E1222" s="215"/>
      <c r="F1222" s="215"/>
      <c r="G1222" s="215"/>
      <c r="H1222" s="215"/>
      <c r="I1222" s="215"/>
      <c r="J1222" s="215"/>
    </row>
    <row r="1223" spans="1:10" ht="18" customHeight="1" x14ac:dyDescent="0.25">
      <c r="A1223" s="19" t="s">
        <v>4846</v>
      </c>
      <c r="B1223" s="216" t="s">
        <v>1</v>
      </c>
      <c r="C1223" s="221" t="s">
        <v>2</v>
      </c>
      <c r="D1223" s="223" t="s">
        <v>4847</v>
      </c>
      <c r="E1223" s="20" t="s">
        <v>4848</v>
      </c>
      <c r="F1223" s="216" t="s">
        <v>3</v>
      </c>
      <c r="G1223" s="216" t="s">
        <v>4</v>
      </c>
      <c r="H1223" s="216" t="s">
        <v>5</v>
      </c>
      <c r="I1223" s="216" t="s">
        <v>6</v>
      </c>
      <c r="J1223" s="218" t="s">
        <v>4849</v>
      </c>
    </row>
    <row r="1224" spans="1:10" ht="19.5" customHeight="1" thickBot="1" x14ac:dyDescent="0.3">
      <c r="A1224" s="21" t="s">
        <v>4850</v>
      </c>
      <c r="B1224" s="217"/>
      <c r="C1224" s="222"/>
      <c r="D1224" s="224"/>
      <c r="E1224" s="161" t="s">
        <v>4851</v>
      </c>
      <c r="F1224" s="217"/>
      <c r="G1224" s="217"/>
      <c r="H1224" s="217"/>
      <c r="I1224" s="217"/>
      <c r="J1224" s="219"/>
    </row>
    <row r="1225" spans="1:10" ht="15.75" x14ac:dyDescent="0.25">
      <c r="A1225" s="24">
        <f>CADASTROS!$B$1037</f>
        <v>1035</v>
      </c>
      <c r="B1225" s="15" t="str">
        <f>CADASTROS!$C$1037</f>
        <v>Orlando Silva de Almeida</v>
      </c>
      <c r="C1225" s="25"/>
      <c r="D1225" s="35">
        <f>PLANILHA_COLHEITA_DIÁRIA!$I$1619</f>
        <v>0</v>
      </c>
      <c r="E1225" s="17">
        <v>6</v>
      </c>
      <c r="F1225" s="26" t="str">
        <f>CADASTROS!$E$1037</f>
        <v>Cx. Econômica</v>
      </c>
      <c r="G1225" s="24">
        <f>CADASTROS!$F$1037</f>
        <v>4818</v>
      </c>
      <c r="H1225" s="26">
        <f>CADASTROS!$G$1037</f>
        <v>13</v>
      </c>
      <c r="I1225" s="16" t="str">
        <f>CADASTROS!$H$1037</f>
        <v>00011534-7</v>
      </c>
      <c r="J1225" s="18">
        <f t="shared" ref="J1225:J1234" si="51">D1225*E1225</f>
        <v>0</v>
      </c>
    </row>
    <row r="1226" spans="1:10" ht="15.75" x14ac:dyDescent="0.25">
      <c r="A1226" s="24">
        <f>CADASTROS!$B$1038</f>
        <v>1036</v>
      </c>
      <c r="B1226" s="15" t="str">
        <f>CADASTROS!$C$1038</f>
        <v>Poliana Almeida Oliveira</v>
      </c>
      <c r="C1226" s="25"/>
      <c r="D1226" s="35">
        <f>PLANILHA_COLHEITA_DIÁRIA!$I$1620</f>
        <v>0</v>
      </c>
      <c r="E1226" s="17">
        <v>6</v>
      </c>
      <c r="F1226" s="26" t="str">
        <f>CADASTROS!$E$1038</f>
        <v>Cx. Econômica</v>
      </c>
      <c r="G1226" s="24">
        <f>CADASTROS!$F$1038</f>
        <v>780</v>
      </c>
      <c r="H1226" s="26">
        <f>CADASTROS!$G$1038</f>
        <v>23</v>
      </c>
      <c r="I1226" s="16" t="str">
        <f>CADASTROS!$H$1038</f>
        <v>00028879-0</v>
      </c>
      <c r="J1226" s="18">
        <f t="shared" si="51"/>
        <v>0</v>
      </c>
    </row>
    <row r="1227" spans="1:10" ht="15.75" x14ac:dyDescent="0.25">
      <c r="A1227" s="24">
        <f>CADASTROS!$B$1039</f>
        <v>1037</v>
      </c>
      <c r="B1227" s="15" t="str">
        <f>CADASTROS!$C$1039</f>
        <v>Sileuza Jesus Nascimento</v>
      </c>
      <c r="C1227" s="25"/>
      <c r="D1227" s="41">
        <f>PLANILHA_COLHEITA_DIÁRIA!$I$1621</f>
        <v>0</v>
      </c>
      <c r="E1227" s="17">
        <v>6</v>
      </c>
      <c r="F1227" s="26" t="str">
        <f>CADASTROS!$E$1039</f>
        <v>Cx. Econômica</v>
      </c>
      <c r="G1227" s="24">
        <f>CADASTROS!$F$1039</f>
        <v>1018</v>
      </c>
      <c r="H1227" s="26">
        <f>CADASTROS!$G$1039</f>
        <v>13</v>
      </c>
      <c r="I1227" s="16" t="str">
        <f>CADASTROS!$H$1039</f>
        <v>00037004-8</v>
      </c>
      <c r="J1227" s="18">
        <f t="shared" si="51"/>
        <v>0</v>
      </c>
    </row>
    <row r="1228" spans="1:10" ht="15.75" x14ac:dyDescent="0.25">
      <c r="A1228" s="24">
        <f>CADASTROS!$B$1040</f>
        <v>1038</v>
      </c>
      <c r="B1228" s="15" t="str">
        <f>CADASTROS!$C$1040</f>
        <v>Núbia Pereira Lima</v>
      </c>
      <c r="C1228" s="25"/>
      <c r="D1228" s="35">
        <f>PLANILHA_COLHEITA_DIÁRIA!$I$1622</f>
        <v>0</v>
      </c>
      <c r="E1228" s="17">
        <v>6</v>
      </c>
      <c r="F1228" s="26" t="str">
        <f>CADASTROS!$E$1040</f>
        <v>Cx. Econômica</v>
      </c>
      <c r="G1228" s="24">
        <f>CADASTROS!$F$1040</f>
        <v>4818</v>
      </c>
      <c r="H1228" s="26">
        <f>CADASTROS!$G$1040</f>
        <v>13</v>
      </c>
      <c r="I1228" s="16" t="str">
        <f>CADASTROS!$H$1040</f>
        <v>00005160-8</v>
      </c>
      <c r="J1228" s="18">
        <f t="shared" si="51"/>
        <v>0</v>
      </c>
    </row>
    <row r="1229" spans="1:10" ht="15.75" x14ac:dyDescent="0.25">
      <c r="A1229" s="24">
        <f>CADASTROS!$B$1041</f>
        <v>1039</v>
      </c>
      <c r="B1229" s="15" t="str">
        <f>CADASTROS!$C$1041</f>
        <v>Eline S. Ferreira</v>
      </c>
      <c r="C1229" s="25"/>
      <c r="D1229" s="35">
        <f>PLANILHA_COLHEITA_DIÁRIA!$I$1623</f>
        <v>0</v>
      </c>
      <c r="E1229" s="17">
        <v>6</v>
      </c>
      <c r="F1229" s="26" t="str">
        <f>CADASTROS!$E$1041</f>
        <v>Banco do Brasil</v>
      </c>
      <c r="G1229" s="24" t="str">
        <f>CADASTROS!$F$1041</f>
        <v>2760-X</v>
      </c>
      <c r="H1229" s="26" t="str">
        <f>CADASTROS!$G$1041</f>
        <v>poup</v>
      </c>
      <c r="I1229" s="16" t="str">
        <f>CADASTROS!$H$1041</f>
        <v>18.196-X</v>
      </c>
      <c r="J1229" s="18">
        <f t="shared" si="51"/>
        <v>0</v>
      </c>
    </row>
    <row r="1230" spans="1:10" ht="15.75" x14ac:dyDescent="0.25">
      <c r="A1230" s="24">
        <f>CADASTROS!$B$1042</f>
        <v>1040</v>
      </c>
      <c r="B1230" s="15" t="str">
        <f>CADASTROS!$C$1042</f>
        <v>Catia Sirlene P Brito</v>
      </c>
      <c r="C1230" s="25"/>
      <c r="D1230" s="35">
        <f>PLANILHA_COLHEITA_DIÁRIA!$I$1624</f>
        <v>0</v>
      </c>
      <c r="E1230" s="17">
        <v>6</v>
      </c>
      <c r="F1230" s="26" t="str">
        <f>CADASTROS!$E$1042</f>
        <v>Cx. Econômica</v>
      </c>
      <c r="G1230" s="24">
        <f>CADASTROS!$F$1042</f>
        <v>949</v>
      </c>
      <c r="H1230" s="26">
        <f>CADASTROS!$G$1042</f>
        <v>13</v>
      </c>
      <c r="I1230" s="16" t="str">
        <f>CADASTROS!$H$1042</f>
        <v>00033326-5</v>
      </c>
      <c r="J1230" s="18">
        <f t="shared" si="51"/>
        <v>0</v>
      </c>
    </row>
    <row r="1231" spans="1:10" ht="15.75" x14ac:dyDescent="0.25">
      <c r="A1231" s="24">
        <f>CADASTROS!$B$1043</f>
        <v>1041</v>
      </c>
      <c r="B1231" s="15" t="str">
        <f>CADASTROS!$C$1043</f>
        <v>Marcelo G de Souza</v>
      </c>
      <c r="C1231" s="25"/>
      <c r="D1231" s="35">
        <f>PLANILHA_COLHEITA_DIÁRIA!$I$1625</f>
        <v>0</v>
      </c>
      <c r="E1231" s="17">
        <v>6</v>
      </c>
      <c r="F1231" s="26" t="str">
        <f>CADASTROS!$E$1043</f>
        <v>Cx. Econômica</v>
      </c>
      <c r="G1231" s="24">
        <f>CADASTROS!$F$1043</f>
        <v>250</v>
      </c>
      <c r="H1231" s="26">
        <f>CADASTROS!$G$1043</f>
        <v>13</v>
      </c>
      <c r="I1231" s="16" t="str">
        <f>CADASTROS!$H$1043</f>
        <v>00024027-5</v>
      </c>
      <c r="J1231" s="18">
        <f t="shared" si="51"/>
        <v>0</v>
      </c>
    </row>
    <row r="1232" spans="1:10" ht="15.75" x14ac:dyDescent="0.25">
      <c r="A1232" s="24">
        <f>CADASTROS!$B$1044</f>
        <v>1042</v>
      </c>
      <c r="B1232" s="15" t="str">
        <f>CADASTROS!$C$1044</f>
        <v>Darlene Lima de S. Ferreira</v>
      </c>
      <c r="C1232" s="25"/>
      <c r="D1232" s="42">
        <f>PLANILHA_COLHEITA_DIÁRIA!$I$1626</f>
        <v>0</v>
      </c>
      <c r="E1232" s="17">
        <v>6</v>
      </c>
      <c r="F1232" s="26" t="str">
        <f>CADASTROS!$E$1044</f>
        <v>Cx. Econômica</v>
      </c>
      <c r="G1232" s="24">
        <f>CADASTROS!$F$1044</f>
        <v>949</v>
      </c>
      <c r="H1232" s="26">
        <f>CADASTROS!$G$1044</f>
        <v>23</v>
      </c>
      <c r="I1232" s="16" t="str">
        <f>CADASTROS!$H$1044</f>
        <v>00007166-7</v>
      </c>
      <c r="J1232" s="18">
        <f t="shared" si="51"/>
        <v>0</v>
      </c>
    </row>
    <row r="1233" spans="1:10" ht="15.75" x14ac:dyDescent="0.25">
      <c r="A1233" s="24">
        <f>CADASTROS!$B$1045</f>
        <v>1043</v>
      </c>
      <c r="B1233" s="15" t="str">
        <f>CADASTROS!$C$1045</f>
        <v>Djalma C. Marques</v>
      </c>
      <c r="C1233" s="25"/>
      <c r="D1233" s="35">
        <f>PLANILHA_COLHEITA_DIÁRIA!$I$1627</f>
        <v>0</v>
      </c>
      <c r="E1233" s="17">
        <v>6</v>
      </c>
      <c r="F1233" s="26" t="str">
        <f>CADASTROS!$E$1045</f>
        <v>Banco do Brasil</v>
      </c>
      <c r="G1233" s="24" t="str">
        <f>CADASTROS!$F$1045</f>
        <v>1696-9</v>
      </c>
      <c r="H1233" s="26" t="str">
        <f>CADASTROS!$G$1045</f>
        <v>poup</v>
      </c>
      <c r="I1233" s="16" t="str">
        <f>CADASTROS!$H$1045</f>
        <v>9.597-4</v>
      </c>
      <c r="J1233" s="18">
        <f t="shared" si="51"/>
        <v>0</v>
      </c>
    </row>
    <row r="1234" spans="1:10" ht="15.75" x14ac:dyDescent="0.25">
      <c r="A1234" s="24">
        <f>CADASTROS!$B$1046</f>
        <v>1044</v>
      </c>
      <c r="B1234" s="15" t="str">
        <f>CADASTROS!$C$1046</f>
        <v>Ednaldo Romão da Silva</v>
      </c>
      <c r="C1234" s="25"/>
      <c r="D1234" s="42">
        <f>PLANILHA_COLHEITA_DIÁRIA!$I$1628</f>
        <v>0</v>
      </c>
      <c r="E1234" s="17">
        <v>6</v>
      </c>
      <c r="F1234" s="26" t="str">
        <f>CADASTROS!$E$1046</f>
        <v>Cx. Econômica</v>
      </c>
      <c r="G1234" s="24">
        <f>CADASTROS!$F$1046</f>
        <v>780</v>
      </c>
      <c r="H1234" s="26">
        <f>CADASTROS!$G$1046</f>
        <v>23</v>
      </c>
      <c r="I1234" s="16" t="str">
        <f>CADASTROS!$H$1046</f>
        <v>00023506-8</v>
      </c>
      <c r="J1234" s="18">
        <f t="shared" si="51"/>
        <v>0</v>
      </c>
    </row>
    <row r="1235" spans="1:10" ht="15.75" x14ac:dyDescent="0.25">
      <c r="A1235" s="24">
        <f>CADASTROS!$B$1047</f>
        <v>1045</v>
      </c>
      <c r="B1235" s="15" t="str">
        <f>CADASTROS!$C$1047</f>
        <v>Maria Sonia Ferreira da Silva</v>
      </c>
      <c r="C1235" s="25"/>
      <c r="D1235" s="35">
        <f>PLANILHA_COLHEITA_DIÁRIA!$I$1629</f>
        <v>0</v>
      </c>
      <c r="E1235" s="17">
        <v>6</v>
      </c>
      <c r="F1235" s="26" t="str">
        <f>CADASTROS!$E$1047</f>
        <v>Cx. Econômica</v>
      </c>
      <c r="G1235" s="24">
        <f>CADASTROS!$F$1047</f>
        <v>4825</v>
      </c>
      <c r="H1235" s="26">
        <f>CADASTROS!$G$1047</f>
        <v>13</v>
      </c>
      <c r="I1235" s="16" t="str">
        <f>CADASTROS!$H$1047</f>
        <v>00019706-6</v>
      </c>
      <c r="J1235" s="18">
        <f>D1235*E1235</f>
        <v>0</v>
      </c>
    </row>
    <row r="1236" spans="1:10" ht="15.75" x14ac:dyDescent="0.25">
      <c r="A1236" s="24">
        <f>CADASTROS!$B$1048</f>
        <v>1046</v>
      </c>
      <c r="B1236" s="15" t="str">
        <f>CADASTROS!$C$1048</f>
        <v>Manoel Messias A. Miranda</v>
      </c>
      <c r="C1236" s="25"/>
      <c r="D1236" s="35">
        <f>PLANILHA_COLHEITA_DIÁRIA!$I$1630</f>
        <v>0</v>
      </c>
      <c r="E1236" s="17">
        <v>6</v>
      </c>
      <c r="F1236" s="26" t="str">
        <f>CADASTROS!$E$1048</f>
        <v>Cx. Econômica</v>
      </c>
      <c r="G1236" s="24">
        <f>CADASTROS!$F$1048</f>
        <v>4825</v>
      </c>
      <c r="H1236" s="26">
        <f>CADASTROS!$G$1048</f>
        <v>1288</v>
      </c>
      <c r="I1236" s="16" t="str">
        <f>CADASTROS!$H$1048</f>
        <v>782732278-7</v>
      </c>
      <c r="J1236" s="18">
        <f t="shared" ref="J1236" si="52">D1236*E1236</f>
        <v>0</v>
      </c>
    </row>
    <row r="1237" spans="1:10" ht="15.75" x14ac:dyDescent="0.25">
      <c r="A1237" s="24">
        <f>CADASTROS!$B$1049</f>
        <v>1047</v>
      </c>
      <c r="B1237" s="15" t="str">
        <f>CADASTROS!$C$1049</f>
        <v>Eliana Jesus de Souza (LN)</v>
      </c>
      <c r="C1237" s="25"/>
      <c r="D1237" s="35">
        <f>PLANILHA_COLHEITA_DIÁRIA!$I$1631</f>
        <v>0</v>
      </c>
      <c r="E1237" s="17">
        <v>6</v>
      </c>
      <c r="F1237" s="26" t="str">
        <f>CADASTROS!$E$1049</f>
        <v>Cx. Econômica</v>
      </c>
      <c r="G1237" s="24">
        <f>CADASTROS!$F$1049</f>
        <v>780</v>
      </c>
      <c r="H1237" s="26">
        <f>CADASTROS!$G$1049</f>
        <v>23</v>
      </c>
      <c r="I1237" s="16" t="str">
        <f>CADASTROS!$H$1049</f>
        <v>00028188-4</v>
      </c>
      <c r="J1237" s="18">
        <f>D1237*E1237</f>
        <v>0</v>
      </c>
    </row>
    <row r="1238" spans="1:10" ht="15.75" x14ac:dyDescent="0.25">
      <c r="A1238" s="24">
        <f>CADASTROS!$B$1050</f>
        <v>1048</v>
      </c>
      <c r="B1238" s="15" t="str">
        <f>CADASTROS!$C$1050</f>
        <v>Ilza Félix Pinheiro (LN)</v>
      </c>
      <c r="C1238" s="25"/>
      <c r="D1238" s="35">
        <f>PLANILHA_COLHEITA_DIÁRIA!$I$1643</f>
        <v>0</v>
      </c>
      <c r="E1238" s="17">
        <v>6</v>
      </c>
      <c r="F1238" s="26" t="str">
        <f>CADASTROS!$E$1050</f>
        <v>Banco do Brasil</v>
      </c>
      <c r="G1238" s="24" t="str">
        <f>CADASTROS!$F$1050</f>
        <v>2760-X</v>
      </c>
      <c r="H1238" s="26" t="str">
        <f>CADASTROS!$G$1050</f>
        <v>poup</v>
      </c>
      <c r="I1238" s="16" t="str">
        <f>CADASTROS!$H$1050</f>
        <v>14.319-7</v>
      </c>
      <c r="J1238" s="18">
        <f t="shared" ref="J1238:J1269" si="53">D1238*E1238</f>
        <v>0</v>
      </c>
    </row>
    <row r="1239" spans="1:10" ht="15.75" x14ac:dyDescent="0.25">
      <c r="A1239" s="24">
        <f>CADASTROS!$B$1051</f>
        <v>1049</v>
      </c>
      <c r="B1239" s="15" t="str">
        <f>CADASTROS!$C$1051</f>
        <v>Antônio Nunes dos Santos (LN)</v>
      </c>
      <c r="C1239" s="25"/>
      <c r="D1239" s="35">
        <f>PLANILHA_COLHEITA_DIÁRIA!$I$1644</f>
        <v>0</v>
      </c>
      <c r="E1239" s="17">
        <v>6</v>
      </c>
      <c r="F1239" s="26" t="str">
        <f>CADASTROS!$E$1051</f>
        <v>Cx. Econômica</v>
      </c>
      <c r="G1239" s="24">
        <f>CADASTROS!$F$1051</f>
        <v>4825</v>
      </c>
      <c r="H1239" s="26">
        <f>CADASTROS!$G$1051</f>
        <v>13</v>
      </c>
      <c r="I1239" s="16" t="str">
        <f>CADASTROS!$H$1051</f>
        <v>00001639-8</v>
      </c>
      <c r="J1239" s="18">
        <f t="shared" si="53"/>
        <v>0</v>
      </c>
    </row>
    <row r="1240" spans="1:10" ht="15.75" x14ac:dyDescent="0.25">
      <c r="A1240" s="24">
        <f>CADASTROS!$B$1052</f>
        <v>1050</v>
      </c>
      <c r="B1240" s="15" t="str">
        <f>CADASTROS!$C$1052</f>
        <v>Eliene Vitor Bispo</v>
      </c>
      <c r="C1240" s="25"/>
      <c r="D1240" s="41">
        <f>PLANILHA_COLHEITA_DIÁRIA!$I$1645</f>
        <v>0</v>
      </c>
      <c r="E1240" s="17">
        <v>6</v>
      </c>
      <c r="F1240" s="26" t="str">
        <f>CADASTROS!$E$1052</f>
        <v>Cx. Econômica</v>
      </c>
      <c r="G1240" s="24">
        <f>CADASTROS!$F$1052</f>
        <v>780</v>
      </c>
      <c r="H1240" s="26">
        <f>CADASTROS!$G$1052</f>
        <v>23</v>
      </c>
      <c r="I1240" s="16" t="str">
        <f>CADASTROS!$H$1052</f>
        <v>00009081-7</v>
      </c>
      <c r="J1240" s="18">
        <f t="shared" si="53"/>
        <v>0</v>
      </c>
    </row>
    <row r="1241" spans="1:10" ht="15.75" x14ac:dyDescent="0.25">
      <c r="A1241" s="24">
        <f>CADASTROS!$B$1053</f>
        <v>1051</v>
      </c>
      <c r="B1241" s="15" t="str">
        <f>CADASTROS!$C$1053</f>
        <v>Ananias Bernardo da Silva</v>
      </c>
      <c r="C1241" s="25"/>
      <c r="D1241" s="35">
        <f>PLANILHA_COLHEITA_DIÁRIA!$I$1646</f>
        <v>0</v>
      </c>
      <c r="E1241" s="17">
        <v>6</v>
      </c>
      <c r="F1241" s="26" t="str">
        <f>CADASTROS!$E$1053</f>
        <v>Cx. Econômica</v>
      </c>
      <c r="G1241" s="24">
        <f>CADASTROS!$F$1053</f>
        <v>4818</v>
      </c>
      <c r="H1241" s="26">
        <f>CADASTROS!$G$1053</f>
        <v>13</v>
      </c>
      <c r="I1241" s="16" t="str">
        <f>CADASTROS!$H$1053</f>
        <v>00004397-4</v>
      </c>
      <c r="J1241" s="18">
        <f t="shared" si="53"/>
        <v>0</v>
      </c>
    </row>
    <row r="1242" spans="1:10" ht="15.75" x14ac:dyDescent="0.25">
      <c r="A1242" s="24">
        <f>CADASTROS!$B$1054</f>
        <v>1052</v>
      </c>
      <c r="B1242" s="15" t="str">
        <f>CADASTROS!$C$1054</f>
        <v>Martinho R. de J. Neto</v>
      </c>
      <c r="C1242" s="25"/>
      <c r="D1242" s="35">
        <f>PLANILHA_COLHEITA_DIÁRIA!$I$1647</f>
        <v>0</v>
      </c>
      <c r="E1242" s="17">
        <v>6</v>
      </c>
      <c r="F1242" s="26" t="str">
        <f>CADASTROS!$E$1054</f>
        <v>Cx. Econômica</v>
      </c>
      <c r="G1242" s="24">
        <f>CADASTROS!$F$1054</f>
        <v>4825</v>
      </c>
      <c r="H1242" s="26">
        <f>CADASTROS!$G$1054</f>
        <v>13</v>
      </c>
      <c r="I1242" s="16" t="str">
        <f>CADASTROS!$H$1054</f>
        <v>00018362-6</v>
      </c>
      <c r="J1242" s="18">
        <f t="shared" si="53"/>
        <v>0</v>
      </c>
    </row>
    <row r="1243" spans="1:10" ht="15.75" x14ac:dyDescent="0.25">
      <c r="A1243" s="24">
        <f>CADASTROS!$B$1055</f>
        <v>1053</v>
      </c>
      <c r="B1243" s="15" t="str">
        <f>CADASTROS!$C$1055</f>
        <v>Ricardo dos Santos Ferreira</v>
      </c>
      <c r="C1243" s="25"/>
      <c r="D1243" s="42">
        <f>PLANILHA_COLHEITA_DIÁRIA!$I$1648</f>
        <v>0</v>
      </c>
      <c r="E1243" s="17">
        <v>6</v>
      </c>
      <c r="F1243" s="26" t="str">
        <f>CADASTROS!$E$1055</f>
        <v>Cx. Econômica</v>
      </c>
      <c r="G1243" s="24">
        <f>CADASTROS!$F$1055</f>
        <v>4825</v>
      </c>
      <c r="H1243" s="26">
        <f>CADASTROS!$G$1055</f>
        <v>13</v>
      </c>
      <c r="I1243" s="16" t="str">
        <f>CADASTROS!$H$1055</f>
        <v>00019947-6</v>
      </c>
      <c r="J1243" s="18">
        <f t="shared" si="53"/>
        <v>0</v>
      </c>
    </row>
    <row r="1244" spans="1:10" ht="15.75" x14ac:dyDescent="0.25">
      <c r="A1244" s="24">
        <f>CADASTROS!$B$1056</f>
        <v>1054</v>
      </c>
      <c r="B1244" s="15" t="str">
        <f>CADASTROS!$C$1056</f>
        <v>Maria Nilce O. Santos</v>
      </c>
      <c r="C1244" s="25"/>
      <c r="D1244" s="35">
        <f>PLANILHA_COLHEITA_DIÁRIA!$I$1649</f>
        <v>0</v>
      </c>
      <c r="E1244" s="17">
        <v>6</v>
      </c>
      <c r="F1244" s="26" t="str">
        <f>CADASTROS!$E$1056</f>
        <v>Cx. Econômica</v>
      </c>
      <c r="G1244" s="24">
        <f>CADASTROS!$F$1056</f>
        <v>4825</v>
      </c>
      <c r="H1244" s="26">
        <f>CADASTROS!$G$1056</f>
        <v>13</v>
      </c>
      <c r="I1244" s="16" t="str">
        <f>CADASTROS!$H$1056</f>
        <v>00005301-3</v>
      </c>
      <c r="J1244" s="18">
        <f t="shared" si="53"/>
        <v>0</v>
      </c>
    </row>
    <row r="1245" spans="1:10" ht="15.75" x14ac:dyDescent="0.25">
      <c r="A1245" s="24">
        <f>CADASTROS!$B$1057</f>
        <v>1055</v>
      </c>
      <c r="B1245" s="15" t="str">
        <f>CADASTROS!$C$1057</f>
        <v>Vera Lucia Carlos Silva</v>
      </c>
      <c r="C1245" s="25"/>
      <c r="D1245" s="35">
        <f>PLANILHA_COLHEITA_DIÁRIA!$I$1650</f>
        <v>0</v>
      </c>
      <c r="E1245" s="17">
        <v>6</v>
      </c>
      <c r="F1245" s="26" t="str">
        <f>CADASTROS!$E$1057</f>
        <v>Cx. Econômica</v>
      </c>
      <c r="G1245" s="24">
        <f>CADASTROS!$F$1057</f>
        <v>4825</v>
      </c>
      <c r="H1245" s="26">
        <f>CADASTROS!$G$1057</f>
        <v>13</v>
      </c>
      <c r="I1245" s="16" t="str">
        <f>CADASTROS!$H$1057</f>
        <v>00009531-0</v>
      </c>
      <c r="J1245" s="18">
        <f t="shared" si="53"/>
        <v>0</v>
      </c>
    </row>
    <row r="1246" spans="1:10" ht="15.75" x14ac:dyDescent="0.25">
      <c r="A1246" s="24">
        <f>CADASTROS!$B$1058</f>
        <v>1056</v>
      </c>
      <c r="B1246" s="15" t="str">
        <f>CADASTROS!$C$1058</f>
        <v>Marivaldo Matos Soares</v>
      </c>
      <c r="C1246" s="25"/>
      <c r="D1246" s="35">
        <f>PLANILHA_COLHEITA_DIÁRIA!$I$1651</f>
        <v>240</v>
      </c>
      <c r="E1246" s="17">
        <v>6</v>
      </c>
      <c r="F1246" s="26" t="str">
        <f>CADASTROS!$E$1058</f>
        <v>Cx. Econômica</v>
      </c>
      <c r="G1246" s="24">
        <f>CADASTROS!$F$1058</f>
        <v>1086</v>
      </c>
      <c r="H1246" s="26">
        <f>CADASTROS!$G$1058</f>
        <v>13</v>
      </c>
      <c r="I1246" s="16" t="str">
        <f>CADASTROS!$H$1058</f>
        <v>00054443-8</v>
      </c>
      <c r="J1246" s="18">
        <f t="shared" si="53"/>
        <v>1440</v>
      </c>
    </row>
    <row r="1247" spans="1:10" ht="15.75" x14ac:dyDescent="0.25">
      <c r="A1247" s="24">
        <f>CADASTROS!$B$1059</f>
        <v>1057</v>
      </c>
      <c r="B1247" s="15" t="str">
        <f>CADASTROS!$C$1059</f>
        <v>Maria Tatiane de Souza</v>
      </c>
      <c r="C1247" s="25"/>
      <c r="D1247" s="35">
        <f>PLANILHA_COLHEITA_DIÁRIA!$I$1652</f>
        <v>0</v>
      </c>
      <c r="E1247" s="17">
        <v>6</v>
      </c>
      <c r="F1247" s="26" t="str">
        <f>CADASTROS!$E$1059</f>
        <v>Cx. Econômica</v>
      </c>
      <c r="G1247" s="24">
        <f>CADASTROS!$F$1059</f>
        <v>4825</v>
      </c>
      <c r="H1247" s="26">
        <f>CADASTROS!$G$1059</f>
        <v>13</v>
      </c>
      <c r="I1247" s="16" t="str">
        <f>CADASTROS!$H$1059</f>
        <v>00020957-9</v>
      </c>
      <c r="J1247" s="18">
        <f t="shared" si="53"/>
        <v>0</v>
      </c>
    </row>
    <row r="1248" spans="1:10" ht="15.75" x14ac:dyDescent="0.25">
      <c r="A1248" s="24">
        <f>CADASTROS!$B$1060</f>
        <v>1058</v>
      </c>
      <c r="B1248" s="15" t="str">
        <f>CADASTROS!$C$1060</f>
        <v>Gersiane Soares dos Santos</v>
      </c>
      <c r="C1248" s="25"/>
      <c r="D1248" s="35">
        <f>PLANILHA_COLHEITA_DIÁRIA!$I$1653</f>
        <v>58</v>
      </c>
      <c r="E1248" s="17">
        <v>6</v>
      </c>
      <c r="F1248" s="26" t="str">
        <f>CADASTROS!$E$1060</f>
        <v>Cx. Econômica</v>
      </c>
      <c r="G1248" s="24">
        <f>CADASTROS!$F$1060</f>
        <v>4818</v>
      </c>
      <c r="H1248" s="26">
        <f>CADASTROS!$G$1060</f>
        <v>13</v>
      </c>
      <c r="I1248" s="16" t="str">
        <f>CADASTROS!$H$1060</f>
        <v>00009870-1</v>
      </c>
      <c r="J1248" s="18">
        <f t="shared" si="53"/>
        <v>348</v>
      </c>
    </row>
    <row r="1249" spans="1:10" ht="15.75" x14ac:dyDescent="0.25">
      <c r="A1249" s="24">
        <f>CADASTROS!$B$1061</f>
        <v>1059</v>
      </c>
      <c r="B1249" s="15" t="str">
        <f>CADASTROS!$C$1061</f>
        <v>Vera Lucia Cruz Almeida</v>
      </c>
      <c r="C1249" s="25"/>
      <c r="D1249" s="35">
        <f>PLANILHA_COLHEITA_DIÁRIA!$I$1654</f>
        <v>0</v>
      </c>
      <c r="E1249" s="17">
        <v>6</v>
      </c>
      <c r="F1249" s="26" t="str">
        <f>CADASTROS!$E$1061</f>
        <v>Cx. Econômica</v>
      </c>
      <c r="G1249" s="24">
        <f>CADASTROS!$F$1061</f>
        <v>4818</v>
      </c>
      <c r="H1249" s="26">
        <f>CADASTROS!$G$1061</f>
        <v>23</v>
      </c>
      <c r="I1249" s="16" t="str">
        <f>CADASTROS!$H$1061</f>
        <v>00001486-6</v>
      </c>
      <c r="J1249" s="18">
        <f t="shared" si="53"/>
        <v>0</v>
      </c>
    </row>
    <row r="1250" spans="1:10" ht="15.75" x14ac:dyDescent="0.25">
      <c r="A1250" s="24">
        <f>CADASTROS!$B$1062</f>
        <v>1060</v>
      </c>
      <c r="B1250" s="15" t="str">
        <f>CADASTROS!$C$1062</f>
        <v>Julia Cornelio de Souza</v>
      </c>
      <c r="C1250" s="25"/>
      <c r="D1250" s="35">
        <f>PLANILHA_COLHEITA_DIÁRIA!$I$1655</f>
        <v>0</v>
      </c>
      <c r="E1250" s="17">
        <v>6</v>
      </c>
      <c r="F1250" s="26" t="str">
        <f>CADASTROS!$E$1062</f>
        <v>Cx. Econômica</v>
      </c>
      <c r="G1250" s="24">
        <f>CADASTROS!$F$1062</f>
        <v>4601</v>
      </c>
      <c r="H1250" s="26">
        <f>CADASTROS!$G$1062</f>
        <v>13</v>
      </c>
      <c r="I1250" s="16" t="str">
        <f>CADASTROS!$H$1062</f>
        <v>00011913-0</v>
      </c>
      <c r="J1250" s="18">
        <f t="shared" si="53"/>
        <v>0</v>
      </c>
    </row>
    <row r="1251" spans="1:10" ht="15.75" x14ac:dyDescent="0.25">
      <c r="A1251" s="24">
        <f>CADASTROS!$B$1063</f>
        <v>1061</v>
      </c>
      <c r="B1251" s="15" t="str">
        <f>CADASTROS!$C$1063</f>
        <v>Tatiane Mendes de Souza</v>
      </c>
      <c r="C1251" s="25"/>
      <c r="D1251" s="35">
        <f>PLANILHA_COLHEITA_DIÁRIA!$I$1656</f>
        <v>0</v>
      </c>
      <c r="E1251" s="17">
        <v>6</v>
      </c>
      <c r="F1251" s="26" t="str">
        <f>CADASTROS!$E$1063</f>
        <v>Cx. Econômica</v>
      </c>
      <c r="G1251" s="24">
        <f>CADASTROS!$F$1063</f>
        <v>4601</v>
      </c>
      <c r="H1251" s="26">
        <f>CADASTROS!$G$1063</f>
        <v>13</v>
      </c>
      <c r="I1251" s="16" t="str">
        <f>CADASTROS!$H$1063</f>
        <v>00010514-7</v>
      </c>
      <c r="J1251" s="18">
        <f t="shared" si="53"/>
        <v>0</v>
      </c>
    </row>
    <row r="1252" spans="1:10" ht="15.75" x14ac:dyDescent="0.25">
      <c r="A1252" s="24">
        <f>CADASTROS!$B$1064</f>
        <v>1062</v>
      </c>
      <c r="B1252" s="15" t="str">
        <f>CADASTROS!$C$1064</f>
        <v>Edilene Santana de Souza</v>
      </c>
      <c r="C1252" s="25"/>
      <c r="D1252" s="35">
        <f>PLANILHA_COLHEITA_DIÁRIA!$I$1657</f>
        <v>0</v>
      </c>
      <c r="E1252" s="17">
        <v>6</v>
      </c>
      <c r="F1252" s="26" t="str">
        <f>CADASTROS!$E$1064</f>
        <v>Cx. Econômica</v>
      </c>
      <c r="G1252" s="24">
        <f>CADASTROS!$F$1064</f>
        <v>3788</v>
      </c>
      <c r="H1252" s="26">
        <f>CADASTROS!$G$1064</f>
        <v>13</v>
      </c>
      <c r="I1252" s="16" t="str">
        <f>CADASTROS!$H$1064</f>
        <v>00005747-4</v>
      </c>
      <c r="J1252" s="18">
        <f t="shared" si="53"/>
        <v>0</v>
      </c>
    </row>
    <row r="1253" spans="1:10" ht="15.75" x14ac:dyDescent="0.25">
      <c r="A1253" s="24">
        <f>CADASTROS!$B$1065</f>
        <v>1063</v>
      </c>
      <c r="B1253" s="15" t="str">
        <f>CADASTROS!$C$1065</f>
        <v>Raimundo Soares de Souza</v>
      </c>
      <c r="C1253" s="25"/>
      <c r="D1253" s="35">
        <f>PLANILHA_COLHEITA_DIÁRIA!$I$1658</f>
        <v>18.5</v>
      </c>
      <c r="E1253" s="17">
        <v>6</v>
      </c>
      <c r="F1253" s="26" t="str">
        <f>CADASTROS!$E$1065</f>
        <v>Cx. Econômica</v>
      </c>
      <c r="G1253" s="24">
        <f>CADASTROS!$F$98</f>
        <v>4535</v>
      </c>
      <c r="H1253" s="26">
        <f>CADASTROS!$G$1065</f>
        <v>13</v>
      </c>
      <c r="I1253" s="16" t="str">
        <f>CADASTROS!$H$1065</f>
        <v>00010147-6</v>
      </c>
      <c r="J1253" s="18">
        <f t="shared" si="53"/>
        <v>111</v>
      </c>
    </row>
    <row r="1254" spans="1:10" ht="15.75" x14ac:dyDescent="0.25">
      <c r="A1254" s="24">
        <f>CADASTROS!$B$1066</f>
        <v>1064</v>
      </c>
      <c r="B1254" s="15" t="str">
        <f>CADASTROS!$C$1066</f>
        <v>Rilda Rosa Caldeira</v>
      </c>
      <c r="C1254" s="25"/>
      <c r="D1254" s="42">
        <f>PLANILHA_COLHEITA_DIÁRIA!$I$1659</f>
        <v>0</v>
      </c>
      <c r="E1254" s="17">
        <v>6</v>
      </c>
      <c r="F1254" s="26" t="str">
        <f>CADASTROS!$E$1066</f>
        <v>Cx. Econômica</v>
      </c>
      <c r="G1254" s="24">
        <f>CADASTROS!$F$1066</f>
        <v>4825</v>
      </c>
      <c r="H1254" s="26">
        <f>CADASTROS!$G$1066</f>
        <v>13</v>
      </c>
      <c r="I1254" s="16" t="str">
        <f>CADASTROS!$H$1066</f>
        <v>00002752-7</v>
      </c>
      <c r="J1254" s="18">
        <f t="shared" si="53"/>
        <v>0</v>
      </c>
    </row>
    <row r="1255" spans="1:10" ht="15.75" x14ac:dyDescent="0.25">
      <c r="A1255" s="24">
        <f>CADASTROS!$B$1067</f>
        <v>1065</v>
      </c>
      <c r="B1255" s="15" t="str">
        <f>CADASTROS!$C$1067</f>
        <v>Orlando S. Almeida</v>
      </c>
      <c r="C1255" s="25"/>
      <c r="D1255" s="35">
        <f>PLANILHA_COLHEITA_DIÁRIA!$I$1660</f>
        <v>0</v>
      </c>
      <c r="E1255" s="17">
        <v>6</v>
      </c>
      <c r="F1255" s="26" t="str">
        <f>CADASTROS!$E$1067</f>
        <v>Banco do Brasil</v>
      </c>
      <c r="G1255" s="24" t="str">
        <f>CADASTROS!$F$1067</f>
        <v>2760-X</v>
      </c>
      <c r="H1255" s="26" t="str">
        <f>CADASTROS!$G$1067</f>
        <v>poup</v>
      </c>
      <c r="I1255" s="16" t="str">
        <f>CADASTROS!$H$1067</f>
        <v>8.627-4</v>
      </c>
      <c r="J1255" s="18">
        <f t="shared" si="53"/>
        <v>0</v>
      </c>
    </row>
    <row r="1256" spans="1:10" ht="15.75" x14ac:dyDescent="0.25">
      <c r="A1256" s="24">
        <f>CADASTROS!$B$1068</f>
        <v>1066</v>
      </c>
      <c r="B1256" s="15" t="str">
        <f>CADASTROS!$C$1068</f>
        <v>Clenilda Oliveira Santos</v>
      </c>
      <c r="C1256" s="25"/>
      <c r="D1256" s="35">
        <f>PLANILHA_COLHEITA_DIÁRIA!$I$1661</f>
        <v>0</v>
      </c>
      <c r="E1256" s="17">
        <v>6</v>
      </c>
      <c r="F1256" s="26" t="str">
        <f>CADASTROS!$E$1068</f>
        <v>Cx. Econômica</v>
      </c>
      <c r="G1256" s="24">
        <f>CADASTROS!$F$1068</f>
        <v>2734</v>
      </c>
      <c r="H1256" s="26">
        <f>CADASTROS!$G$1068</f>
        <v>13</v>
      </c>
      <c r="I1256" s="16" t="str">
        <f>CADASTROS!$H$1068</f>
        <v>00055654-6</v>
      </c>
      <c r="J1256" s="18">
        <f t="shared" si="53"/>
        <v>0</v>
      </c>
    </row>
    <row r="1257" spans="1:10" ht="15.75" x14ac:dyDescent="0.25">
      <c r="A1257" s="24">
        <f>CADASTROS!$B$1069</f>
        <v>1067</v>
      </c>
      <c r="B1257" s="15" t="str">
        <f>CADASTROS!$C$1069</f>
        <v>Marinez Silva Santana</v>
      </c>
      <c r="C1257" s="25"/>
      <c r="D1257" s="35">
        <f>PLANILHA_COLHEITA_DIÁRIA!$I$1662</f>
        <v>0</v>
      </c>
      <c r="E1257" s="17">
        <v>6</v>
      </c>
      <c r="F1257" s="26" t="str">
        <f>CADASTROS!$E$1069</f>
        <v>Cx. Econômica</v>
      </c>
      <c r="G1257" s="24">
        <f>CADASTROS!$F$1069</f>
        <v>780</v>
      </c>
      <c r="H1257" s="26">
        <f>CADASTROS!$G$1069</f>
        <v>13</v>
      </c>
      <c r="I1257" s="16" t="str">
        <f>CADASTROS!$H$1069</f>
        <v>00008623-5</v>
      </c>
      <c r="J1257" s="18">
        <f t="shared" si="53"/>
        <v>0</v>
      </c>
    </row>
    <row r="1258" spans="1:10" ht="15.75" x14ac:dyDescent="0.25">
      <c r="A1258" s="24">
        <f>CADASTROS!$B$1070</f>
        <v>1068</v>
      </c>
      <c r="B1258" s="15" t="str">
        <f>CADASTROS!$C$1070</f>
        <v>Pedro Barbosa da Silva</v>
      </c>
      <c r="C1258" s="25"/>
      <c r="D1258" s="42">
        <f>PLANILHA_COLHEITA_DIÁRIA!$I$1663</f>
        <v>0</v>
      </c>
      <c r="E1258" s="17">
        <v>6</v>
      </c>
      <c r="F1258" s="26" t="str">
        <f>CADASTROS!$E$1070</f>
        <v>Cx. Econômica</v>
      </c>
      <c r="G1258" s="24">
        <f>CADASTROS!$F$1070</f>
        <v>2734</v>
      </c>
      <c r="H1258" s="26">
        <f>CADASTROS!$G$1070</f>
        <v>13</v>
      </c>
      <c r="I1258" s="16" t="str">
        <f>CADASTROS!$H$1070</f>
        <v>00039578-0</v>
      </c>
      <c r="J1258" s="18">
        <f t="shared" si="53"/>
        <v>0</v>
      </c>
    </row>
    <row r="1259" spans="1:10" ht="15.75" x14ac:dyDescent="0.25">
      <c r="A1259" s="24">
        <f>CADASTROS!$B$1071</f>
        <v>1069</v>
      </c>
      <c r="B1259" s="15" t="str">
        <f>CADASTROS!$C$1071</f>
        <v>Arenildo Rosa Pires</v>
      </c>
      <c r="C1259" s="25"/>
      <c r="D1259" s="35">
        <f>PLANILHA_COLHEITA_DIÁRIA!$I$1664</f>
        <v>0</v>
      </c>
      <c r="E1259" s="17">
        <v>6</v>
      </c>
      <c r="F1259" s="26" t="str">
        <f>CADASTROS!$E$1071</f>
        <v>Cx. Econômica</v>
      </c>
      <c r="G1259" s="24">
        <f>CADASTROS!$F$1071</f>
        <v>4818</v>
      </c>
      <c r="H1259" s="26">
        <f>CADASTROS!$G$1071</f>
        <v>13</v>
      </c>
      <c r="I1259" s="16" t="str">
        <f>CADASTROS!$H$1071</f>
        <v>00011149-0</v>
      </c>
      <c r="J1259" s="18">
        <f t="shared" si="53"/>
        <v>0</v>
      </c>
    </row>
    <row r="1260" spans="1:10" ht="15.75" x14ac:dyDescent="0.25">
      <c r="A1260" s="24">
        <f>CADASTROS!$B$1072</f>
        <v>1070</v>
      </c>
      <c r="B1260" s="15" t="str">
        <f>CADASTROS!$C$1072</f>
        <v>Joselito Teodoro da Cruz</v>
      </c>
      <c r="C1260" s="25"/>
      <c r="D1260" s="35">
        <f>PLANILHA_COLHEITA_DIÁRIA!$I$1665</f>
        <v>0</v>
      </c>
      <c r="E1260" s="17">
        <v>6</v>
      </c>
      <c r="F1260" s="26" t="str">
        <f>CADASTROS!$E$1072</f>
        <v>Banco do Brasil</v>
      </c>
      <c r="G1260" s="24" t="str">
        <f>CADASTROS!$F$1072</f>
        <v>0595-9</v>
      </c>
      <c r="H1260" s="26" t="str">
        <f>CADASTROS!$G$1072</f>
        <v>poup</v>
      </c>
      <c r="I1260" s="16" t="str">
        <f>CADASTROS!$H$1072</f>
        <v>23.250-5</v>
      </c>
      <c r="J1260" s="18">
        <f t="shared" si="53"/>
        <v>0</v>
      </c>
    </row>
    <row r="1261" spans="1:10" ht="15.75" x14ac:dyDescent="0.25">
      <c r="A1261" s="24">
        <f>CADASTROS!$B$1073</f>
        <v>1071</v>
      </c>
      <c r="B1261" s="15" t="str">
        <f>CADASTROS!$C$1073</f>
        <v>Raimundo Rodrigues Oliveira</v>
      </c>
      <c r="C1261" s="25"/>
      <c r="D1261" s="35">
        <f>PLANILHA_COLHEITA_DIÁRIA!$I$1666</f>
        <v>0</v>
      </c>
      <c r="E1261" s="17">
        <v>6</v>
      </c>
      <c r="F1261" s="26" t="str">
        <f>CADASTROS!$E$1073</f>
        <v>Cx. Econômica</v>
      </c>
      <c r="G1261" s="24">
        <f>CADASTROS!$F$1073</f>
        <v>4825</v>
      </c>
      <c r="H1261" s="26" t="str">
        <f>CADASTROS!$G$1073</f>
        <v>poup</v>
      </c>
      <c r="I1261" s="16" t="str">
        <f>CADASTROS!$H$1073</f>
        <v>00010490-4</v>
      </c>
      <c r="J1261" s="18">
        <f t="shared" si="53"/>
        <v>0</v>
      </c>
    </row>
    <row r="1262" spans="1:10" ht="15.75" x14ac:dyDescent="0.25">
      <c r="A1262" s="24">
        <f>CADASTROS!$B$1074</f>
        <v>1072</v>
      </c>
      <c r="B1262" s="15" t="str">
        <f>CADASTROS!$C$1074</f>
        <v>Robevaldo Claudio dos Anjos</v>
      </c>
      <c r="C1262" s="25"/>
      <c r="D1262" s="42">
        <f>PLANILHA_COLHEITA_DIÁRIA!$I$1667</f>
        <v>30</v>
      </c>
      <c r="E1262" s="17">
        <v>6</v>
      </c>
      <c r="F1262" s="26" t="str">
        <f>CADASTROS!$E$1074</f>
        <v>Cx. Econômica</v>
      </c>
      <c r="G1262" s="24">
        <f>CADASTROS!$F$1074</f>
        <v>13</v>
      </c>
      <c r="H1262" s="26">
        <f>CADASTROS!$G$1074</f>
        <v>23</v>
      </c>
      <c r="I1262" s="16" t="str">
        <f>CADASTROS!$H$1074</f>
        <v>00008365-8</v>
      </c>
      <c r="J1262" s="18">
        <f t="shared" si="53"/>
        <v>180</v>
      </c>
    </row>
    <row r="1263" spans="1:10" ht="15.75" x14ac:dyDescent="0.25">
      <c r="A1263" s="24">
        <f>CADASTROS!$B$1075</f>
        <v>1073</v>
      </c>
      <c r="B1263" s="15" t="str">
        <f>CADASTROS!$C$1075</f>
        <v>Adenil Pereira Bispo</v>
      </c>
      <c r="C1263" s="25"/>
      <c r="D1263" s="35">
        <f>PLANILHA_COLHEITA_DIÁRIA!$I$1668</f>
        <v>0</v>
      </c>
      <c r="E1263" s="17">
        <v>6</v>
      </c>
      <c r="F1263" s="26" t="str">
        <f>CADASTROS!$E$1075</f>
        <v>Cx. Econômica</v>
      </c>
      <c r="G1263" s="24">
        <f>CADASTROS!$F$1075</f>
        <v>4818</v>
      </c>
      <c r="H1263" s="26">
        <f>CADASTROS!$G$1075</f>
        <v>0</v>
      </c>
      <c r="I1263" s="16" t="str">
        <f>CADASTROS!$H$1075</f>
        <v>000599817456-5</v>
      </c>
      <c r="J1263" s="18">
        <f t="shared" si="53"/>
        <v>0</v>
      </c>
    </row>
    <row r="1264" spans="1:10" ht="15.75" x14ac:dyDescent="0.25">
      <c r="A1264" s="24">
        <f>CADASTROS!$B$1076</f>
        <v>1074</v>
      </c>
      <c r="B1264" s="15" t="str">
        <f>CADASTROS!$C$1076</f>
        <v>Sandro Damasceno Oliveira</v>
      </c>
      <c r="C1264" s="25"/>
      <c r="D1264" s="35">
        <f>PLANILHA_COLHEITA_DIÁRIA!$I$1669</f>
        <v>0</v>
      </c>
      <c r="E1264" s="17">
        <v>6</v>
      </c>
      <c r="F1264" s="26" t="str">
        <f>CADASTROS!$E$1076</f>
        <v>Cx. Econômica</v>
      </c>
      <c r="G1264" s="24">
        <f>CADASTROS!$F$1076</f>
        <v>4818</v>
      </c>
      <c r="H1264" s="26">
        <f>CADASTROS!$G$1076</f>
        <v>0</v>
      </c>
      <c r="I1264" s="16" t="str">
        <f>CADASTROS!$H$1076</f>
        <v>000855108696-9</v>
      </c>
      <c r="J1264" s="18">
        <f t="shared" si="53"/>
        <v>0</v>
      </c>
    </row>
    <row r="1265" spans="1:17" ht="15.75" x14ac:dyDescent="0.25">
      <c r="A1265" s="24">
        <f>CADASTROS!$B$1077</f>
        <v>1075</v>
      </c>
      <c r="B1265" s="15" t="str">
        <f>CADASTROS!$C$1077</f>
        <v>Roberto Paixão Nagô</v>
      </c>
      <c r="C1265" s="25"/>
      <c r="D1265" s="42">
        <f>PLANILHA_COLHEITA_DIÁRIA!$I$1681</f>
        <v>0</v>
      </c>
      <c r="E1265" s="17">
        <v>6</v>
      </c>
      <c r="F1265" s="26" t="str">
        <f>CADASTROS!$E$1077</f>
        <v>Cx. Econômica</v>
      </c>
      <c r="G1265" s="24">
        <f>CADASTROS!$F$1077</f>
        <v>2734</v>
      </c>
      <c r="H1265" s="26">
        <f>CADASTROS!$G$1077</f>
        <v>13</v>
      </c>
      <c r="I1265" s="16" t="str">
        <f>CADASTROS!$H$1077</f>
        <v>00037835-4</v>
      </c>
      <c r="J1265" s="18">
        <f t="shared" si="53"/>
        <v>0</v>
      </c>
    </row>
    <row r="1266" spans="1:17" ht="15.75" x14ac:dyDescent="0.25">
      <c r="A1266" s="24">
        <f>CADASTROS!$B$1078</f>
        <v>1076</v>
      </c>
      <c r="B1266" s="15" t="str">
        <f>CADASTROS!$C$1078</f>
        <v>Erivan Romão da Silva</v>
      </c>
      <c r="C1266" s="25"/>
      <c r="D1266" s="35">
        <f>PLANILHA_COLHEITA_DIÁRIA!$I$1682</f>
        <v>0</v>
      </c>
      <c r="E1266" s="17">
        <v>6</v>
      </c>
      <c r="F1266" s="26" t="str">
        <f>CADASTROS!$E$1078</f>
        <v>Cx. Econômica</v>
      </c>
      <c r="G1266" s="24">
        <f>CADASTROS!$F$1078</f>
        <v>3587</v>
      </c>
      <c r="H1266" s="26">
        <f>CADASTROS!$G$1078</f>
        <v>13</v>
      </c>
      <c r="I1266" s="16" t="str">
        <f>CADASTROS!$H$1078</f>
        <v>00016609-2</v>
      </c>
      <c r="J1266" s="18">
        <f t="shared" si="53"/>
        <v>0</v>
      </c>
    </row>
    <row r="1267" spans="1:17" ht="15.75" x14ac:dyDescent="0.25">
      <c r="A1267" s="24">
        <f>CADASTROS!$B$1079</f>
        <v>1077</v>
      </c>
      <c r="B1267" s="15" t="str">
        <f>CADASTROS!$C$1079</f>
        <v>Fábio Miranda Fernandes</v>
      </c>
      <c r="C1267" s="25"/>
      <c r="D1267" s="35">
        <f>PLANILHA_COLHEITA_DIÁRIA!$I$1683</f>
        <v>0</v>
      </c>
      <c r="E1267" s="17">
        <v>6</v>
      </c>
      <c r="F1267" s="26" t="str">
        <f>CADASTROS!$E$1079</f>
        <v>Cx. Econômica</v>
      </c>
      <c r="G1267" s="24">
        <f>CADASTROS!$F$1079</f>
        <v>566</v>
      </c>
      <c r="H1267" s="26">
        <f>CADASTROS!$G$1079</f>
        <v>13</v>
      </c>
      <c r="I1267" s="16" t="str">
        <f>CADASTROS!$H$1079</f>
        <v>00143435-7</v>
      </c>
      <c r="J1267" s="18">
        <f t="shared" si="53"/>
        <v>0</v>
      </c>
    </row>
    <row r="1268" spans="1:17" ht="15.75" x14ac:dyDescent="0.25">
      <c r="A1268" s="24">
        <f>CADASTROS!$B$1080</f>
        <v>1078</v>
      </c>
      <c r="B1268" s="15" t="str">
        <f>CADASTROS!$C$1080</f>
        <v>Daiane Almeida Oliveira</v>
      </c>
      <c r="C1268" s="25"/>
      <c r="D1268" s="35">
        <f>PLANILHA_COLHEITA_DIÁRIA!$I$1684</f>
        <v>0</v>
      </c>
      <c r="E1268" s="17">
        <v>6</v>
      </c>
      <c r="F1268" s="26" t="str">
        <f>CADASTROS!$E$1080</f>
        <v>Bradesco</v>
      </c>
      <c r="G1268" s="24">
        <f>CADASTROS!$F$1080</f>
        <v>3801</v>
      </c>
      <c r="H1268" s="26" t="str">
        <f>CADASTROS!$G$1080</f>
        <v>poup</v>
      </c>
      <c r="I1268" s="16" t="str">
        <f>CADASTROS!$H$1080</f>
        <v>1000166-8</v>
      </c>
      <c r="J1268" s="18">
        <f t="shared" si="53"/>
        <v>0</v>
      </c>
    </row>
    <row r="1269" spans="1:17" ht="15.75" x14ac:dyDescent="0.25">
      <c r="A1269" s="24">
        <f>CADASTROS!$B$1081</f>
        <v>1079</v>
      </c>
      <c r="B1269" s="15" t="str">
        <f>CADASTROS!$C$1081</f>
        <v>Salete Ferreira Santos</v>
      </c>
      <c r="C1269" s="25"/>
      <c r="D1269" s="35">
        <f>PLANILHA_COLHEITA_DIÁRIA!$I$1685</f>
        <v>0</v>
      </c>
      <c r="E1269" s="17">
        <v>6</v>
      </c>
      <c r="F1269" s="26" t="str">
        <f>CADASTROS!$E$1081</f>
        <v>Cx. Econômica</v>
      </c>
      <c r="G1269" s="24">
        <f>CADASTROS!$F$1081</f>
        <v>4825</v>
      </c>
      <c r="H1269" s="26">
        <f>CADASTROS!$G$1081</f>
        <v>13</v>
      </c>
      <c r="I1269" s="16" t="str">
        <f>CADASTROS!$H$1081</f>
        <v>00009238-8</v>
      </c>
      <c r="J1269" s="18">
        <f t="shared" si="53"/>
        <v>0</v>
      </c>
    </row>
    <row r="1270" spans="1:17" ht="15.75" x14ac:dyDescent="0.25">
      <c r="B1270" s="220"/>
      <c r="C1270" s="220"/>
      <c r="D1270" s="12">
        <f>SUM(D1225:D1269)</f>
        <v>346.5</v>
      </c>
      <c r="E1270" s="12"/>
      <c r="F1270" s="162"/>
      <c r="G1270" s="163"/>
      <c r="H1270" s="163"/>
      <c r="I1270" s="164"/>
      <c r="J1270" s="14">
        <f>SUM(J1225:J1269)</f>
        <v>2079</v>
      </c>
    </row>
    <row r="1272" spans="1:17" ht="15.75" x14ac:dyDescent="0.25">
      <c r="A1272" s="213" t="s">
        <v>4816</v>
      </c>
      <c r="B1272" s="213"/>
      <c r="C1272" s="213"/>
      <c r="D1272" s="213"/>
      <c r="E1272" s="213"/>
      <c r="F1272" s="213"/>
      <c r="G1272" s="213"/>
      <c r="H1272" s="213"/>
      <c r="I1272" s="213"/>
      <c r="J1272" s="213"/>
    </row>
    <row r="1273" spans="1:17" ht="16.5" thickBot="1" x14ac:dyDescent="0.3">
      <c r="A1273" s="214" t="s">
        <v>4843</v>
      </c>
      <c r="B1273" s="214"/>
      <c r="C1273" s="214"/>
      <c r="D1273" s="214"/>
      <c r="E1273" s="214"/>
      <c r="F1273" s="214"/>
      <c r="G1273" s="214"/>
      <c r="H1273" s="214"/>
      <c r="I1273" s="214"/>
      <c r="J1273" s="214"/>
    </row>
    <row r="1274" spans="1:17" ht="17.25" thickTop="1" thickBot="1" x14ac:dyDescent="0.3">
      <c r="A1274" s="215" t="s">
        <v>4844</v>
      </c>
      <c r="B1274" s="215"/>
      <c r="C1274" s="215"/>
      <c r="D1274" s="215"/>
      <c r="E1274" s="215"/>
      <c r="F1274" s="215"/>
      <c r="G1274" s="215"/>
      <c r="H1274" s="215"/>
      <c r="I1274" s="215"/>
      <c r="J1274" s="215"/>
    </row>
    <row r="1275" spans="1:17" ht="18" customHeight="1" x14ac:dyDescent="0.25">
      <c r="A1275" s="19" t="s">
        <v>4846</v>
      </c>
      <c r="B1275" s="216" t="s">
        <v>1</v>
      </c>
      <c r="C1275" s="221" t="s">
        <v>2</v>
      </c>
      <c r="D1275" s="223" t="s">
        <v>4847</v>
      </c>
      <c r="E1275" s="20" t="s">
        <v>4848</v>
      </c>
      <c r="F1275" s="216" t="s">
        <v>3</v>
      </c>
      <c r="G1275" s="216" t="s">
        <v>4</v>
      </c>
      <c r="H1275" s="216" t="s">
        <v>5</v>
      </c>
      <c r="I1275" s="216" t="s">
        <v>6</v>
      </c>
      <c r="J1275" s="218" t="s">
        <v>4849</v>
      </c>
    </row>
    <row r="1276" spans="1:17" ht="19.5" customHeight="1" thickBot="1" x14ac:dyDescent="0.3">
      <c r="A1276" s="21" t="s">
        <v>4850</v>
      </c>
      <c r="B1276" s="217"/>
      <c r="C1276" s="222"/>
      <c r="D1276" s="224"/>
      <c r="E1276" s="161" t="s">
        <v>4851</v>
      </c>
      <c r="F1276" s="217"/>
      <c r="G1276" s="217"/>
      <c r="H1276" s="217"/>
      <c r="I1276" s="217"/>
      <c r="J1276" s="219"/>
    </row>
    <row r="1277" spans="1:17" ht="16.5" thickBot="1" x14ac:dyDescent="0.3">
      <c r="A1277" s="24">
        <f>CADASTROS!$B$1082</f>
        <v>1080</v>
      </c>
      <c r="B1277" s="15" t="str">
        <f>CADASTROS!$C$1082</f>
        <v>Abelina Félix da Silva</v>
      </c>
      <c r="C1277" s="25"/>
      <c r="D1277" s="53">
        <f>PLANILHA_COLHEITA_DIÁRIA!$I$1686</f>
        <v>0</v>
      </c>
      <c r="E1277" s="17">
        <v>6</v>
      </c>
      <c r="F1277" s="26" t="str">
        <f>CADASTROS!$E$1082</f>
        <v>Bradesco</v>
      </c>
      <c r="G1277" s="24" t="str">
        <f>CADASTROS!$F$1082</f>
        <v>3801-6</v>
      </c>
      <c r="H1277" s="26" t="str">
        <f>CADASTROS!$G$1082</f>
        <v>poup</v>
      </c>
      <c r="I1277" s="16" t="str">
        <f>CADASTROS!$H$1082</f>
        <v>0521049-6</v>
      </c>
      <c r="J1277" s="92">
        <f t="shared" ref="J1277:J1286" si="54">D1277*E1277</f>
        <v>0</v>
      </c>
    </row>
    <row r="1278" spans="1:17" ht="17.25" thickTop="1" thickBot="1" x14ac:dyDescent="0.3">
      <c r="A1278" s="24">
        <f>CADASTROS!$B$1083</f>
        <v>1081</v>
      </c>
      <c r="B1278" s="15" t="str">
        <f>CADASTROS!$C$1083</f>
        <v>Carmesina M. Fernandes</v>
      </c>
      <c r="C1278" s="25"/>
      <c r="D1278" s="35">
        <f>PLANILHA_COLHEITA_DIÁRIA!$I$1687</f>
        <v>0</v>
      </c>
      <c r="E1278" s="17">
        <v>6</v>
      </c>
      <c r="F1278" s="26" t="str">
        <f>CADASTROS!$E$1083</f>
        <v>Cx. Econômica</v>
      </c>
      <c r="G1278" s="24">
        <f>CADASTROS!$F$1083</f>
        <v>4825</v>
      </c>
      <c r="H1278" s="90"/>
      <c r="I1278" s="91"/>
      <c r="J1278" s="91"/>
      <c r="K1278" s="34"/>
      <c r="L1278" s="34"/>
      <c r="M1278" s="34"/>
      <c r="N1278" s="34"/>
      <c r="O1278" s="34"/>
      <c r="P1278" s="34"/>
      <c r="Q1278" s="34"/>
    </row>
    <row r="1279" spans="1:17" ht="15.75" x14ac:dyDescent="0.25">
      <c r="A1279" s="24">
        <f>CADASTROS!$B$1084</f>
        <v>1082</v>
      </c>
      <c r="B1279" s="15" t="str">
        <f>CADASTROS!$C$1084</f>
        <v>Sebastião de S Gomes</v>
      </c>
      <c r="C1279" s="25"/>
      <c r="D1279" s="35">
        <f>PLANILHA_COLHEITA_DIÁRIA!$I$1688</f>
        <v>0</v>
      </c>
      <c r="E1279" s="17">
        <v>6</v>
      </c>
      <c r="F1279" s="26" t="str">
        <f>CADASTROS!$E$1084</f>
        <v>Cx. Econômica</v>
      </c>
      <c r="G1279" s="24">
        <f>CADASTROS!$F$1084</f>
        <v>709</v>
      </c>
      <c r="H1279" s="26">
        <f>CADASTROS!$G$1084</f>
        <v>13</v>
      </c>
      <c r="I1279" s="16" t="str">
        <f>CADASTROS!$H$1084</f>
        <v>00071672-0</v>
      </c>
      <c r="J1279" s="18">
        <f t="shared" si="54"/>
        <v>0</v>
      </c>
    </row>
    <row r="1280" spans="1:17" ht="15.75" x14ac:dyDescent="0.25">
      <c r="A1280" s="24">
        <f>CADASTROS!$B$1085</f>
        <v>1083</v>
      </c>
      <c r="B1280" s="15" t="str">
        <f>CADASTROS!$C$1085</f>
        <v>Elineuza de Souza Pereira</v>
      </c>
      <c r="C1280" s="25"/>
      <c r="D1280" s="35">
        <f>PLANILHA_COLHEITA_DIÁRIA!$I$1689</f>
        <v>0</v>
      </c>
      <c r="E1280" s="17">
        <v>6</v>
      </c>
      <c r="F1280" s="26" t="str">
        <f>CADASTROS!$E$1085</f>
        <v>Cx. Econômica</v>
      </c>
      <c r="G1280" s="24">
        <f>CADASTROS!$F$1085</f>
        <v>4825</v>
      </c>
      <c r="H1280" s="26">
        <f>CADASTROS!$G$1085</f>
        <v>13</v>
      </c>
      <c r="I1280" s="16" t="str">
        <f>CADASTROS!$H$1085</f>
        <v>00011645-7</v>
      </c>
      <c r="J1280" s="18">
        <f t="shared" si="54"/>
        <v>0</v>
      </c>
    </row>
    <row r="1281" spans="1:10" ht="15.75" x14ac:dyDescent="0.25">
      <c r="A1281" s="24">
        <f>CADASTROS!$B$1086</f>
        <v>1084</v>
      </c>
      <c r="B1281" s="15" t="str">
        <f>CADASTROS!$C$1086</f>
        <v>Geverson R. de Jesus</v>
      </c>
      <c r="C1281" s="25"/>
      <c r="D1281" s="42">
        <f>PLANILHA_COLHEITA_DIÁRIA!$I$1690</f>
        <v>0</v>
      </c>
      <c r="E1281" s="17">
        <v>6</v>
      </c>
      <c r="F1281" s="26" t="str">
        <f>CADASTROS!$E$1086</f>
        <v>Cx. Econômica</v>
      </c>
      <c r="G1281" s="24">
        <f>CADASTROS!$F$1086</f>
        <v>4825</v>
      </c>
      <c r="H1281" s="26">
        <f>CADASTROS!$G$1086</f>
        <v>13</v>
      </c>
      <c r="I1281" s="16" t="str">
        <f>CADASTROS!$H$1086</f>
        <v>00021378-9</v>
      </c>
      <c r="J1281" s="18">
        <f t="shared" si="54"/>
        <v>0</v>
      </c>
    </row>
    <row r="1282" spans="1:10" ht="15.75" x14ac:dyDescent="0.25">
      <c r="A1282" s="24">
        <f>CADASTROS!$B$1087</f>
        <v>1085</v>
      </c>
      <c r="B1282" s="15" t="str">
        <f>CADASTROS!$C$1087</f>
        <v>Maria José Alves Souza</v>
      </c>
      <c r="C1282" s="25"/>
      <c r="D1282" s="35">
        <f>PLANILHA_COLHEITA_DIÁRIA!$I$1691</f>
        <v>0</v>
      </c>
      <c r="E1282" s="17">
        <v>6</v>
      </c>
      <c r="F1282" s="26" t="str">
        <f>CADASTROS!$E$1087</f>
        <v>Cx. Econômica</v>
      </c>
      <c r="G1282" s="24">
        <f>CADASTROS!$F$1087</f>
        <v>3653</v>
      </c>
      <c r="H1282" s="26">
        <f>CADASTROS!$G$1087</f>
        <v>13</v>
      </c>
      <c r="I1282" s="16" t="str">
        <f>CADASTROS!$H$1087</f>
        <v>00008629-1</v>
      </c>
      <c r="J1282" s="18">
        <f t="shared" si="54"/>
        <v>0</v>
      </c>
    </row>
    <row r="1283" spans="1:10" ht="15.75" x14ac:dyDescent="0.25">
      <c r="A1283" s="24">
        <f>CADASTROS!$B$1088</f>
        <v>1086</v>
      </c>
      <c r="B1283" s="15" t="str">
        <f>CADASTROS!$C$1088</f>
        <v>Cleidiane Santos dos Reis</v>
      </c>
      <c r="C1283" s="25"/>
      <c r="D1283" s="35">
        <f>PLANILHA_COLHEITA_DIÁRIA!$I$1692</f>
        <v>0</v>
      </c>
      <c r="E1283" s="17">
        <v>6</v>
      </c>
      <c r="F1283" s="26" t="str">
        <f>CADASTROS!$E$1088</f>
        <v>Cx. Econômica</v>
      </c>
      <c r="G1283" s="24">
        <f>CADASTROS!$F$1088</f>
        <v>4825</v>
      </c>
      <c r="H1283" s="26">
        <f>CADASTROS!$G$1088</f>
        <v>13</v>
      </c>
      <c r="I1283" s="16" t="str">
        <f>CADASTROS!$H$1088</f>
        <v>00018667-6</v>
      </c>
      <c r="J1283" s="18">
        <f t="shared" si="54"/>
        <v>0</v>
      </c>
    </row>
    <row r="1284" spans="1:10" ht="15.75" x14ac:dyDescent="0.25">
      <c r="A1284" s="24">
        <f>CADASTROS!$B$1089</f>
        <v>1087</v>
      </c>
      <c r="B1284" s="15" t="str">
        <f>CADASTROS!$C$1089</f>
        <v>Edilma dos Santos Silva</v>
      </c>
      <c r="C1284" s="25"/>
      <c r="D1284" s="35">
        <f>PLANILHA_COLHEITA_DIÁRIA!$I$1693</f>
        <v>0</v>
      </c>
      <c r="E1284" s="17">
        <v>6</v>
      </c>
      <c r="F1284" s="26" t="str">
        <f>CADASTROS!$E$1089</f>
        <v>Cx. Econômica</v>
      </c>
      <c r="G1284" s="24">
        <f>CADASTROS!$F$1089</f>
        <v>4825</v>
      </c>
      <c r="H1284" s="26">
        <f>CADASTROS!$G$1089</f>
        <v>13</v>
      </c>
      <c r="I1284" s="16" t="str">
        <f>CADASTROS!$H$1089</f>
        <v>00015566-5</v>
      </c>
      <c r="J1284" s="18">
        <f t="shared" si="54"/>
        <v>0</v>
      </c>
    </row>
    <row r="1285" spans="1:10" ht="15.75" x14ac:dyDescent="0.25">
      <c r="A1285" s="24">
        <f>CADASTROS!$B$1090</f>
        <v>1088</v>
      </c>
      <c r="B1285" s="15" t="str">
        <f>CADASTROS!$C$1090</f>
        <v>Ludimila Santos de Amorim</v>
      </c>
      <c r="C1285" s="25"/>
      <c r="D1285" s="35">
        <f>PLANILHA_COLHEITA_DIÁRIA!$I$1694</f>
        <v>0</v>
      </c>
      <c r="E1285" s="17">
        <v>6</v>
      </c>
      <c r="F1285" s="26" t="str">
        <f>CADASTROS!$E$1090</f>
        <v>Cx. Econômica</v>
      </c>
      <c r="G1285" s="24">
        <f>CADASTROS!$F$1090</f>
        <v>4825</v>
      </c>
      <c r="H1285" s="26">
        <f>CADASTROS!$G$1090</f>
        <v>13</v>
      </c>
      <c r="I1285" s="16" t="str">
        <f>CADASTROS!$H$1090</f>
        <v>00012987-7</v>
      </c>
      <c r="J1285" s="18">
        <f t="shared" si="54"/>
        <v>0</v>
      </c>
    </row>
    <row r="1286" spans="1:10" ht="15.75" x14ac:dyDescent="0.25">
      <c r="A1286" s="24">
        <f>CADASTROS!$B$1091</f>
        <v>1089</v>
      </c>
      <c r="B1286" s="15" t="str">
        <f>CADASTROS!$C$1091</f>
        <v>Adriana Moureira Matos</v>
      </c>
      <c r="C1286" s="25"/>
      <c r="D1286" s="35">
        <f>PLANILHA_COLHEITA_DIÁRIA!$I$1695</f>
        <v>11</v>
      </c>
      <c r="E1286" s="17">
        <v>6</v>
      </c>
      <c r="F1286" s="26" t="str">
        <f>CADASTROS!$E$1091</f>
        <v>Cx. Econômica</v>
      </c>
      <c r="G1286" s="24">
        <f>CADASTROS!$F$1091</f>
        <v>4825</v>
      </c>
      <c r="H1286" s="26">
        <f>CADASTROS!$G$1091</f>
        <v>13</v>
      </c>
      <c r="I1286" s="16" t="str">
        <f>CADASTROS!$H$1091</f>
        <v>00007835-0</v>
      </c>
      <c r="J1286" s="18">
        <f t="shared" si="54"/>
        <v>66</v>
      </c>
    </row>
    <row r="1287" spans="1:10" ht="15.75" x14ac:dyDescent="0.25">
      <c r="A1287" s="24">
        <f>CADASTROS!$B$1092</f>
        <v>1090</v>
      </c>
      <c r="B1287" s="15" t="str">
        <f>CADASTROS!$C$1092</f>
        <v>Sidnei de Souza</v>
      </c>
      <c r="C1287" s="25"/>
      <c r="D1287" s="35">
        <f>PLANILHA_COLHEITA_DIÁRIA!$I$1696</f>
        <v>26</v>
      </c>
      <c r="E1287" s="17">
        <v>6</v>
      </c>
      <c r="F1287" s="26" t="str">
        <f>CADASTROS!$E$1092</f>
        <v>Cx. Econômica</v>
      </c>
      <c r="G1287" s="24">
        <f>CADASTROS!$F$1092</f>
        <v>4825</v>
      </c>
      <c r="H1287" s="26">
        <f>CADASTROS!$G$1092</f>
        <v>13</v>
      </c>
      <c r="I1287" s="16" t="str">
        <f>CADASTROS!$H$1092</f>
        <v>00015520-7</v>
      </c>
      <c r="J1287" s="18">
        <f>D1287*E1287</f>
        <v>156</v>
      </c>
    </row>
    <row r="1288" spans="1:10" ht="15.75" x14ac:dyDescent="0.25">
      <c r="A1288" s="24">
        <f>CADASTROS!$B$1093</f>
        <v>1091</v>
      </c>
      <c r="B1288" s="15" t="str">
        <f>CADASTROS!$C$1093</f>
        <v>Patricia Rodrigues de Jesus</v>
      </c>
      <c r="C1288" s="25"/>
      <c r="D1288" s="35">
        <f>PLANILHA_COLHEITA_DIÁRIA!$I$1697</f>
        <v>0</v>
      </c>
      <c r="E1288" s="17">
        <v>6</v>
      </c>
      <c r="F1288" s="26" t="str">
        <f>CADASTROS!$E$1093</f>
        <v>Cx. Econômica</v>
      </c>
      <c r="G1288" s="24">
        <f>CADASTROS!$F$1093</f>
        <v>4825</v>
      </c>
      <c r="H1288" s="26">
        <f>CADASTROS!$G$1093</f>
        <v>13</v>
      </c>
      <c r="I1288" s="16" t="str">
        <f>CADASTROS!$H$1093</f>
        <v>00017054-0</v>
      </c>
      <c r="J1288" s="18">
        <f t="shared" ref="J1288" si="55">D1288*E1288</f>
        <v>0</v>
      </c>
    </row>
    <row r="1289" spans="1:10" ht="15.75" x14ac:dyDescent="0.25">
      <c r="A1289" s="24">
        <f>CADASTROS!$B$1094</f>
        <v>1092</v>
      </c>
      <c r="B1289" s="15" t="str">
        <f>CADASTROS!$C$1094</f>
        <v>José Nunes Aragão</v>
      </c>
      <c r="C1289" s="25"/>
      <c r="D1289" s="35">
        <f>PLANILHA_COLHEITA_DIÁRIA!$I$1698</f>
        <v>0</v>
      </c>
      <c r="E1289" s="17">
        <v>6</v>
      </c>
      <c r="F1289" s="26" t="str">
        <f>CADASTROS!$E$1094</f>
        <v>Cx. Econômica</v>
      </c>
      <c r="G1289" s="24">
        <f>CADASTROS!$F$1094</f>
        <v>2734</v>
      </c>
      <c r="H1289" s="26">
        <f>CADASTROS!$G$1094</f>
        <v>23</v>
      </c>
      <c r="I1289" s="16" t="str">
        <f>CADASTROS!$H$1094</f>
        <v>00000473-7</v>
      </c>
      <c r="J1289" s="18">
        <f>D1289*E1289</f>
        <v>0</v>
      </c>
    </row>
    <row r="1290" spans="1:10" ht="15.75" x14ac:dyDescent="0.25">
      <c r="A1290" s="24">
        <f>CADASTROS!$B$1095</f>
        <v>1093</v>
      </c>
      <c r="B1290" s="15" t="str">
        <f>CADASTROS!$C$1095</f>
        <v>Valéria de Souza Silva</v>
      </c>
      <c r="C1290" s="25"/>
      <c r="D1290" s="52">
        <f>PLANILHA_COLHEITA_DIÁRIA!$I$1699</f>
        <v>0</v>
      </c>
      <c r="E1290" s="17">
        <v>6</v>
      </c>
      <c r="F1290" s="26" t="str">
        <f>CADASTROS!$E$1095</f>
        <v>Cx. Econômica</v>
      </c>
      <c r="G1290" s="24">
        <f>CADASTROS!$F$1095</f>
        <v>4825</v>
      </c>
      <c r="H1290" s="26">
        <f>CADASTROS!$G$1095</f>
        <v>13</v>
      </c>
      <c r="I1290" s="16" t="str">
        <f>CADASTROS!$H$1095</f>
        <v>00004042-6</v>
      </c>
      <c r="J1290" s="18">
        <f t="shared" ref="J1290:J1321" si="56">D1290*E1290</f>
        <v>0</v>
      </c>
    </row>
    <row r="1291" spans="1:10" ht="15.75" x14ac:dyDescent="0.25">
      <c r="A1291" s="24">
        <f>CADASTROS!$B$1096</f>
        <v>1094</v>
      </c>
      <c r="B1291" s="15" t="str">
        <f>CADASTROS!$C$1096</f>
        <v>Valdirene Marques Silva</v>
      </c>
      <c r="C1291" s="25"/>
      <c r="D1291" s="35">
        <f>PLANILHA_COLHEITA_DIÁRIA!$I$1700</f>
        <v>0</v>
      </c>
      <c r="E1291" s="17">
        <v>6</v>
      </c>
      <c r="F1291" s="26" t="str">
        <f>CADASTROS!$E$1096</f>
        <v>Cx. Econômica</v>
      </c>
      <c r="G1291" s="24">
        <f>CADASTROS!$F$1096</f>
        <v>4825</v>
      </c>
      <c r="H1291" s="26">
        <f>CADASTROS!$G$1096</f>
        <v>13</v>
      </c>
      <c r="I1291" s="16" t="str">
        <f>CADASTROS!$H$1096</f>
        <v>00015079-5</v>
      </c>
      <c r="J1291" s="18">
        <f t="shared" si="56"/>
        <v>0</v>
      </c>
    </row>
    <row r="1292" spans="1:10" ht="15.75" x14ac:dyDescent="0.25">
      <c r="A1292" s="24">
        <f>CADASTROS!$B$1097</f>
        <v>1095</v>
      </c>
      <c r="B1292" s="15" t="str">
        <f>CADASTROS!$C$1097</f>
        <v>Érika das Neves Moura</v>
      </c>
      <c r="C1292" s="25"/>
      <c r="D1292" s="35">
        <f>PLANILHA_COLHEITA_DIÁRIA!$I$1701</f>
        <v>0</v>
      </c>
      <c r="E1292" s="17">
        <v>6</v>
      </c>
      <c r="F1292" s="26" t="str">
        <f>CADASTROS!$E$1097</f>
        <v>Cx. Econômica</v>
      </c>
      <c r="G1292" s="24">
        <f>CADASTROS!$F$1097</f>
        <v>4818</v>
      </c>
      <c r="H1292" s="26">
        <f>CADASTROS!$G$1097</f>
        <v>13</v>
      </c>
      <c r="I1292" s="16" t="str">
        <f>CADASTROS!$H$1097</f>
        <v>00013027-3</v>
      </c>
      <c r="J1292" s="18">
        <f t="shared" si="56"/>
        <v>0</v>
      </c>
    </row>
    <row r="1293" spans="1:10" ht="15.75" x14ac:dyDescent="0.25">
      <c r="A1293" s="24">
        <f>CADASTROS!$B$1098</f>
        <v>1096</v>
      </c>
      <c r="B1293" s="15" t="str">
        <f>CADASTROS!$C$1098</f>
        <v>Nivaldo Antônio Magno</v>
      </c>
      <c r="C1293" s="25"/>
      <c r="D1293" s="35">
        <f>PLANILHA_COLHEITA_DIÁRIA!$I$1702</f>
        <v>0</v>
      </c>
      <c r="E1293" s="17">
        <v>6</v>
      </c>
      <c r="F1293" s="26" t="str">
        <f>CADASTROS!$E$1098</f>
        <v>Bradesco</v>
      </c>
      <c r="G1293" s="24" t="str">
        <f>CADASTROS!$F$1098</f>
        <v>3616-1</v>
      </c>
      <c r="H1293" s="26" t="str">
        <f>CADASTROS!$G$1098</f>
        <v>c/corr</v>
      </c>
      <c r="I1293" s="16" t="str">
        <f>CADASTROS!$H$1098</f>
        <v>0600602-7</v>
      </c>
      <c r="J1293" s="18">
        <f t="shared" si="56"/>
        <v>0</v>
      </c>
    </row>
    <row r="1294" spans="1:10" ht="15.75" x14ac:dyDescent="0.25">
      <c r="A1294" s="24">
        <f>CADASTROS!$B$1099</f>
        <v>1097</v>
      </c>
      <c r="B1294" s="15" t="str">
        <f>CADASTROS!$C$1099</f>
        <v>Adriana Aguida de Souza</v>
      </c>
      <c r="C1294" s="25"/>
      <c r="D1294" s="35">
        <f>PLANILHA_COLHEITA_DIÁRIA!$I$1703</f>
        <v>0</v>
      </c>
      <c r="E1294" s="17">
        <v>6</v>
      </c>
      <c r="F1294" s="26" t="str">
        <f>CADASTROS!$E$1099</f>
        <v>Cx. Econômica</v>
      </c>
      <c r="G1294" s="24">
        <f>CADASTROS!$F$1099</f>
        <v>4825</v>
      </c>
      <c r="H1294" s="26">
        <f>CADASTROS!$G$1099</f>
        <v>13</v>
      </c>
      <c r="I1294" s="16" t="str">
        <f>CADASTROS!$H$1099</f>
        <v>00013522-2</v>
      </c>
      <c r="J1294" s="18">
        <f t="shared" si="56"/>
        <v>0</v>
      </c>
    </row>
    <row r="1295" spans="1:10" ht="15.75" x14ac:dyDescent="0.25">
      <c r="A1295" s="24">
        <f>CADASTROS!$B$1100</f>
        <v>1098</v>
      </c>
      <c r="B1295" s="15" t="str">
        <f>CADASTROS!$C$1100</f>
        <v>José A. S. da Silva</v>
      </c>
      <c r="C1295" s="25"/>
      <c r="D1295" s="42">
        <f>PLANILHA_COLHEITA_DIÁRIA!$I$1704</f>
        <v>39</v>
      </c>
      <c r="E1295" s="17">
        <v>6</v>
      </c>
      <c r="F1295" s="26" t="str">
        <f>CADASTROS!$E$1100</f>
        <v>Cx. Econômica</v>
      </c>
      <c r="G1295" s="24">
        <f>CADASTROS!$F$1100</f>
        <v>2734</v>
      </c>
      <c r="H1295" s="26">
        <f>CADASTROS!$G$1100</f>
        <v>13</v>
      </c>
      <c r="I1295" s="16" t="str">
        <f>CADASTROS!$H$1100</f>
        <v>00064095-4</v>
      </c>
      <c r="J1295" s="18">
        <f t="shared" si="56"/>
        <v>234</v>
      </c>
    </row>
    <row r="1296" spans="1:10" ht="15.75" x14ac:dyDescent="0.25">
      <c r="A1296" s="24">
        <f>CADASTROS!$B$1101</f>
        <v>1099</v>
      </c>
      <c r="B1296" s="15" t="str">
        <f>CADASTROS!$C$1101</f>
        <v>Célio Santos de Oliveira</v>
      </c>
      <c r="C1296" s="25"/>
      <c r="D1296" s="35">
        <f>PLANILHA_COLHEITA_DIÁRIA!$I$1705</f>
        <v>0</v>
      </c>
      <c r="E1296" s="17">
        <v>6</v>
      </c>
      <c r="F1296" s="26" t="str">
        <f>CADASTROS!$E$1101</f>
        <v>Cx. Econômica</v>
      </c>
      <c r="G1296" s="24">
        <f>CADASTROS!$F$1101</f>
        <v>4825</v>
      </c>
      <c r="H1296" s="26">
        <f>CADASTROS!$G$1101</f>
        <v>13</v>
      </c>
      <c r="I1296" s="16" t="str">
        <f>CADASTROS!$H$1101</f>
        <v>00008617-5</v>
      </c>
      <c r="J1296" s="18">
        <f t="shared" si="56"/>
        <v>0</v>
      </c>
    </row>
    <row r="1297" spans="1:10" ht="15.75" x14ac:dyDescent="0.25">
      <c r="A1297" s="24">
        <f>CADASTROS!$B$1102</f>
        <v>1100</v>
      </c>
      <c r="B1297" s="15" t="str">
        <f>CADASTROS!$C$1102</f>
        <v>Carlos Cândido Profeta</v>
      </c>
      <c r="C1297" s="25"/>
      <c r="D1297" s="35">
        <f>PLANILHA_COLHEITA_DIÁRIA!$I$1706</f>
        <v>0</v>
      </c>
      <c r="E1297" s="17">
        <v>6</v>
      </c>
      <c r="F1297" s="26" t="str">
        <f>CADASTROS!$E$1102</f>
        <v>Cx. Econômica</v>
      </c>
      <c r="G1297" s="24">
        <f>CADASTROS!$F$1102</f>
        <v>4825</v>
      </c>
      <c r="H1297" s="26" t="str">
        <f>CADASTROS!$G$1102</f>
        <v>poup</v>
      </c>
      <c r="I1297" s="16" t="str">
        <f>CADASTROS!$H$1102</f>
        <v>000774224495-1</v>
      </c>
      <c r="J1297" s="18">
        <f t="shared" si="56"/>
        <v>0</v>
      </c>
    </row>
    <row r="1298" spans="1:10" ht="15.75" x14ac:dyDescent="0.25">
      <c r="A1298" s="24">
        <f>CADASTROS!$B$1103</f>
        <v>1101</v>
      </c>
      <c r="B1298" s="15" t="str">
        <f>CADASTROS!$C$1103</f>
        <v>Edinaldo Vitória Santos</v>
      </c>
      <c r="C1298" s="25"/>
      <c r="D1298" s="35">
        <f>PLANILHA_COLHEITA_DIÁRIA!$I$1707</f>
        <v>0</v>
      </c>
      <c r="E1298" s="17">
        <v>6</v>
      </c>
      <c r="F1298" s="26" t="str">
        <f>CADASTROS!$E$1103</f>
        <v>Cx. Econômica</v>
      </c>
      <c r="G1298" s="24">
        <f>CADASTROS!$F$1103</f>
        <v>4825</v>
      </c>
      <c r="H1298" s="26">
        <f>CADASTROS!$G$1103</f>
        <v>0</v>
      </c>
      <c r="I1298" s="16" t="str">
        <f>CADASTROS!$H$1103</f>
        <v>000790237388-6</v>
      </c>
      <c r="J1298" s="18">
        <f t="shared" si="56"/>
        <v>0</v>
      </c>
    </row>
    <row r="1299" spans="1:10" ht="15.75" x14ac:dyDescent="0.25">
      <c r="A1299" s="24">
        <f>CADASTROS!$B$1104</f>
        <v>1102</v>
      </c>
      <c r="B1299" s="15" t="str">
        <f>CADASTROS!$C$1104</f>
        <v>Darte Cleia R. de Souza</v>
      </c>
      <c r="C1299" s="25"/>
      <c r="D1299" s="41">
        <f>PLANILHA_COLHEITA_DIÁRIA!$I$1719</f>
        <v>0</v>
      </c>
      <c r="E1299" s="17">
        <v>6</v>
      </c>
      <c r="F1299" s="26" t="str">
        <f>CADASTROS!$E$1104</f>
        <v>Cx. Econômica</v>
      </c>
      <c r="G1299" s="24">
        <f>CADASTROS!$F$1104</f>
        <v>780</v>
      </c>
      <c r="H1299" s="26">
        <f>CADASTROS!$G$1104</f>
        <v>23</v>
      </c>
      <c r="I1299" s="16" t="str">
        <f>CADASTROS!$H$1104</f>
        <v>00010170-3</v>
      </c>
      <c r="J1299" s="18">
        <f t="shared" si="56"/>
        <v>0</v>
      </c>
    </row>
    <row r="1300" spans="1:10" ht="15.75" x14ac:dyDescent="0.25">
      <c r="A1300" s="24">
        <f>CADASTROS!$B$1105</f>
        <v>1103</v>
      </c>
      <c r="B1300" s="15" t="str">
        <f>CADASTROS!$C$1105</f>
        <v>Franciely Jesus dos Santos</v>
      </c>
      <c r="C1300" s="25"/>
      <c r="D1300" s="35">
        <f>PLANILHA_COLHEITA_DIÁRIA!$I$1720</f>
        <v>0</v>
      </c>
      <c r="E1300" s="17">
        <v>6</v>
      </c>
      <c r="F1300" s="26" t="str">
        <f>CADASTROS!$E$1105</f>
        <v>Cx. Econômica</v>
      </c>
      <c r="G1300" s="24">
        <f>CADASTROS!$F$1105</f>
        <v>2734</v>
      </c>
      <c r="H1300" s="26">
        <f>CADASTROS!$G$1105</f>
        <v>13</v>
      </c>
      <c r="I1300" s="16" t="str">
        <f>CADASTROS!$H$1105</f>
        <v>00048543-6</v>
      </c>
      <c r="J1300" s="18">
        <f t="shared" si="56"/>
        <v>0</v>
      </c>
    </row>
    <row r="1301" spans="1:10" ht="15.75" x14ac:dyDescent="0.25">
      <c r="A1301" s="24">
        <f>CADASTROS!$B$1106</f>
        <v>1104</v>
      </c>
      <c r="B1301" s="15" t="str">
        <f>CADASTROS!$C$1106</f>
        <v>Valdir Lino de Almeida</v>
      </c>
      <c r="C1301" s="25"/>
      <c r="D1301" s="35">
        <f>PLANILHA_COLHEITA_DIÁRIA!$I$1721</f>
        <v>0</v>
      </c>
      <c r="E1301" s="17">
        <v>6</v>
      </c>
      <c r="F1301" s="26" t="str">
        <f>CADASTROS!$E$1106</f>
        <v>Cx. Econômica</v>
      </c>
      <c r="G1301" s="24">
        <f>CADASTROS!$F$1106</f>
        <v>4825</v>
      </c>
      <c r="H1301" s="26">
        <f>CADASTROS!$G$1106</f>
        <v>13</v>
      </c>
      <c r="I1301" s="16" t="str">
        <f>CADASTROS!$H$1106</f>
        <v>00019772-4</v>
      </c>
      <c r="J1301" s="18">
        <f t="shared" si="56"/>
        <v>0</v>
      </c>
    </row>
    <row r="1302" spans="1:10" ht="15.75" x14ac:dyDescent="0.25">
      <c r="A1302" s="24">
        <f>CADASTROS!$B$1107</f>
        <v>1105</v>
      </c>
      <c r="B1302" s="15" t="str">
        <f>CADASTROS!$C$1107</f>
        <v>Dalva Iris de Souza Moraes</v>
      </c>
      <c r="C1302" s="25"/>
      <c r="D1302" s="42">
        <f>PLANILHA_COLHEITA_DIÁRIA!$I$1722</f>
        <v>0</v>
      </c>
      <c r="E1302" s="17">
        <v>6</v>
      </c>
      <c r="F1302" s="26" t="str">
        <f>CADASTROS!$E$1107</f>
        <v>Cx. Econômica</v>
      </c>
      <c r="G1302" s="24">
        <f>CADASTROS!$F$1107</f>
        <v>949</v>
      </c>
      <c r="H1302" s="26">
        <f>CADASTROS!$G$1107</f>
        <v>23</v>
      </c>
      <c r="I1302" s="16" t="str">
        <f>CADASTROS!$H$1107</f>
        <v>00012638-0</v>
      </c>
      <c r="J1302" s="18">
        <f t="shared" si="56"/>
        <v>0</v>
      </c>
    </row>
    <row r="1303" spans="1:10" ht="15.75" x14ac:dyDescent="0.25">
      <c r="A1303" s="24">
        <f>CADASTROS!$B$1108</f>
        <v>1106</v>
      </c>
      <c r="B1303" s="15" t="str">
        <f>CADASTROS!$C$1108</f>
        <v>José Roberto Jesus Santos</v>
      </c>
      <c r="C1303" s="25"/>
      <c r="D1303" s="42">
        <f>PLANILHA_COLHEITA_DIÁRIA!$I$1723</f>
        <v>0</v>
      </c>
      <c r="E1303" s="17">
        <v>6</v>
      </c>
      <c r="F1303" s="26" t="str">
        <f>CADASTROS!$E$1108</f>
        <v>Cx. Econômica</v>
      </c>
      <c r="G1303" s="24">
        <f>CADASTROS!$F$1108</f>
        <v>4825</v>
      </c>
      <c r="H1303" s="26">
        <f>CADASTROS!$G$1108</f>
        <v>13</v>
      </c>
      <c r="I1303" s="16" t="str">
        <f>CADASTROS!$H$1108</f>
        <v>00001377-1</v>
      </c>
      <c r="J1303" s="18">
        <f t="shared" si="56"/>
        <v>0</v>
      </c>
    </row>
    <row r="1304" spans="1:10" ht="15.75" x14ac:dyDescent="0.25">
      <c r="A1304" s="24">
        <f>CADASTROS!$B$1109</f>
        <v>1107</v>
      </c>
      <c r="B1304" s="15" t="str">
        <f>CADASTROS!$C$1109</f>
        <v>Roque Gomes Lima</v>
      </c>
      <c r="C1304" s="25"/>
      <c r="D1304" s="35">
        <f>PLANILHA_COLHEITA_DIÁRIA!$I$1724</f>
        <v>0</v>
      </c>
      <c r="E1304" s="17">
        <v>6</v>
      </c>
      <c r="F1304" s="26" t="str">
        <f>CADASTROS!$E$1109</f>
        <v>Cx. Econômica</v>
      </c>
      <c r="G1304" s="24">
        <f>CADASTROS!$F$1109</f>
        <v>4825</v>
      </c>
      <c r="H1304" s="26">
        <f>CADASTROS!$G$1109</f>
        <v>13</v>
      </c>
      <c r="I1304" s="16" t="str">
        <f>CADASTROS!$H$1109</f>
        <v>00013524-9</v>
      </c>
      <c r="J1304" s="18">
        <f t="shared" si="56"/>
        <v>0</v>
      </c>
    </row>
    <row r="1305" spans="1:10" ht="15.75" x14ac:dyDescent="0.25">
      <c r="A1305" s="24">
        <f>CADASTROS!$B$1110</f>
        <v>1108</v>
      </c>
      <c r="B1305" s="15" t="str">
        <f>CADASTROS!$C$1110</f>
        <v>Edicleide A. Conceição</v>
      </c>
      <c r="C1305" s="25"/>
      <c r="D1305" s="35">
        <f>PLANILHA_COLHEITA_DIÁRIA!$I$1725</f>
        <v>0</v>
      </c>
      <c r="E1305" s="17">
        <v>6</v>
      </c>
      <c r="F1305" s="26" t="str">
        <f>CADASTROS!$E$1110</f>
        <v>Cx. Econômica</v>
      </c>
      <c r="G1305" s="24">
        <f>CADASTROS!$F$1110</f>
        <v>949</v>
      </c>
      <c r="H1305" s="26">
        <f>CADASTROS!$G$1110</f>
        <v>13</v>
      </c>
      <c r="I1305" s="16" t="str">
        <f>CADASTROS!$H$1110</f>
        <v>00062737-4</v>
      </c>
      <c r="J1305" s="18">
        <f t="shared" si="56"/>
        <v>0</v>
      </c>
    </row>
    <row r="1306" spans="1:10" ht="15.75" x14ac:dyDescent="0.25">
      <c r="A1306" s="24">
        <f>CADASTROS!$B$1111</f>
        <v>1109</v>
      </c>
      <c r="B1306" s="15" t="str">
        <f>CADASTROS!$C$1111</f>
        <v>Raimundo Jesus Santos</v>
      </c>
      <c r="C1306" s="25"/>
      <c r="D1306" s="35">
        <f>PLANILHA_COLHEITA_DIÁRIA!$I$1726</f>
        <v>0</v>
      </c>
      <c r="E1306" s="17">
        <v>6</v>
      </c>
      <c r="F1306" s="26" t="str">
        <f>CADASTROS!$E$1111</f>
        <v>Cx. Econômica</v>
      </c>
      <c r="G1306" s="24">
        <f>CADASTROS!$F$1111</f>
        <v>4825</v>
      </c>
      <c r="H1306" s="26">
        <f>CADASTROS!$G$1111</f>
        <v>13</v>
      </c>
      <c r="I1306" s="16" t="str">
        <f>CADASTROS!$H$1111</f>
        <v>00008116-5</v>
      </c>
      <c r="J1306" s="18">
        <f t="shared" si="56"/>
        <v>0</v>
      </c>
    </row>
    <row r="1307" spans="1:10" ht="15.75" x14ac:dyDescent="0.25">
      <c r="A1307" s="24">
        <f>CADASTROS!$B$1112</f>
        <v>1110</v>
      </c>
      <c r="B1307" s="15" t="str">
        <f>CADASTROS!$C$1112</f>
        <v>Jacira J. Brito</v>
      </c>
      <c r="C1307" s="25"/>
      <c r="D1307" s="42">
        <f>PLANILHA_COLHEITA_DIÁRIA!$I$1727</f>
        <v>0</v>
      </c>
      <c r="E1307" s="17">
        <v>6</v>
      </c>
      <c r="F1307" s="26" t="str">
        <f>CADASTROS!$E$1112</f>
        <v>Cx. Econômica</v>
      </c>
      <c r="G1307" s="24">
        <f>CADASTROS!$F$1112</f>
        <v>949</v>
      </c>
      <c r="H1307" s="26">
        <f>CADASTROS!$G$1112</f>
        <v>23</v>
      </c>
      <c r="I1307" s="16" t="str">
        <f>CADASTROS!$H$1112</f>
        <v>00006409-1</v>
      </c>
      <c r="J1307" s="18">
        <f t="shared" si="56"/>
        <v>0</v>
      </c>
    </row>
    <row r="1308" spans="1:10" ht="15.75" x14ac:dyDescent="0.25">
      <c r="A1308" s="24">
        <f>CADASTROS!$B$1113</f>
        <v>1111</v>
      </c>
      <c r="B1308" s="15" t="str">
        <f>CADASTROS!$C$1113</f>
        <v>Deivid de Jesus Santos</v>
      </c>
      <c r="C1308" s="25"/>
      <c r="D1308" s="35">
        <f>PLANILHA_COLHEITA_DIÁRIA!$I$1728</f>
        <v>0</v>
      </c>
      <c r="E1308" s="17">
        <v>6</v>
      </c>
      <c r="F1308" s="26" t="str">
        <f>CADASTROS!$E$1113</f>
        <v>Cx. Econômica</v>
      </c>
      <c r="G1308" s="24">
        <f>CADASTROS!$F$1113</f>
        <v>2281</v>
      </c>
      <c r="H1308" s="26">
        <f>CADASTROS!$G$1113</f>
        <v>13</v>
      </c>
      <c r="I1308" s="16" t="str">
        <f>CADASTROS!$H$1113</f>
        <v>00030668-8</v>
      </c>
      <c r="J1308" s="18">
        <f t="shared" si="56"/>
        <v>0</v>
      </c>
    </row>
    <row r="1309" spans="1:10" ht="15.75" x14ac:dyDescent="0.25">
      <c r="A1309" s="24">
        <f>CADASTROS!$B$1114</f>
        <v>1112</v>
      </c>
      <c r="B1309" s="15" t="str">
        <f>CADASTROS!$C$1114</f>
        <v>Marluce de Jesus Santos</v>
      </c>
      <c r="C1309" s="25"/>
      <c r="D1309" s="35">
        <f>PLANILHA_COLHEITA_DIÁRIA!$I$1729</f>
        <v>0</v>
      </c>
      <c r="E1309" s="17">
        <v>6</v>
      </c>
      <c r="F1309" s="26" t="str">
        <f>CADASTROS!$E$1114</f>
        <v>Cx. Econômica</v>
      </c>
      <c r="G1309" s="24">
        <f>CADASTROS!$F$1114</f>
        <v>780</v>
      </c>
      <c r="H1309" s="26">
        <f>CADASTROS!$G$1114</f>
        <v>23</v>
      </c>
      <c r="I1309" s="16" t="str">
        <f>CADASTROS!$H$1114</f>
        <v>00009170-8</v>
      </c>
      <c r="J1309" s="18">
        <f t="shared" si="56"/>
        <v>0</v>
      </c>
    </row>
    <row r="1310" spans="1:10" ht="15.75" x14ac:dyDescent="0.25">
      <c r="A1310" s="24">
        <f>CADASTROS!$B$1115</f>
        <v>1113</v>
      </c>
      <c r="B1310" s="15" t="str">
        <f>CADASTROS!$C$1115</f>
        <v>Rosenilde de Jesus V. Macedo</v>
      </c>
      <c r="C1310" s="25"/>
      <c r="D1310" s="35">
        <f>PLANILHA_COLHEITA_DIÁRIA!$I$1730</f>
        <v>0</v>
      </c>
      <c r="E1310" s="17">
        <v>6</v>
      </c>
      <c r="F1310" s="26" t="str">
        <f>CADASTROS!$E$1115</f>
        <v>Cx. Econômica</v>
      </c>
      <c r="G1310" s="24">
        <f>CADASTROS!$F$1115</f>
        <v>4825</v>
      </c>
      <c r="H1310" s="26">
        <f>CADASTROS!$G$1115</f>
        <v>13</v>
      </c>
      <c r="I1310" s="16" t="str">
        <f>CADASTROS!$H$1115</f>
        <v>00009165-9</v>
      </c>
      <c r="J1310" s="18">
        <f t="shared" si="56"/>
        <v>0</v>
      </c>
    </row>
    <row r="1311" spans="1:10" ht="15.75" x14ac:dyDescent="0.25">
      <c r="A1311" s="24">
        <f>CADASTROS!$B$1116</f>
        <v>1114</v>
      </c>
      <c r="B1311" s="15" t="str">
        <f>CADASTROS!$C$1116</f>
        <v>Tarcia Tatiana A. da Silva</v>
      </c>
      <c r="C1311" s="25"/>
      <c r="D1311" s="42">
        <f>PLANILHA_COLHEITA_DIÁRIA!$I$1731</f>
        <v>87</v>
      </c>
      <c r="E1311" s="17">
        <v>6</v>
      </c>
      <c r="F1311" s="26" t="str">
        <f>CADASTROS!$E$1116</f>
        <v>Cx. Econômica</v>
      </c>
      <c r="G1311" s="24">
        <f>CADASTROS!$F$1116</f>
        <v>780</v>
      </c>
      <c r="H1311" s="26">
        <f>CADASTROS!$G$1116</f>
        <v>23</v>
      </c>
      <c r="I1311" s="16" t="str">
        <f>CADASTROS!$H$1116</f>
        <v>00011593-3</v>
      </c>
      <c r="J1311" s="18">
        <f t="shared" si="56"/>
        <v>522</v>
      </c>
    </row>
    <row r="1312" spans="1:10" ht="15.75" x14ac:dyDescent="0.25">
      <c r="A1312" s="24">
        <f>CADASTROS!$B$1117</f>
        <v>1115</v>
      </c>
      <c r="B1312" s="15" t="str">
        <f>CADASTROS!$C$1117</f>
        <v>Roberto Carlos Bispo dos Santos</v>
      </c>
      <c r="C1312" s="25"/>
      <c r="D1312" s="35">
        <f>PLANILHA_COLHEITA_DIÁRIA!$I$1732</f>
        <v>0</v>
      </c>
      <c r="E1312" s="17">
        <v>6</v>
      </c>
      <c r="F1312" s="26" t="str">
        <f>CADASTROS!$E$1117</f>
        <v>Cx. Econômica</v>
      </c>
      <c r="G1312" s="24">
        <f>CADASTROS!$F$1117</f>
        <v>3204</v>
      </c>
      <c r="H1312" s="26">
        <f>CADASTROS!$G$1117</f>
        <v>13</v>
      </c>
      <c r="I1312" s="16" t="str">
        <f>CADASTROS!$H$1117</f>
        <v>00021230-9</v>
      </c>
      <c r="J1312" s="18">
        <f t="shared" si="56"/>
        <v>0</v>
      </c>
    </row>
    <row r="1313" spans="1:10" ht="15.75" x14ac:dyDescent="0.25">
      <c r="A1313" s="24">
        <f>CADASTROS!$B$1118</f>
        <v>1116</v>
      </c>
      <c r="B1313" s="15" t="str">
        <f>CADASTROS!$C$1118</f>
        <v>Marilene de Jesus Santos</v>
      </c>
      <c r="C1313" s="25"/>
      <c r="D1313" s="35">
        <f>PLANILHA_COLHEITA_DIÁRIA!$I$1733</f>
        <v>0</v>
      </c>
      <c r="E1313" s="17">
        <v>6</v>
      </c>
      <c r="F1313" s="26" t="str">
        <f>CADASTROS!$E$1118</f>
        <v>Bradesco</v>
      </c>
      <c r="G1313" s="24">
        <f>CADASTROS!$F$1118</f>
        <v>5216</v>
      </c>
      <c r="H1313" s="26" t="str">
        <f>CADASTROS!$G$1118</f>
        <v>poup</v>
      </c>
      <c r="I1313" s="16" t="str">
        <f>CADASTROS!$H$1118</f>
        <v>1000138-2</v>
      </c>
      <c r="J1313" s="18">
        <f t="shared" si="56"/>
        <v>0</v>
      </c>
    </row>
    <row r="1314" spans="1:10" ht="15.75" x14ac:dyDescent="0.25">
      <c r="A1314" s="24">
        <f>CADASTROS!$B$1119</f>
        <v>1117</v>
      </c>
      <c r="B1314" s="15" t="str">
        <f>CADASTROS!$C$1119</f>
        <v>Valdirene de Souza Oliveira</v>
      </c>
      <c r="C1314" s="25"/>
      <c r="D1314" s="42">
        <f>PLANILHA_COLHEITA_DIÁRIA!$I$1734</f>
        <v>0</v>
      </c>
      <c r="E1314" s="17">
        <v>6</v>
      </c>
      <c r="F1314" s="26" t="str">
        <f>CADASTROS!$E$1119</f>
        <v>Cx. Econômica</v>
      </c>
      <c r="G1314" s="24">
        <f>CADASTROS!$F$1119</f>
        <v>4825</v>
      </c>
      <c r="H1314" s="26">
        <f>CADASTROS!$G$1119</f>
        <v>13</v>
      </c>
      <c r="I1314" s="16" t="str">
        <f>CADASTROS!$H$1119</f>
        <v>00016358-7</v>
      </c>
      <c r="J1314" s="18">
        <f t="shared" si="56"/>
        <v>0</v>
      </c>
    </row>
    <row r="1315" spans="1:10" ht="15.75" x14ac:dyDescent="0.25">
      <c r="A1315" s="24">
        <f>CADASTROS!$B$1120</f>
        <v>1118</v>
      </c>
      <c r="B1315" s="15" t="str">
        <f>CADASTROS!$C$1120</f>
        <v>Jurinete Pires dos Santos</v>
      </c>
      <c r="C1315" s="25"/>
      <c r="D1315" s="42">
        <f>PLANILHA_COLHEITA_DIÁRIA!$I$1735</f>
        <v>0</v>
      </c>
      <c r="E1315" s="17">
        <v>6</v>
      </c>
      <c r="F1315" s="26" t="str">
        <f>CADASTROS!$E$1120</f>
        <v>Cx. Econômica</v>
      </c>
      <c r="G1315" s="24">
        <f>CADASTROS!$F$1120</f>
        <v>780</v>
      </c>
      <c r="H1315" s="26">
        <f>CADASTROS!$G$1120</f>
        <v>23</v>
      </c>
      <c r="I1315" s="16" t="str">
        <f>CADASTROS!$H$1120</f>
        <v>00027647-3</v>
      </c>
      <c r="J1315" s="18">
        <f t="shared" si="56"/>
        <v>0</v>
      </c>
    </row>
    <row r="1316" spans="1:10" ht="15.75" x14ac:dyDescent="0.25">
      <c r="A1316" s="24">
        <f>CADASTROS!$B$1121</f>
        <v>1119</v>
      </c>
      <c r="B1316" s="15" t="str">
        <f>CADASTROS!$C$1121</f>
        <v>Mavina Quirina Teixeira</v>
      </c>
      <c r="C1316" s="25"/>
      <c r="D1316" s="35">
        <f>PLANILHA_COLHEITA_DIÁRIA!$I$1736</f>
        <v>0</v>
      </c>
      <c r="E1316" s="17">
        <v>6</v>
      </c>
      <c r="F1316" s="26" t="str">
        <f>CADASTROS!$E$1121</f>
        <v>Cx. Econômica</v>
      </c>
      <c r="G1316" s="24">
        <f>CADASTROS!$F$1121</f>
        <v>4825</v>
      </c>
      <c r="H1316" s="26">
        <f>CADASTROS!$G$1121</f>
        <v>0</v>
      </c>
      <c r="I1316" s="16" t="str">
        <f>CADASTROS!$H$1121</f>
        <v>000868327535-1</v>
      </c>
      <c r="J1316" s="18">
        <f t="shared" si="56"/>
        <v>0</v>
      </c>
    </row>
    <row r="1317" spans="1:10" ht="15.75" x14ac:dyDescent="0.25">
      <c r="A1317" s="24">
        <f>CADASTROS!$B$1122</f>
        <v>1120</v>
      </c>
      <c r="B1317" s="15" t="str">
        <f>CADASTROS!$C$1122</f>
        <v>Ismael Santos Nunes</v>
      </c>
      <c r="C1317" s="25"/>
      <c r="D1317" s="42">
        <f>PLANILHA_COLHEITA_DIÁRIA!$I$1737</f>
        <v>0</v>
      </c>
      <c r="E1317" s="17">
        <v>6</v>
      </c>
      <c r="F1317" s="26" t="str">
        <f>CADASTROS!$E$1122</f>
        <v>Cx. Econômica</v>
      </c>
      <c r="G1317" s="24">
        <f>CADASTROS!$F$1122</f>
        <v>4825</v>
      </c>
      <c r="H1317" s="26">
        <f>CADASTROS!$G$1122</f>
        <v>13</v>
      </c>
      <c r="I1317" s="16" t="str">
        <f>CADASTROS!$H$1122</f>
        <v>00022045-9</v>
      </c>
      <c r="J1317" s="18">
        <f t="shared" si="56"/>
        <v>0</v>
      </c>
    </row>
    <row r="1318" spans="1:10" ht="15.75" x14ac:dyDescent="0.25">
      <c r="A1318" s="24">
        <f>CADASTROS!$B$1123</f>
        <v>1121</v>
      </c>
      <c r="B1318" s="15" t="str">
        <f>CADASTROS!$C$1123</f>
        <v>Jennifer Sousa de Jesus</v>
      </c>
      <c r="C1318" s="25"/>
      <c r="D1318" s="41">
        <f>PLANILHA_COLHEITA_DIÁRIA!$I$1738</f>
        <v>0</v>
      </c>
      <c r="E1318" s="17">
        <v>6</v>
      </c>
      <c r="F1318" s="26" t="str">
        <f>CADASTROS!$E$1123</f>
        <v>Cx. Econômica</v>
      </c>
      <c r="G1318" s="24">
        <f>CADASTROS!$F$1123</f>
        <v>4825</v>
      </c>
      <c r="H1318" s="26">
        <f>CADASTROS!$G$1123</f>
        <v>13</v>
      </c>
      <c r="I1318" s="16" t="str">
        <f>CADASTROS!$H$1123</f>
        <v>00022350-4</v>
      </c>
      <c r="J1318" s="18">
        <f t="shared" si="56"/>
        <v>0</v>
      </c>
    </row>
    <row r="1319" spans="1:10" ht="15.75" x14ac:dyDescent="0.25">
      <c r="A1319" s="24">
        <f>CADASTROS!$B$1124</f>
        <v>1122</v>
      </c>
      <c r="B1319" s="15" t="str">
        <f>CADASTROS!$C$1124</f>
        <v>Liliane Souza dos Santos</v>
      </c>
      <c r="C1319" s="25"/>
      <c r="D1319" s="35">
        <f>PLANILHA_COLHEITA_DIÁRIA!$I$1739</f>
        <v>0</v>
      </c>
      <c r="E1319" s="17">
        <v>6</v>
      </c>
      <c r="F1319" s="26" t="str">
        <f>CADASTROS!$E$1124</f>
        <v>Bradesco</v>
      </c>
      <c r="G1319" s="24">
        <f>CADASTROS!$F$1124</f>
        <v>3801</v>
      </c>
      <c r="H1319" s="26" t="str">
        <f>CADASTROS!$G$1124</f>
        <v>poup</v>
      </c>
      <c r="I1319" s="16" t="str">
        <f>CADASTROS!$H$1124</f>
        <v>0640330-1</v>
      </c>
      <c r="J1319" s="18">
        <f t="shared" si="56"/>
        <v>0</v>
      </c>
    </row>
    <row r="1320" spans="1:10" ht="15.75" x14ac:dyDescent="0.25">
      <c r="A1320" s="24">
        <f>CADASTROS!$B$1125</f>
        <v>1123</v>
      </c>
      <c r="B1320" s="15" t="str">
        <f>CADASTROS!$C$1125</f>
        <v>Atailton de Jesus Moureira</v>
      </c>
      <c r="C1320" s="25"/>
      <c r="D1320" s="35">
        <f>PLANILHA_COLHEITA_DIÁRIA!$I$1740</f>
        <v>0</v>
      </c>
      <c r="E1320" s="17">
        <v>6</v>
      </c>
      <c r="F1320" s="26" t="str">
        <f>CADASTROS!$E$1125</f>
        <v>Cx. Econômica</v>
      </c>
      <c r="G1320" s="24">
        <f>CADASTROS!$F$1125</f>
        <v>3799</v>
      </c>
      <c r="H1320" s="26">
        <f>CADASTROS!$G$1125</f>
        <v>13</v>
      </c>
      <c r="I1320" s="16" t="str">
        <f>CADASTROS!$H$1125</f>
        <v>00023989-7</v>
      </c>
      <c r="J1320" s="18">
        <f t="shared" si="56"/>
        <v>0</v>
      </c>
    </row>
    <row r="1321" spans="1:10" ht="15.75" x14ac:dyDescent="0.25">
      <c r="A1321" s="24">
        <f>CADASTROS!$B$1126</f>
        <v>1124</v>
      </c>
      <c r="B1321" s="15" t="str">
        <f>CADASTROS!$C$1126</f>
        <v>Ademilton J Miranda</v>
      </c>
      <c r="C1321" s="25"/>
      <c r="D1321" s="35">
        <f>PLANILHA_COLHEITA_DIÁRIA!$I$1741</f>
        <v>0</v>
      </c>
      <c r="E1321" s="17">
        <v>6</v>
      </c>
      <c r="F1321" s="26" t="str">
        <f>CADASTROS!$E$1126</f>
        <v>Cx. Econômica</v>
      </c>
      <c r="G1321" s="24">
        <f>CADASTROS!$F$1126</f>
        <v>780</v>
      </c>
      <c r="H1321" s="26">
        <f>CADASTROS!$G$1126</f>
        <v>13</v>
      </c>
      <c r="I1321" s="16" t="str">
        <f>CADASTROS!$H$1126</f>
        <v>00068418-3</v>
      </c>
      <c r="J1321" s="18">
        <f t="shared" si="56"/>
        <v>0</v>
      </c>
    </row>
    <row r="1322" spans="1:10" ht="15.75" x14ac:dyDescent="0.25">
      <c r="B1322" s="220"/>
      <c r="C1322" s="220"/>
      <c r="D1322" s="12">
        <f>SUM(D1277:D1321)</f>
        <v>163</v>
      </c>
      <c r="E1322" s="12"/>
      <c r="F1322" s="162"/>
      <c r="G1322" s="163"/>
      <c r="H1322" s="163"/>
      <c r="I1322" s="164"/>
      <c r="J1322" s="14">
        <f>SUM(J1277:J1321)</f>
        <v>978</v>
      </c>
    </row>
    <row r="1324" spans="1:10" ht="15.75" x14ac:dyDescent="0.25">
      <c r="A1324" s="213" t="s">
        <v>4816</v>
      </c>
      <c r="B1324" s="213"/>
      <c r="C1324" s="213"/>
      <c r="D1324" s="213"/>
      <c r="E1324" s="213"/>
      <c r="F1324" s="213"/>
      <c r="G1324" s="213"/>
      <c r="H1324" s="213"/>
      <c r="I1324" s="213"/>
      <c r="J1324" s="213"/>
    </row>
    <row r="1325" spans="1:10" ht="16.5" thickBot="1" x14ac:dyDescent="0.3">
      <c r="A1325" s="214" t="s">
        <v>4843</v>
      </c>
      <c r="B1325" s="214"/>
      <c r="C1325" s="214"/>
      <c r="D1325" s="214"/>
      <c r="E1325" s="214"/>
      <c r="F1325" s="214"/>
      <c r="G1325" s="214"/>
      <c r="H1325" s="214"/>
      <c r="I1325" s="214"/>
      <c r="J1325" s="214"/>
    </row>
    <row r="1326" spans="1:10" ht="17.25" thickTop="1" thickBot="1" x14ac:dyDescent="0.3">
      <c r="A1326" s="215" t="s">
        <v>4844</v>
      </c>
      <c r="B1326" s="215"/>
      <c r="C1326" s="215"/>
      <c r="D1326" s="215"/>
      <c r="E1326" s="215"/>
      <c r="F1326" s="215"/>
      <c r="G1326" s="215"/>
      <c r="H1326" s="215"/>
      <c r="I1326" s="215"/>
      <c r="J1326" s="215"/>
    </row>
    <row r="1327" spans="1:10" ht="18" customHeight="1" x14ac:dyDescent="0.25">
      <c r="A1327" s="19" t="s">
        <v>4846</v>
      </c>
      <c r="B1327" s="216" t="s">
        <v>1</v>
      </c>
      <c r="C1327" s="221" t="s">
        <v>2</v>
      </c>
      <c r="D1327" s="223" t="s">
        <v>4847</v>
      </c>
      <c r="E1327" s="20" t="s">
        <v>4848</v>
      </c>
      <c r="F1327" s="216" t="s">
        <v>3</v>
      </c>
      <c r="G1327" s="216" t="s">
        <v>4</v>
      </c>
      <c r="H1327" s="216" t="s">
        <v>5</v>
      </c>
      <c r="I1327" s="216" t="s">
        <v>6</v>
      </c>
      <c r="J1327" s="218" t="s">
        <v>4849</v>
      </c>
    </row>
    <row r="1328" spans="1:10" ht="19.5" customHeight="1" thickBot="1" x14ac:dyDescent="0.3">
      <c r="A1328" s="21" t="s">
        <v>4850</v>
      </c>
      <c r="B1328" s="217"/>
      <c r="C1328" s="222"/>
      <c r="D1328" s="224"/>
      <c r="E1328" s="161" t="s">
        <v>4851</v>
      </c>
      <c r="F1328" s="217"/>
      <c r="G1328" s="217"/>
      <c r="H1328" s="217"/>
      <c r="I1328" s="217"/>
      <c r="J1328" s="219"/>
    </row>
    <row r="1329" spans="1:10" ht="15.75" x14ac:dyDescent="0.25">
      <c r="A1329" s="24">
        <f>CADASTROS!$B$1127</f>
        <v>1125</v>
      </c>
      <c r="B1329" s="15" t="str">
        <f>CADASTROS!$C$1127</f>
        <v>Luciana dos Santos</v>
      </c>
      <c r="C1329" s="25"/>
      <c r="D1329" s="87">
        <f>PLANILHA_COLHEITA_DIÁRIA!$I$1742</f>
        <v>0</v>
      </c>
      <c r="E1329" s="17">
        <v>6</v>
      </c>
      <c r="F1329" s="26" t="str">
        <f>CADASTROS!$E$1127</f>
        <v>Cx. Econômica</v>
      </c>
      <c r="G1329" s="24">
        <f>CADASTROS!$F$1127</f>
        <v>949</v>
      </c>
      <c r="H1329" s="26">
        <f>CADASTROS!$G$1127</f>
        <v>23</v>
      </c>
      <c r="I1329" s="16" t="str">
        <f>CADASTROS!$H$1127</f>
        <v>00006974-3</v>
      </c>
      <c r="J1329" s="18">
        <f t="shared" ref="J1329:J1373" si="57">D1329*E1329</f>
        <v>0</v>
      </c>
    </row>
    <row r="1330" spans="1:10" ht="15.75" x14ac:dyDescent="0.25">
      <c r="A1330" s="24">
        <f>CADASTROS!$B$1128</f>
        <v>1126</v>
      </c>
      <c r="B1330" s="15" t="str">
        <f>CADASTROS!$C$1128</f>
        <v>José Valdik Paes S Araújo</v>
      </c>
      <c r="C1330" s="25"/>
      <c r="D1330" s="53">
        <f>PLANILHA_COLHEITA_DIÁRIA!$I$1743</f>
        <v>0</v>
      </c>
      <c r="E1330" s="17">
        <v>6</v>
      </c>
      <c r="F1330" s="26" t="str">
        <f>CADASTROS!$E$1128</f>
        <v>Cx. Econômica</v>
      </c>
      <c r="G1330" s="24">
        <f>CADASTROS!$F$1128</f>
        <v>634</v>
      </c>
      <c r="H1330" s="26">
        <f>CADASTROS!$G$1128</f>
        <v>13</v>
      </c>
      <c r="I1330" s="16" t="str">
        <f>CADASTROS!$H$1128</f>
        <v>00034171-0</v>
      </c>
      <c r="J1330" s="18">
        <f t="shared" si="57"/>
        <v>0</v>
      </c>
    </row>
    <row r="1331" spans="1:10" ht="15.75" x14ac:dyDescent="0.25">
      <c r="A1331" s="24">
        <f>CADASTROS!$B$1129</f>
        <v>1127</v>
      </c>
      <c r="B1331" s="15" t="str">
        <f>CADASTROS!$C$1129</f>
        <v>Erivaldo dos Santos Silva</v>
      </c>
      <c r="C1331" s="25"/>
      <c r="D1331" s="35">
        <f>PLANILHA_COLHEITA_DIÁRIA!$I$1744</f>
        <v>0</v>
      </c>
      <c r="E1331" s="17">
        <v>6</v>
      </c>
      <c r="F1331" s="26" t="str">
        <f>CADASTROS!$E$1129</f>
        <v>Cx. Econômica</v>
      </c>
      <c r="G1331" s="24">
        <f>CADASTROS!$F$1129</f>
        <v>780</v>
      </c>
      <c r="H1331" s="26">
        <f>CADASTROS!$G$1129</f>
        <v>13</v>
      </c>
      <c r="I1331" s="16" t="str">
        <f>CADASTROS!$H$1129</f>
        <v>00067483-8</v>
      </c>
      <c r="J1331" s="18">
        <f t="shared" si="57"/>
        <v>0</v>
      </c>
    </row>
    <row r="1332" spans="1:10" ht="15.75" x14ac:dyDescent="0.25">
      <c r="A1332" s="24">
        <f>CADASTROS!$B$1130</f>
        <v>1128</v>
      </c>
      <c r="B1332" s="15" t="str">
        <f>CADASTROS!$C$1130</f>
        <v>Marineide Mendes Santos</v>
      </c>
      <c r="C1332" s="25"/>
      <c r="D1332" s="41">
        <f>PLANILHA_COLHEITA_DIÁRIA!$I$1745</f>
        <v>52.5</v>
      </c>
      <c r="E1332" s="17">
        <v>6</v>
      </c>
      <c r="F1332" s="26" t="str">
        <f>CADASTROS!$E$1130</f>
        <v>Cx. Econômica</v>
      </c>
      <c r="G1332" s="24">
        <f>CADASTROS!$F$1130</f>
        <v>4825</v>
      </c>
      <c r="H1332" s="26">
        <f>CADASTROS!$G$1130</f>
        <v>13</v>
      </c>
      <c r="I1332" s="16" t="str">
        <f>CADASTROS!$H$1130</f>
        <v>00021197-2</v>
      </c>
      <c r="J1332" s="18">
        <f t="shared" si="57"/>
        <v>315</v>
      </c>
    </row>
    <row r="1333" spans="1:10" ht="15.75" x14ac:dyDescent="0.25">
      <c r="A1333" s="24">
        <f>CADASTROS!$B$1131</f>
        <v>1129</v>
      </c>
      <c r="B1333" s="15" t="str">
        <f>CADASTROS!$C$1131</f>
        <v>Abdon Neto dos Santos Almeida</v>
      </c>
      <c r="C1333" s="25"/>
      <c r="D1333" s="35">
        <f>PLANILHA_COLHEITA_DIÁRIA!$I$1757</f>
        <v>0</v>
      </c>
      <c r="E1333" s="17">
        <v>6</v>
      </c>
      <c r="F1333" s="26" t="str">
        <f>CADASTROS!$E$1131</f>
        <v>Cx. Econômica</v>
      </c>
      <c r="G1333" s="24">
        <f>CADASTROS!$F$1131</f>
        <v>4825</v>
      </c>
      <c r="H1333" s="26">
        <f>CADASTROS!$G$1131</f>
        <v>1288</v>
      </c>
      <c r="I1333" s="16" t="str">
        <f>CADASTROS!$H$1131</f>
        <v>863193718-3</v>
      </c>
      <c r="J1333" s="18">
        <f t="shared" si="57"/>
        <v>0</v>
      </c>
    </row>
    <row r="1334" spans="1:10" ht="15.75" x14ac:dyDescent="0.25">
      <c r="A1334" s="24">
        <f>CADASTROS!$B$1132</f>
        <v>1130</v>
      </c>
      <c r="B1334" s="15" t="str">
        <f>CADASTROS!$C$1132</f>
        <v>Rosilandia Rodrigues de Aquino</v>
      </c>
      <c r="C1334" s="25"/>
      <c r="D1334" s="35">
        <f>PLANILHA_COLHEITA_DIÁRIA!$I$1758</f>
        <v>0</v>
      </c>
      <c r="E1334" s="17">
        <v>6</v>
      </c>
      <c r="F1334" s="26" t="str">
        <f>CADASTROS!$E$1132</f>
        <v>Cx. Econômica</v>
      </c>
      <c r="G1334" s="24">
        <f>CADASTROS!$F$1132</f>
        <v>4825</v>
      </c>
      <c r="H1334" s="26">
        <f>CADASTROS!$G$1132</f>
        <v>0</v>
      </c>
      <c r="I1334" s="16" t="str">
        <f>CADASTROS!$H$1132</f>
        <v>000773053248-5</v>
      </c>
      <c r="J1334" s="18">
        <f t="shared" si="57"/>
        <v>0</v>
      </c>
    </row>
    <row r="1335" spans="1:10" ht="15.75" x14ac:dyDescent="0.25">
      <c r="A1335" s="24">
        <f>CADASTROS!$B$1133</f>
        <v>1131</v>
      </c>
      <c r="B1335" s="15" t="str">
        <f>CADASTROS!$C$1133</f>
        <v>Maria Alves de Souza</v>
      </c>
      <c r="C1335" s="25"/>
      <c r="D1335" s="53">
        <f>PLANILHA_COLHEITA_DIÁRIA!$I$1759</f>
        <v>0</v>
      </c>
      <c r="E1335" s="17">
        <v>6</v>
      </c>
      <c r="F1335" s="26" t="str">
        <f>CADASTROS!$E$1133</f>
        <v>Bradesco</v>
      </c>
      <c r="G1335" s="24">
        <f>CADASTROS!$F$1133</f>
        <v>3801</v>
      </c>
      <c r="H1335" s="26" t="str">
        <f>CADASTROS!$G$1133</f>
        <v>poup</v>
      </c>
      <c r="I1335" s="16" t="str">
        <f>CADASTROS!$H$1133</f>
        <v>0522926-0</v>
      </c>
      <c r="J1335" s="18">
        <f t="shared" si="57"/>
        <v>0</v>
      </c>
    </row>
    <row r="1336" spans="1:10" ht="15.75" x14ac:dyDescent="0.25">
      <c r="A1336" s="24">
        <f>CADASTROS!$B$1134</f>
        <v>1132</v>
      </c>
      <c r="B1336" s="15" t="str">
        <f>CADASTROS!$C$1134</f>
        <v>Elizangela Silva de Souza</v>
      </c>
      <c r="C1336" s="25"/>
      <c r="D1336" s="35">
        <f>PLANILHA_COLHEITA_DIÁRIA!$I$1760</f>
        <v>0</v>
      </c>
      <c r="E1336" s="17">
        <v>6</v>
      </c>
      <c r="F1336" s="26" t="str">
        <f>CADASTROS!$E$1134</f>
        <v>Cx. Econômica</v>
      </c>
      <c r="G1336" s="24">
        <f>CADASTROS!$F$1134</f>
        <v>4601</v>
      </c>
      <c r="H1336" s="26">
        <f>CADASTROS!$G$1134</f>
        <v>0</v>
      </c>
      <c r="I1336" s="16" t="str">
        <f>CADASTROS!$H$1134</f>
        <v>000801372694-9</v>
      </c>
      <c r="J1336" s="18">
        <f t="shared" si="57"/>
        <v>0</v>
      </c>
    </row>
    <row r="1337" spans="1:10" ht="15.75" x14ac:dyDescent="0.25">
      <c r="A1337" s="24">
        <f>CADASTROS!$B$1135</f>
        <v>1133</v>
      </c>
      <c r="B1337" s="15" t="str">
        <f>CADASTROS!$C$1135</f>
        <v>Cláudia Aguida de Souza</v>
      </c>
      <c r="C1337" s="25"/>
      <c r="D1337" s="35">
        <f>PLANILHA_COLHEITA_DIÁRIA!$I$1761</f>
        <v>0</v>
      </c>
      <c r="E1337" s="17">
        <v>6</v>
      </c>
      <c r="F1337" s="26" t="str">
        <f>CADASTROS!$E$1135</f>
        <v>Cx. Econômica</v>
      </c>
      <c r="G1337" s="24">
        <f>CADASTROS!$F$1135</f>
        <v>4825</v>
      </c>
      <c r="H1337" s="26">
        <f>CADASTROS!$G$1135</f>
        <v>0</v>
      </c>
      <c r="I1337" s="16" t="str">
        <f>CADASTROS!$H$1135</f>
        <v>806145148-2</v>
      </c>
      <c r="J1337" s="18">
        <f t="shared" si="57"/>
        <v>0</v>
      </c>
    </row>
    <row r="1338" spans="1:10" ht="15.75" x14ac:dyDescent="0.25">
      <c r="A1338" s="24">
        <f>CADASTROS!$B$1136</f>
        <v>1134</v>
      </c>
      <c r="B1338" s="15" t="str">
        <f>CADASTROS!$C$1136</f>
        <v>Marinaide Alves Boaventura</v>
      </c>
      <c r="C1338" s="25"/>
      <c r="D1338" s="35">
        <f>PLANILHA_COLHEITA_DIÁRIA!$I$1762</f>
        <v>0</v>
      </c>
      <c r="E1338" s="17">
        <v>6</v>
      </c>
      <c r="F1338" s="26" t="str">
        <f>CADASTROS!$E$1136</f>
        <v>Bradesco</v>
      </c>
      <c r="G1338" s="24" t="str">
        <f>CADASTROS!$F$1136</f>
        <v>3801-6</v>
      </c>
      <c r="H1338" s="26" t="str">
        <f>CADASTROS!$G$1136</f>
        <v>poup</v>
      </c>
      <c r="I1338" s="16" t="str">
        <f>CADASTROS!$H$1136</f>
        <v>0006936-1</v>
      </c>
      <c r="J1338" s="18">
        <f t="shared" si="57"/>
        <v>0</v>
      </c>
    </row>
    <row r="1339" spans="1:10" ht="15.75" x14ac:dyDescent="0.25">
      <c r="A1339" s="24">
        <f>CADASTROS!$B$1137</f>
        <v>1135</v>
      </c>
      <c r="B1339" s="15" t="str">
        <f>CADASTROS!$C$1137</f>
        <v>Jenilda Vitória Santos</v>
      </c>
      <c r="C1339" s="25"/>
      <c r="D1339" s="35">
        <f>PLANILHA_COLHEITA_DIÁRIA!$I$1763</f>
        <v>0</v>
      </c>
      <c r="E1339" s="17">
        <v>6</v>
      </c>
      <c r="F1339" s="26" t="str">
        <f>CADASTROS!$E$1137</f>
        <v>Cx. Econômica</v>
      </c>
      <c r="G1339" s="24">
        <f>CADASTROS!$F$1137</f>
        <v>4825</v>
      </c>
      <c r="H1339" s="26">
        <f>CADASTROS!$G$1137</f>
        <v>13</v>
      </c>
      <c r="I1339" s="16" t="str">
        <f>CADASTROS!$H$1137</f>
        <v>860460794-1</v>
      </c>
      <c r="J1339" s="18">
        <f t="shared" si="57"/>
        <v>0</v>
      </c>
    </row>
    <row r="1340" spans="1:10" ht="15.75" x14ac:dyDescent="0.25">
      <c r="A1340" s="24">
        <f>CADASTROS!$B$1138</f>
        <v>1136</v>
      </c>
      <c r="B1340" s="15" t="str">
        <f>CADASTROS!$C$1138</f>
        <v>Mª Betania Silva de Souza</v>
      </c>
      <c r="C1340" s="25"/>
      <c r="D1340" s="35">
        <f>PLANILHA_COLHEITA_DIÁRIA!$I$1764</f>
        <v>0</v>
      </c>
      <c r="E1340" s="17">
        <v>6</v>
      </c>
      <c r="F1340" s="26" t="str">
        <f>CADASTROS!$E$1138</f>
        <v>Cx. Econômica</v>
      </c>
      <c r="G1340" s="24">
        <f>CADASTROS!$F$1138</f>
        <v>3204</v>
      </c>
      <c r="H1340" s="26">
        <f>CADASTROS!$G$1138</f>
        <v>0</v>
      </c>
      <c r="I1340" s="16" t="str">
        <f>CADASTROS!$H$1138</f>
        <v>000802774559-2</v>
      </c>
      <c r="J1340" s="18">
        <f t="shared" si="57"/>
        <v>0</v>
      </c>
    </row>
    <row r="1341" spans="1:10" ht="15.75" x14ac:dyDescent="0.25">
      <c r="A1341" s="24">
        <f>CADASTROS!$B$1139</f>
        <v>1137</v>
      </c>
      <c r="B1341" s="15" t="str">
        <f>CADASTROS!$C$1139</f>
        <v>Laiane Ferreira da Jesus</v>
      </c>
      <c r="C1341" s="25"/>
      <c r="D1341" s="35">
        <f>PLANILHA_COLHEITA_DIÁRIA!$I$1765</f>
        <v>0</v>
      </c>
      <c r="E1341" s="17">
        <v>6</v>
      </c>
      <c r="F1341" s="26" t="str">
        <f>CADASTROS!$E$1139</f>
        <v>Cx. Econômica</v>
      </c>
      <c r="G1341" s="24">
        <f>CADASTROS!$F$1139</f>
        <v>780</v>
      </c>
      <c r="H1341" s="26">
        <f>CADASTROS!$G$1139</f>
        <v>23</v>
      </c>
      <c r="I1341" s="16" t="str">
        <f>CADASTROS!$H$1139</f>
        <v>00037880-2</v>
      </c>
      <c r="J1341" s="18">
        <f t="shared" si="57"/>
        <v>0</v>
      </c>
    </row>
    <row r="1342" spans="1:10" ht="15.75" x14ac:dyDescent="0.25">
      <c r="A1342" s="24">
        <f>CADASTROS!$B$1140</f>
        <v>1138</v>
      </c>
      <c r="B1342" s="15" t="str">
        <f>CADASTROS!$C$1140</f>
        <v>Josimaria Pereira S Sousa</v>
      </c>
      <c r="C1342" s="25"/>
      <c r="D1342" s="41">
        <f>PLANILHA_COLHEITA_DIÁRIA!$I$1766</f>
        <v>0</v>
      </c>
      <c r="E1342" s="17">
        <v>6</v>
      </c>
      <c r="F1342" s="26" t="str">
        <f>CADASTROS!$E$1140</f>
        <v>Cx. Econômica</v>
      </c>
      <c r="G1342" s="24">
        <f>CADASTROS!$F$1140</f>
        <v>4825</v>
      </c>
      <c r="H1342" s="26">
        <f>CADASTROS!$G$1140</f>
        <v>13</v>
      </c>
      <c r="I1342" s="16" t="str">
        <f>CADASTROS!$H$1140</f>
        <v>0005496-6</v>
      </c>
      <c r="J1342" s="18">
        <f t="shared" si="57"/>
        <v>0</v>
      </c>
    </row>
    <row r="1343" spans="1:10" ht="15.75" x14ac:dyDescent="0.25">
      <c r="A1343" s="24">
        <f>CADASTROS!$B$1141</f>
        <v>1139</v>
      </c>
      <c r="B1343" s="15" t="str">
        <f>CADASTROS!$C$1141</f>
        <v>Juracir Aquino Pereira</v>
      </c>
      <c r="C1343" s="25"/>
      <c r="D1343" s="35">
        <f>PLANILHA_COLHEITA_DIÁRIA!$I$1767</f>
        <v>39</v>
      </c>
      <c r="E1343" s="17">
        <v>6</v>
      </c>
      <c r="F1343" s="26" t="str">
        <f>CADASTROS!$E$1141</f>
        <v>Bradesco</v>
      </c>
      <c r="G1343" s="24">
        <f>CADASTROS!$F$1141</f>
        <v>3801</v>
      </c>
      <c r="H1343" s="26" t="str">
        <f>CADASTROS!$G$1141</f>
        <v>poup</v>
      </c>
      <c r="I1343" s="16" t="str">
        <f>CADASTROS!$H$1141</f>
        <v>0001096-0</v>
      </c>
      <c r="J1343" s="18">
        <f t="shared" si="57"/>
        <v>234</v>
      </c>
    </row>
    <row r="1344" spans="1:10" ht="15.75" x14ac:dyDescent="0.25">
      <c r="A1344" s="24">
        <f>CADASTROS!$B$1142</f>
        <v>1140</v>
      </c>
      <c r="B1344" s="15" t="str">
        <f>CADASTROS!$C$1142</f>
        <v>José Orlando V. Rodrigues</v>
      </c>
      <c r="C1344" s="25"/>
      <c r="D1344" s="42">
        <f>PLANILHA_COLHEITA_DIÁRIA!$I$1768</f>
        <v>0</v>
      </c>
      <c r="E1344" s="17">
        <v>6</v>
      </c>
      <c r="F1344" s="26" t="str">
        <f>CADASTROS!$E$1142</f>
        <v>Cx. Econômica</v>
      </c>
      <c r="G1344" s="24">
        <f>CADASTROS!$F$1142</f>
        <v>4825</v>
      </c>
      <c r="H1344" s="26">
        <f>CADASTROS!$G$1142</f>
        <v>13</v>
      </c>
      <c r="I1344" s="16" t="str">
        <f>CADASTROS!$H$1142</f>
        <v>00013250-9</v>
      </c>
      <c r="J1344" s="18">
        <f t="shared" si="57"/>
        <v>0</v>
      </c>
    </row>
    <row r="1345" spans="1:10" ht="15.75" x14ac:dyDescent="0.25">
      <c r="A1345" s="24">
        <f>CADASTROS!$B$1143</f>
        <v>1141</v>
      </c>
      <c r="B1345" s="15" t="str">
        <f>CADASTROS!$C$1143</f>
        <v>Ailton Silva Santos</v>
      </c>
      <c r="C1345" s="25"/>
      <c r="D1345" s="41">
        <f>PLANILHA_COLHEITA_DIÁRIA!$I$1769</f>
        <v>0</v>
      </c>
      <c r="E1345" s="17">
        <v>6</v>
      </c>
      <c r="F1345" s="26" t="str">
        <f>CADASTROS!$E$1143</f>
        <v>Cx. Econômica</v>
      </c>
      <c r="G1345" s="24">
        <f>CADASTROS!$F$1143</f>
        <v>4825</v>
      </c>
      <c r="H1345" s="26">
        <f>CADASTROS!$G$1143</f>
        <v>13</v>
      </c>
      <c r="I1345" s="16" t="str">
        <f>CADASTROS!$H$1143</f>
        <v>00003728-0</v>
      </c>
      <c r="J1345" s="18">
        <f t="shared" si="57"/>
        <v>0</v>
      </c>
    </row>
    <row r="1346" spans="1:10" ht="15.75" x14ac:dyDescent="0.25">
      <c r="A1346" s="24">
        <f>CADASTROS!$B$1144</f>
        <v>1142</v>
      </c>
      <c r="B1346" s="15" t="str">
        <f>CADASTROS!$C$1144</f>
        <v>Jovania Santos da Cruz</v>
      </c>
      <c r="C1346" s="25"/>
      <c r="D1346" s="35">
        <f>PLANILHA_COLHEITA_DIÁRIA!$I$1770</f>
        <v>0</v>
      </c>
      <c r="E1346" s="17">
        <v>6</v>
      </c>
      <c r="F1346" s="26" t="str">
        <f>CADASTROS!$E$1144</f>
        <v>Cx. Econômica</v>
      </c>
      <c r="G1346" s="24">
        <f>CADASTROS!$F$1144</f>
        <v>4825</v>
      </c>
      <c r="H1346" s="26">
        <f>CADASTROS!$G$1144</f>
        <v>13</v>
      </c>
      <c r="I1346" s="16" t="str">
        <f>CADASTROS!$H$1144</f>
        <v>00020307-4</v>
      </c>
      <c r="J1346" s="18">
        <f t="shared" si="57"/>
        <v>0</v>
      </c>
    </row>
    <row r="1347" spans="1:10" ht="15.75" x14ac:dyDescent="0.25">
      <c r="A1347" s="24">
        <f>CADASTROS!$B$1145</f>
        <v>1143</v>
      </c>
      <c r="B1347" s="15" t="str">
        <f>CADASTROS!$C$1145</f>
        <v>Solange de Jesus Souza</v>
      </c>
      <c r="C1347" s="25"/>
      <c r="D1347" s="35">
        <f>PLANILHA_COLHEITA_DIÁRIA!$I$1771</f>
        <v>0</v>
      </c>
      <c r="E1347" s="17">
        <v>6</v>
      </c>
      <c r="F1347" s="26" t="str">
        <f>CADASTROS!$E$1145</f>
        <v>Cx. Econômica</v>
      </c>
      <c r="G1347" s="24">
        <f>CADASTROS!$F$1145</f>
        <v>4825</v>
      </c>
      <c r="H1347" s="26">
        <f>CADASTROS!$G$1145</f>
        <v>13</v>
      </c>
      <c r="I1347" s="16" t="str">
        <f>CADASTROS!$H$1145</f>
        <v>00008542-0</v>
      </c>
      <c r="J1347" s="18">
        <f t="shared" si="57"/>
        <v>0</v>
      </c>
    </row>
    <row r="1348" spans="1:10" ht="15.75" x14ac:dyDescent="0.25">
      <c r="A1348" s="24">
        <f>CADASTROS!$B$1146</f>
        <v>1144</v>
      </c>
      <c r="B1348" s="15" t="str">
        <f>CADASTROS!$C$1146</f>
        <v>Gessy de Jesus Souza</v>
      </c>
      <c r="C1348" s="25"/>
      <c r="D1348" s="35">
        <f>PLANILHA_COLHEITA_DIÁRIA!$I$1772</f>
        <v>0</v>
      </c>
      <c r="E1348" s="17">
        <v>6</v>
      </c>
      <c r="F1348" s="26" t="str">
        <f>CADASTROS!$E$1146</f>
        <v>Cx. Econômica</v>
      </c>
      <c r="G1348" s="24">
        <f>CADASTROS!$F$1146</f>
        <v>780</v>
      </c>
      <c r="H1348" s="26">
        <f>CADASTROS!$G$1146</f>
        <v>23</v>
      </c>
      <c r="I1348" s="16" t="str">
        <f>CADASTROS!$H$1146</f>
        <v>00010749-3</v>
      </c>
      <c r="J1348" s="18">
        <f t="shared" si="57"/>
        <v>0</v>
      </c>
    </row>
    <row r="1349" spans="1:10" ht="15.75" x14ac:dyDescent="0.25">
      <c r="A1349" s="24">
        <f>CADASTROS!$B$1147</f>
        <v>1145</v>
      </c>
      <c r="B1349" s="15" t="str">
        <f>CADASTROS!$C$1147</f>
        <v>Valternei de S. Rodrigues</v>
      </c>
      <c r="C1349" s="25"/>
      <c r="D1349" s="42">
        <f>PLANILHA_COLHEITA_DIÁRIA!$I$1773</f>
        <v>0</v>
      </c>
      <c r="E1349" s="17">
        <v>6</v>
      </c>
      <c r="F1349" s="26" t="str">
        <f>CADASTROS!$E$1147</f>
        <v>Cx. Econômica</v>
      </c>
      <c r="G1349" s="24">
        <f>CADASTROS!$F$1147</f>
        <v>4825</v>
      </c>
      <c r="H1349" s="26">
        <f>CADASTROS!$G$1147</f>
        <v>13</v>
      </c>
      <c r="I1349" s="16" t="str">
        <f>CADASTROS!$H$1147</f>
        <v>00018105-4</v>
      </c>
      <c r="J1349" s="18">
        <f t="shared" si="57"/>
        <v>0</v>
      </c>
    </row>
    <row r="1350" spans="1:10" ht="15.75" x14ac:dyDescent="0.25">
      <c r="A1350" s="24">
        <f>CADASTROS!$B$1148</f>
        <v>1146</v>
      </c>
      <c r="B1350" s="15" t="str">
        <f>CADASTROS!$C$1148</f>
        <v>Genival Nunes da Silva</v>
      </c>
      <c r="C1350" s="25"/>
      <c r="D1350" s="42">
        <f>PLANILHA_COLHEITA_DIÁRIA!$I$1774</f>
        <v>0</v>
      </c>
      <c r="E1350" s="17">
        <v>6</v>
      </c>
      <c r="F1350" s="26" t="str">
        <f>CADASTROS!$E$1148</f>
        <v>Cx. Econômica</v>
      </c>
      <c r="G1350" s="24">
        <f>CADASTROS!$F$1148</f>
        <v>812</v>
      </c>
      <c r="H1350" s="26">
        <f>CADASTROS!$G$1148</f>
        <v>23</v>
      </c>
      <c r="I1350" s="16" t="str">
        <f>CADASTROS!$H$1148</f>
        <v>00009218-9</v>
      </c>
      <c r="J1350" s="18">
        <f t="shared" si="57"/>
        <v>0</v>
      </c>
    </row>
    <row r="1351" spans="1:10" ht="15.75" x14ac:dyDescent="0.25">
      <c r="A1351" s="24">
        <f>CADASTROS!$B$1149</f>
        <v>1147</v>
      </c>
      <c r="B1351" s="15" t="str">
        <f>CADASTROS!$C$1149</f>
        <v>Adriana Souza dos Santos</v>
      </c>
      <c r="C1351" s="25"/>
      <c r="D1351" s="35">
        <f>PLANILHA_COLHEITA_DIÁRIA!$I$1775</f>
        <v>0</v>
      </c>
      <c r="E1351" s="17">
        <v>6</v>
      </c>
      <c r="F1351" s="26" t="str">
        <f>CADASTROS!$E$1149</f>
        <v>Cx. Econômica</v>
      </c>
      <c r="G1351" s="24">
        <f>CADASTROS!$F$1149</f>
        <v>4825</v>
      </c>
      <c r="H1351" s="26">
        <f>CADASTROS!$G$1149</f>
        <v>13</v>
      </c>
      <c r="I1351" s="16" t="str">
        <f>CADASTROS!$H$1149</f>
        <v>00001824-2</v>
      </c>
      <c r="J1351" s="18">
        <f t="shared" si="57"/>
        <v>0</v>
      </c>
    </row>
    <row r="1352" spans="1:10" ht="15.75" x14ac:dyDescent="0.25">
      <c r="A1352" s="24">
        <f>CADASTROS!$B$1150</f>
        <v>1148</v>
      </c>
      <c r="B1352" s="15" t="str">
        <f>CADASTROS!$C$1150</f>
        <v>Lucicleide Jesus Carvalho</v>
      </c>
      <c r="C1352" s="25"/>
      <c r="D1352" s="35">
        <f>PLANILHA_COLHEITA_DIÁRIA!$I$1776</f>
        <v>0</v>
      </c>
      <c r="E1352" s="17">
        <v>6</v>
      </c>
      <c r="F1352" s="26" t="str">
        <f>CADASTROS!$E$1150</f>
        <v>Cx. Econômica</v>
      </c>
      <c r="G1352" s="24">
        <f>CADASTROS!$F$1150</f>
        <v>780</v>
      </c>
      <c r="H1352" s="26">
        <f>CADASTROS!$G$1150</f>
        <v>23</v>
      </c>
      <c r="I1352" s="16" t="str">
        <f>CADASTROS!$H$1150</f>
        <v>00009742-0</v>
      </c>
      <c r="J1352" s="18">
        <f t="shared" si="57"/>
        <v>0</v>
      </c>
    </row>
    <row r="1353" spans="1:10" ht="15.75" x14ac:dyDescent="0.25">
      <c r="A1353" s="24">
        <f>CADASTROS!$B$1151</f>
        <v>1149</v>
      </c>
      <c r="B1353" s="15" t="str">
        <f>CADASTROS!$C$1151</f>
        <v>Dioneide de Jesus</v>
      </c>
      <c r="C1353" s="25"/>
      <c r="D1353" s="35">
        <f>PLANILHA_COLHEITA_DIÁRIA!$I$1777</f>
        <v>0</v>
      </c>
      <c r="E1353" s="17">
        <v>6</v>
      </c>
      <c r="F1353" s="26" t="str">
        <f>CADASTROS!$E$1151</f>
        <v>Cx. Econômica</v>
      </c>
      <c r="G1353" s="24">
        <f>CADASTROS!$F$1151</f>
        <v>4825</v>
      </c>
      <c r="H1353" s="26">
        <f>CADASTROS!$G$1151</f>
        <v>23</v>
      </c>
      <c r="I1353" s="16" t="str">
        <f>CADASTROS!$H$1151</f>
        <v>00000049-9</v>
      </c>
      <c r="J1353" s="18">
        <f t="shared" si="57"/>
        <v>0</v>
      </c>
    </row>
    <row r="1354" spans="1:10" ht="15.75" x14ac:dyDescent="0.25">
      <c r="A1354" s="24">
        <f>CADASTROS!$B$1152</f>
        <v>1150</v>
      </c>
      <c r="B1354" s="15" t="str">
        <f>CADASTROS!$C$1152</f>
        <v>Lucivania Teles Lelis</v>
      </c>
      <c r="C1354" s="25"/>
      <c r="D1354" s="41">
        <f>PLANILHA_COLHEITA_DIÁRIA!$I$1778</f>
        <v>0</v>
      </c>
      <c r="E1354" s="17">
        <v>6</v>
      </c>
      <c r="F1354" s="26" t="str">
        <f>CADASTROS!$E$1152</f>
        <v>Cx. Econômica</v>
      </c>
      <c r="G1354" s="24">
        <f>CADASTROS!$F$1152</f>
        <v>4825</v>
      </c>
      <c r="H1354" s="26">
        <f>CADASTROS!$G$1152</f>
        <v>13</v>
      </c>
      <c r="I1354" s="16" t="str">
        <f>CADASTROS!$H$1152</f>
        <v>00011566-3</v>
      </c>
      <c r="J1354" s="18">
        <f t="shared" si="57"/>
        <v>0</v>
      </c>
    </row>
    <row r="1355" spans="1:10" ht="15.75" x14ac:dyDescent="0.25">
      <c r="A1355" s="24">
        <f>CADASTROS!$B$1153</f>
        <v>1151</v>
      </c>
      <c r="B1355" s="15" t="str">
        <f>CADASTROS!$C$1153</f>
        <v>Isabel Martins de Araújo</v>
      </c>
      <c r="C1355" s="25"/>
      <c r="D1355" s="41">
        <f>PLANILHA_COLHEITA_DIÁRIA!$I$1779</f>
        <v>0</v>
      </c>
      <c r="E1355" s="17">
        <v>6</v>
      </c>
      <c r="F1355" s="26" t="str">
        <f>CADASTROS!$E$1153</f>
        <v>Cx. Econômica</v>
      </c>
      <c r="G1355" s="24">
        <f>CADASTROS!$F$1153</f>
        <v>780</v>
      </c>
      <c r="H1355" s="26">
        <f>CADASTROS!$G$1153</f>
        <v>13</v>
      </c>
      <c r="I1355" s="16" t="str">
        <f>CADASTROS!$H$1153</f>
        <v>00067922-8</v>
      </c>
      <c r="J1355" s="18">
        <f t="shared" si="57"/>
        <v>0</v>
      </c>
    </row>
    <row r="1356" spans="1:10" ht="15.75" x14ac:dyDescent="0.25">
      <c r="A1356" s="24">
        <f>CADASTROS!$B$1154</f>
        <v>1152</v>
      </c>
      <c r="B1356" s="15" t="str">
        <f>CADASTROS!$C$1154</f>
        <v>Heronilda Araújo Oliveira</v>
      </c>
      <c r="C1356" s="25"/>
      <c r="D1356" s="35">
        <f>PLANILHA_COLHEITA_DIÁRIA!$I$1780</f>
        <v>0</v>
      </c>
      <c r="E1356" s="17">
        <v>6</v>
      </c>
      <c r="F1356" s="26" t="str">
        <f>CADASTROS!$E$1154</f>
        <v>Cx. Econômica</v>
      </c>
      <c r="G1356" s="24">
        <f>CADASTROS!$F$1154</f>
        <v>4825</v>
      </c>
      <c r="H1356" s="26">
        <f>CADASTROS!$G$1154</f>
        <v>13</v>
      </c>
      <c r="I1356" s="16" t="str">
        <f>CADASTROS!$H$1154</f>
        <v>00023653-3</v>
      </c>
      <c r="J1356" s="18">
        <f t="shared" si="57"/>
        <v>0</v>
      </c>
    </row>
    <row r="1357" spans="1:10" ht="15.75" x14ac:dyDescent="0.25">
      <c r="A1357" s="24">
        <f>CADASTROS!$B$1155</f>
        <v>1153</v>
      </c>
      <c r="B1357" s="15" t="str">
        <f>CADASTROS!$C$1155</f>
        <v>Edvania Pereira dos Santos</v>
      </c>
      <c r="C1357" s="25"/>
      <c r="D1357" s="35">
        <f>PLANILHA_COLHEITA_DIÁRIA!$I$1781</f>
        <v>0</v>
      </c>
      <c r="E1357" s="17">
        <v>6</v>
      </c>
      <c r="F1357" s="26" t="str">
        <f>CADASTROS!$E$1155</f>
        <v>Cx. Econômica</v>
      </c>
      <c r="G1357" s="24">
        <f>CADASTROS!$F$1155</f>
        <v>4825</v>
      </c>
      <c r="H1357" s="26">
        <f>CADASTROS!$G$1155</f>
        <v>0</v>
      </c>
      <c r="I1357" s="16" t="str">
        <f>CADASTROS!$H$1155</f>
        <v>000858859981-1</v>
      </c>
      <c r="J1357" s="18">
        <f t="shared" si="57"/>
        <v>0</v>
      </c>
    </row>
    <row r="1358" spans="1:10" ht="15.75" x14ac:dyDescent="0.25">
      <c r="A1358" s="24">
        <f>CADASTROS!$B$1156</f>
        <v>1154</v>
      </c>
      <c r="B1358" s="15" t="str">
        <f>CADASTROS!$C$1156</f>
        <v>Gislandia Silva Oliveira</v>
      </c>
      <c r="C1358" s="25"/>
      <c r="D1358" s="35">
        <f>PLANILHA_COLHEITA_DIÁRIA!$I$1782</f>
        <v>0</v>
      </c>
      <c r="E1358" s="17">
        <v>6</v>
      </c>
      <c r="F1358" s="26" t="str">
        <f>CADASTROS!$E$1156</f>
        <v>Bradesco</v>
      </c>
      <c r="G1358" s="24" t="str">
        <f>CADASTROS!$F$1156</f>
        <v>3801-6</v>
      </c>
      <c r="H1358" s="26" t="str">
        <f>CADASTROS!$G$1156</f>
        <v>c/corr</v>
      </c>
      <c r="I1358" s="16" t="str">
        <f>CADASTROS!$H$1156</f>
        <v>0350261-9</v>
      </c>
      <c r="J1358" s="18">
        <f t="shared" si="57"/>
        <v>0</v>
      </c>
    </row>
    <row r="1359" spans="1:10" ht="15.75" x14ac:dyDescent="0.25">
      <c r="A1359" s="24">
        <f>CADASTROS!$B$1157</f>
        <v>1155</v>
      </c>
      <c r="B1359" s="15" t="str">
        <f>CADASTROS!$C$1157</f>
        <v>Laercio Ferreira de Gois</v>
      </c>
      <c r="C1359" s="25"/>
      <c r="D1359" s="41">
        <f>PLANILHA_COLHEITA_DIÁRIA!$I$1783</f>
        <v>0</v>
      </c>
      <c r="E1359" s="17">
        <v>6</v>
      </c>
      <c r="F1359" s="26" t="str">
        <f>CADASTROS!$E$1157</f>
        <v>Cx. Econômica</v>
      </c>
      <c r="G1359" s="24">
        <f>CADASTROS!$F$1157</f>
        <v>4825</v>
      </c>
      <c r="H1359" s="26">
        <f>CADASTROS!$G$1157</f>
        <v>0</v>
      </c>
      <c r="I1359" s="16" t="str">
        <f>CADASTROS!$H$1157</f>
        <v>000835755545-2</v>
      </c>
      <c r="J1359" s="18">
        <f t="shared" si="57"/>
        <v>0</v>
      </c>
    </row>
    <row r="1360" spans="1:10" ht="15.75" x14ac:dyDescent="0.25">
      <c r="A1360" s="24">
        <f>CADASTROS!$B$1158</f>
        <v>1156</v>
      </c>
      <c r="B1360" s="15" t="str">
        <f>CADASTROS!$C$1158</f>
        <v>Josciele Oliveira Martins</v>
      </c>
      <c r="C1360" s="25"/>
      <c r="D1360" s="35">
        <f>PLANILHA_COLHEITA_DIÁRIA!$I$1795</f>
        <v>0</v>
      </c>
      <c r="E1360" s="17">
        <v>6</v>
      </c>
      <c r="F1360" s="26" t="str">
        <f>CADASTROS!$E$1158</f>
        <v>Cx. Econômica</v>
      </c>
      <c r="G1360" s="24">
        <f>CADASTROS!$F$1158</f>
        <v>4818</v>
      </c>
      <c r="H1360" s="26">
        <f>CADASTROS!$G$1158</f>
        <v>13</v>
      </c>
      <c r="I1360" s="16" t="str">
        <f>CADASTROS!$H$1158</f>
        <v>00008061-6</v>
      </c>
      <c r="J1360" s="18">
        <f t="shared" si="57"/>
        <v>0</v>
      </c>
    </row>
    <row r="1361" spans="1:10" ht="15.75" x14ac:dyDescent="0.25">
      <c r="A1361" s="24">
        <f>CADASTROS!$B$1159</f>
        <v>1157</v>
      </c>
      <c r="B1361" s="15" t="str">
        <f>CADASTROS!$C$1159</f>
        <v>Edvalda S. Silva</v>
      </c>
      <c r="C1361" s="25"/>
      <c r="D1361" s="41">
        <f>PLANILHA_COLHEITA_DIÁRIA!$I$1796</f>
        <v>0</v>
      </c>
      <c r="E1361" s="17">
        <v>6</v>
      </c>
      <c r="F1361" s="26" t="str">
        <f>CADASTROS!$E$1159</f>
        <v>Cx. Econômica</v>
      </c>
      <c r="G1361" s="24">
        <f>CADASTROS!$F$1159</f>
        <v>4825</v>
      </c>
      <c r="H1361" s="26">
        <f>CADASTROS!$G$1159</f>
        <v>13</v>
      </c>
      <c r="I1361" s="16" t="str">
        <f>CADASTROS!$H$1159</f>
        <v>00021413-0</v>
      </c>
      <c r="J1361" s="18">
        <f t="shared" si="57"/>
        <v>0</v>
      </c>
    </row>
    <row r="1362" spans="1:10" ht="15.75" x14ac:dyDescent="0.25">
      <c r="A1362" s="24">
        <f>CADASTROS!$B$1160</f>
        <v>1158</v>
      </c>
      <c r="B1362" s="15" t="str">
        <f>CADASTROS!$C$1160</f>
        <v>Ozias P. de Jesus/Ana Paula da Silva</v>
      </c>
      <c r="C1362" s="25"/>
      <c r="D1362" s="35">
        <f>PLANILHA_COLHEITA_DIÁRIA!$I$1797</f>
        <v>22</v>
      </c>
      <c r="E1362" s="17">
        <v>6</v>
      </c>
      <c r="F1362" s="26" t="str">
        <f>CADASTROS!$E$1160</f>
        <v>Cx. Econômica</v>
      </c>
      <c r="G1362" s="24">
        <f>CADASTROS!$F$1160</f>
        <v>4825</v>
      </c>
      <c r="H1362" s="26">
        <f>CADASTROS!$G$1160</f>
        <v>13</v>
      </c>
      <c r="I1362" s="16" t="str">
        <f>CADASTROS!$H$1160</f>
        <v>00023513-8</v>
      </c>
      <c r="J1362" s="18">
        <f t="shared" si="57"/>
        <v>132</v>
      </c>
    </row>
    <row r="1363" spans="1:10" ht="15.75" x14ac:dyDescent="0.25">
      <c r="A1363" s="24">
        <f>CADASTROS!$B$1161</f>
        <v>1159</v>
      </c>
      <c r="B1363" s="15" t="str">
        <f>CADASTROS!$C$1161</f>
        <v>Claudinei de Souza Bispo</v>
      </c>
      <c r="C1363" s="25"/>
      <c r="D1363" s="35">
        <f>PLANILHA_COLHEITA_DIÁRIA!$I$1798</f>
        <v>0</v>
      </c>
      <c r="E1363" s="17">
        <v>6</v>
      </c>
      <c r="F1363" s="26" t="str">
        <f>CADASTROS!$E$1161</f>
        <v>Cx. Econômica</v>
      </c>
      <c r="G1363" s="24">
        <f>CADASTROS!$F$1161</f>
        <v>4825</v>
      </c>
      <c r="H1363" s="26">
        <f>CADASTROS!$G$1161</f>
        <v>0</v>
      </c>
      <c r="I1363" s="16" t="str">
        <f>CADASTROS!$H$1161</f>
        <v>801327859-8</v>
      </c>
      <c r="J1363" s="18">
        <f t="shared" si="57"/>
        <v>0</v>
      </c>
    </row>
    <row r="1364" spans="1:10" ht="15.75" x14ac:dyDescent="0.25">
      <c r="A1364" s="24">
        <f>CADASTROS!$B$1162</f>
        <v>1160</v>
      </c>
      <c r="B1364" s="15" t="str">
        <f>CADASTROS!$C$1162</f>
        <v>Bianca Morais dos Santos</v>
      </c>
      <c r="C1364" s="25"/>
      <c r="D1364" s="35">
        <f>PLANILHA_COLHEITA_DIÁRIA!$I$1799</f>
        <v>0</v>
      </c>
      <c r="E1364" s="17">
        <v>6</v>
      </c>
      <c r="F1364" s="26" t="str">
        <f>CADASTROS!$E$1162</f>
        <v>Bradesco</v>
      </c>
      <c r="G1364" s="24" t="str">
        <f>CADASTROS!$F$1162</f>
        <v>3801-6</v>
      </c>
      <c r="H1364" s="26" t="str">
        <f>CADASTROS!$G$1162</f>
        <v>poup</v>
      </c>
      <c r="I1364" s="16" t="str">
        <f>CADASTROS!$H$1162</f>
        <v>0005292-2</v>
      </c>
      <c r="J1364" s="18">
        <f t="shared" si="57"/>
        <v>0</v>
      </c>
    </row>
    <row r="1365" spans="1:10" ht="15.75" x14ac:dyDescent="0.25">
      <c r="A1365" s="24">
        <f>CADASTROS!$B$1163</f>
        <v>1161</v>
      </c>
      <c r="B1365" s="15" t="str">
        <f>CADASTROS!$C$1163</f>
        <v>Vilma Maria de Souza</v>
      </c>
      <c r="C1365" s="25"/>
      <c r="D1365" s="35">
        <f>PLANILHA_COLHEITA_DIÁRIA!$I$1800</f>
        <v>0</v>
      </c>
      <c r="E1365" s="17">
        <v>6</v>
      </c>
      <c r="F1365" s="26" t="str">
        <f>CADASTROS!$E$1163</f>
        <v>Bradesco</v>
      </c>
      <c r="G1365" s="24" t="str">
        <f>CADASTROS!$F$1163</f>
        <v>3801-6</v>
      </c>
      <c r="H1365" s="26" t="str">
        <f>CADASTROS!$G$1163</f>
        <v>c/corr</v>
      </c>
      <c r="I1365" s="16" t="str">
        <f>CADASTROS!$H$1163</f>
        <v>0522662-7</v>
      </c>
      <c r="J1365" s="18">
        <f t="shared" si="57"/>
        <v>0</v>
      </c>
    </row>
    <row r="1366" spans="1:10" ht="15.75" x14ac:dyDescent="0.25">
      <c r="A1366" s="24">
        <f>CADASTROS!$B$1164</f>
        <v>1162</v>
      </c>
      <c r="B1366" s="15" t="str">
        <f>CADASTROS!$C$1164</f>
        <v>Geane Pereira Almeida</v>
      </c>
      <c r="C1366" s="25"/>
      <c r="D1366" s="42">
        <f>PLANILHA_COLHEITA_DIÁRIA!$I$1801</f>
        <v>0</v>
      </c>
      <c r="E1366" s="17">
        <v>6</v>
      </c>
      <c r="F1366" s="26" t="str">
        <f>CADASTROS!$E$1164</f>
        <v>Bradesco</v>
      </c>
      <c r="G1366" s="24" t="str">
        <f>CADASTROS!$F$1164</f>
        <v>3801-6</v>
      </c>
      <c r="H1366" s="26" t="str">
        <f>CADASTROS!$G$1164</f>
        <v>c/corr</v>
      </c>
      <c r="I1366" s="16" t="str">
        <f>CADASTROS!$H$1164</f>
        <v>0350229-5</v>
      </c>
      <c r="J1366" s="18">
        <f t="shared" si="57"/>
        <v>0</v>
      </c>
    </row>
    <row r="1367" spans="1:10" ht="15.75" x14ac:dyDescent="0.25">
      <c r="A1367" s="24">
        <f>CADASTROS!$B$1165</f>
        <v>1163</v>
      </c>
      <c r="B1367" s="15" t="str">
        <f>CADASTROS!$C$1165</f>
        <v>Jaci Alquino de Souza</v>
      </c>
      <c r="C1367" s="25"/>
      <c r="D1367" s="35">
        <f>PLANILHA_COLHEITA_DIÁRIA!$I$1802</f>
        <v>0</v>
      </c>
      <c r="E1367" s="17">
        <v>6</v>
      </c>
      <c r="F1367" s="26" t="str">
        <f>CADASTROS!$E$1165</f>
        <v>Bradesco</v>
      </c>
      <c r="G1367" s="24" t="str">
        <f>CADASTROS!$F$1165</f>
        <v>3801-6</v>
      </c>
      <c r="H1367" s="26" t="str">
        <f>CADASTROS!$G$1165</f>
        <v>c/corr</v>
      </c>
      <c r="I1367" s="16" t="str">
        <f>CADASTROS!$H$1165</f>
        <v>0003063-5</v>
      </c>
      <c r="J1367" s="18">
        <f t="shared" si="57"/>
        <v>0</v>
      </c>
    </row>
    <row r="1368" spans="1:10" ht="15.75" x14ac:dyDescent="0.25">
      <c r="A1368" s="24">
        <f>CADASTROS!$B$1166</f>
        <v>1164</v>
      </c>
      <c r="B1368" s="15" t="str">
        <f>CADASTROS!$C$1166</f>
        <v>Diogo Oliveira de Souza</v>
      </c>
      <c r="C1368" s="25"/>
      <c r="D1368" s="35">
        <f>PLANILHA_COLHEITA_DIÁRIA!$I$1803</f>
        <v>0</v>
      </c>
      <c r="E1368" s="17">
        <v>6</v>
      </c>
      <c r="F1368" s="26" t="str">
        <f>CADASTROS!$E$1166</f>
        <v>Cx. Econômica</v>
      </c>
      <c r="G1368" s="24">
        <f>CADASTROS!$F$1166</f>
        <v>2928</v>
      </c>
      <c r="H1368" s="26">
        <f>CADASTROS!$G$1166</f>
        <v>13</v>
      </c>
      <c r="I1368" s="16" t="str">
        <f>CADASTROS!$H$1166</f>
        <v>00023772-0</v>
      </c>
      <c r="J1368" s="18">
        <f t="shared" si="57"/>
        <v>0</v>
      </c>
    </row>
    <row r="1369" spans="1:10" ht="15.75" x14ac:dyDescent="0.25">
      <c r="A1369" s="24">
        <f>CADASTROS!$B$1167</f>
        <v>1165</v>
      </c>
      <c r="B1369" s="15" t="str">
        <f>CADASTROS!$C$1167</f>
        <v>José A da Silva</v>
      </c>
      <c r="C1369" s="25"/>
      <c r="D1369" s="35">
        <f>PLANILHA_COLHEITA_DIÁRIA!$I$1804</f>
        <v>0</v>
      </c>
      <c r="E1369" s="17">
        <v>6</v>
      </c>
      <c r="F1369" s="26" t="str">
        <f>CADASTROS!$E$1167</f>
        <v>Cx. Econômica</v>
      </c>
      <c r="G1369" s="24">
        <f>CADASTROS!$F$1167</f>
        <v>2734</v>
      </c>
      <c r="H1369" s="26">
        <f>CADASTROS!$G$1167</f>
        <v>13</v>
      </c>
      <c r="I1369" s="16" t="str">
        <f>CADASTROS!$H$1167</f>
        <v>00064095-4</v>
      </c>
      <c r="J1369" s="18">
        <f t="shared" si="57"/>
        <v>0</v>
      </c>
    </row>
    <row r="1370" spans="1:10" ht="15.75" x14ac:dyDescent="0.25">
      <c r="A1370" s="24">
        <f>CADASTROS!$B$1168</f>
        <v>1166</v>
      </c>
      <c r="B1370" s="15" t="str">
        <f>CADASTROS!$C$1168</f>
        <v>Neurailde Rodrigues de Souza</v>
      </c>
      <c r="C1370" s="25"/>
      <c r="D1370" s="35">
        <f>PLANILHA_COLHEITA_DIÁRIA!$I$1805</f>
        <v>0</v>
      </c>
      <c r="E1370" s="17">
        <v>6</v>
      </c>
      <c r="F1370" s="26" t="str">
        <f>CADASTROS!$E$1168</f>
        <v>Cx. Econômica</v>
      </c>
      <c r="G1370" s="24">
        <f>CADASTROS!$F$1168</f>
        <v>4825</v>
      </c>
      <c r="H1370" s="26">
        <f>CADASTROS!$G$1168</f>
        <v>13</v>
      </c>
      <c r="I1370" s="16" t="str">
        <f>CADASTROS!$H$1168</f>
        <v>00014105-2</v>
      </c>
      <c r="J1370" s="18">
        <f t="shared" si="57"/>
        <v>0</v>
      </c>
    </row>
    <row r="1371" spans="1:10" ht="15.75" x14ac:dyDescent="0.25">
      <c r="A1371" s="24">
        <f>CADASTROS!$B$1169</f>
        <v>1167</v>
      </c>
      <c r="B1371" s="15" t="str">
        <f>CADASTROS!$C$1169</f>
        <v>Roque Gomes Lima</v>
      </c>
      <c r="C1371" s="25"/>
      <c r="D1371" s="35">
        <f>PLANILHA_COLHEITA_DIÁRIA!$I$1806</f>
        <v>0</v>
      </c>
      <c r="E1371" s="17">
        <v>6</v>
      </c>
      <c r="F1371" s="26" t="str">
        <f>CADASTROS!$E$1169</f>
        <v>Cx. Econômica</v>
      </c>
      <c r="G1371" s="24">
        <f>CADASTROS!$F$1169</f>
        <v>4825</v>
      </c>
      <c r="H1371" s="26">
        <f>CADASTROS!$G$1169</f>
        <v>13</v>
      </c>
      <c r="I1371" s="16" t="str">
        <f>CADASTROS!$H$1169</f>
        <v>00013524-9</v>
      </c>
      <c r="J1371" s="18">
        <f t="shared" si="57"/>
        <v>0</v>
      </c>
    </row>
    <row r="1372" spans="1:10" ht="15.75" x14ac:dyDescent="0.25">
      <c r="A1372" s="24">
        <f>CADASTROS!$B$1170</f>
        <v>1168</v>
      </c>
      <c r="B1372" s="15" t="str">
        <f>CADASTROS!$C$1170</f>
        <v>Claudia Aguida de Souza</v>
      </c>
      <c r="C1372" s="25"/>
      <c r="D1372" s="35">
        <f>PLANILHA_COLHEITA_DIÁRIA!$I$1807</f>
        <v>0</v>
      </c>
      <c r="E1372" s="17">
        <v>6</v>
      </c>
      <c r="F1372" s="26" t="str">
        <f>CADASTROS!$E$1170</f>
        <v>Cx. Econômica</v>
      </c>
      <c r="G1372" s="24">
        <f>CADASTROS!$F$1170</f>
        <v>4825</v>
      </c>
      <c r="H1372" s="26">
        <f>CADASTROS!$G$1170</f>
        <v>13</v>
      </c>
      <c r="I1372" s="16" t="str">
        <f>CADASTROS!$H$1170</f>
        <v>00006713-8</v>
      </c>
      <c r="J1372" s="18">
        <f t="shared" si="57"/>
        <v>0</v>
      </c>
    </row>
    <row r="1373" spans="1:10" ht="15.75" x14ac:dyDescent="0.25">
      <c r="A1373" s="24">
        <f>CADASTROS!$B$1171</f>
        <v>1169</v>
      </c>
      <c r="B1373" s="15" t="str">
        <f>CADASTROS!$C$1171</f>
        <v>Mª de Lourdes de Sousa Gomes</v>
      </c>
      <c r="C1373" s="25"/>
      <c r="D1373" s="35">
        <f>PLANILHA_COLHEITA_DIÁRIA!$I$1808</f>
        <v>0</v>
      </c>
      <c r="E1373" s="17">
        <v>6</v>
      </c>
      <c r="F1373" s="26" t="str">
        <f>CADASTROS!$E$1171</f>
        <v>Cx. Econômica</v>
      </c>
      <c r="G1373" s="24">
        <f>CADASTROS!$F$1171</f>
        <v>4818</v>
      </c>
      <c r="H1373" s="26">
        <f>CADASTROS!$G$1171</f>
        <v>13</v>
      </c>
      <c r="I1373" s="16" t="str">
        <f>CADASTROS!$H$1171</f>
        <v>00014086-4</v>
      </c>
      <c r="J1373" s="18">
        <f t="shared" si="57"/>
        <v>0</v>
      </c>
    </row>
    <row r="1374" spans="1:10" ht="15.75" x14ac:dyDescent="0.25">
      <c r="B1374" s="220"/>
      <c r="C1374" s="220"/>
      <c r="D1374" s="12">
        <f>SUM(D1329:D1373)</f>
        <v>113.5</v>
      </c>
      <c r="E1374" s="12"/>
      <c r="F1374" s="162"/>
      <c r="G1374" s="163"/>
      <c r="H1374" s="163"/>
      <c r="I1374" s="164"/>
      <c r="J1374" s="14">
        <f>SUM(J1329:J1373)</f>
        <v>681</v>
      </c>
    </row>
    <row r="1376" spans="1:10" ht="15.75" x14ac:dyDescent="0.25">
      <c r="A1376" s="213" t="s">
        <v>4816</v>
      </c>
      <c r="B1376" s="213"/>
      <c r="C1376" s="213"/>
      <c r="D1376" s="213"/>
      <c r="E1376" s="213"/>
      <c r="F1376" s="213"/>
      <c r="G1376" s="213"/>
      <c r="H1376" s="213"/>
      <c r="I1376" s="213"/>
      <c r="J1376" s="213"/>
    </row>
    <row r="1377" spans="1:10" ht="16.5" thickBot="1" x14ac:dyDescent="0.3">
      <c r="A1377" s="214" t="s">
        <v>4843</v>
      </c>
      <c r="B1377" s="214"/>
      <c r="C1377" s="214"/>
      <c r="D1377" s="214"/>
      <c r="E1377" s="214"/>
      <c r="F1377" s="214"/>
      <c r="G1377" s="214"/>
      <c r="H1377" s="214"/>
      <c r="I1377" s="214"/>
      <c r="J1377" s="214"/>
    </row>
    <row r="1378" spans="1:10" ht="17.25" thickTop="1" thickBot="1" x14ac:dyDescent="0.3">
      <c r="A1378" s="215" t="s">
        <v>4844</v>
      </c>
      <c r="B1378" s="215"/>
      <c r="C1378" s="215"/>
      <c r="D1378" s="215"/>
      <c r="E1378" s="215"/>
      <c r="F1378" s="215"/>
      <c r="G1378" s="215"/>
      <c r="H1378" s="215"/>
      <c r="I1378" s="215"/>
      <c r="J1378" s="215"/>
    </row>
    <row r="1379" spans="1:10" ht="18" customHeight="1" x14ac:dyDescent="0.25">
      <c r="A1379" s="19" t="s">
        <v>4846</v>
      </c>
      <c r="B1379" s="216" t="s">
        <v>1</v>
      </c>
      <c r="C1379" s="221" t="s">
        <v>2</v>
      </c>
      <c r="D1379" s="223" t="s">
        <v>4847</v>
      </c>
      <c r="E1379" s="20" t="s">
        <v>4848</v>
      </c>
      <c r="F1379" s="216" t="s">
        <v>3</v>
      </c>
      <c r="G1379" s="216" t="s">
        <v>4</v>
      </c>
      <c r="H1379" s="216" t="s">
        <v>5</v>
      </c>
      <c r="I1379" s="216" t="s">
        <v>6</v>
      </c>
      <c r="J1379" s="218" t="s">
        <v>4849</v>
      </c>
    </row>
    <row r="1380" spans="1:10" ht="19.5" customHeight="1" thickBot="1" x14ac:dyDescent="0.3">
      <c r="A1380" s="21" t="s">
        <v>4850</v>
      </c>
      <c r="B1380" s="217"/>
      <c r="C1380" s="222"/>
      <c r="D1380" s="224"/>
      <c r="E1380" s="161" t="s">
        <v>4851</v>
      </c>
      <c r="F1380" s="217"/>
      <c r="G1380" s="217"/>
      <c r="H1380" s="217"/>
      <c r="I1380" s="217"/>
      <c r="J1380" s="219"/>
    </row>
    <row r="1381" spans="1:10" ht="15.75" x14ac:dyDescent="0.25">
      <c r="A1381" s="24">
        <f>CADASTROS!$B$1172</f>
        <v>1170</v>
      </c>
      <c r="B1381" s="15" t="str">
        <f>CADASTROS!$C$1172</f>
        <v>Fernando Santos da Silva</v>
      </c>
      <c r="C1381" s="25"/>
      <c r="D1381" s="35">
        <f>PLANILHA_COLHEITA_DIÁRIA!$I$1809</f>
        <v>47</v>
      </c>
      <c r="E1381" s="17">
        <v>6</v>
      </c>
      <c r="F1381" s="26" t="str">
        <f>CADASTROS!$E$1172</f>
        <v>Cx. Econômica</v>
      </c>
      <c r="G1381" s="24">
        <f>CADASTROS!$F$1172</f>
        <v>4825</v>
      </c>
      <c r="H1381" s="26">
        <f>CADASTROS!$G$1172</f>
        <v>13</v>
      </c>
      <c r="I1381" s="16" t="str">
        <f>CADASTROS!$H$1172</f>
        <v>00008188-2</v>
      </c>
      <c r="J1381" s="18">
        <f t="shared" ref="J1381:J1390" si="58">D1381*E1381</f>
        <v>282</v>
      </c>
    </row>
    <row r="1382" spans="1:10" ht="15.75" x14ac:dyDescent="0.25">
      <c r="A1382" s="24">
        <f>CADASTROS!$B$1173</f>
        <v>1171</v>
      </c>
      <c r="B1382" s="15" t="str">
        <f>CADASTROS!$C$1173</f>
        <v>Arenildo Rosa Pires</v>
      </c>
      <c r="C1382" s="25"/>
      <c r="D1382" s="35">
        <f>PLANILHA_COLHEITA_DIÁRIA!$I$1810</f>
        <v>0</v>
      </c>
      <c r="E1382" s="17">
        <v>6</v>
      </c>
      <c r="F1382" s="26" t="str">
        <f>CADASTROS!$E$1173</f>
        <v>Cx. Econômica</v>
      </c>
      <c r="G1382" s="24">
        <f>CADASTROS!$F$1173</f>
        <v>4818</v>
      </c>
      <c r="H1382" s="26">
        <f>CADASTROS!$G$1173</f>
        <v>13</v>
      </c>
      <c r="I1382" s="16" t="str">
        <f>CADASTROS!$H$1173</f>
        <v>00011149-0</v>
      </c>
      <c r="J1382" s="18">
        <f t="shared" si="58"/>
        <v>0</v>
      </c>
    </row>
    <row r="1383" spans="1:10" ht="15.75" x14ac:dyDescent="0.25">
      <c r="A1383" s="24">
        <f>CADASTROS!$B$1174</f>
        <v>1172</v>
      </c>
      <c r="B1383" s="15" t="str">
        <f>CADASTROS!$C$1174</f>
        <v>Mª Tania da Silva Oliveira</v>
      </c>
      <c r="C1383" s="25"/>
      <c r="D1383" s="35">
        <f>PLANILHA_COLHEITA_DIÁRIA!$I$1811</f>
        <v>0</v>
      </c>
      <c r="E1383" s="17">
        <v>6</v>
      </c>
      <c r="F1383" s="26" t="str">
        <f>CADASTROS!$E$1174</f>
        <v>Banco do Brasil</v>
      </c>
      <c r="G1383" s="24" t="str">
        <f>CADASTROS!$F$1174</f>
        <v>2150-4</v>
      </c>
      <c r="H1383" s="26" t="str">
        <f>CADASTROS!$G$1174</f>
        <v>poup</v>
      </c>
      <c r="I1383" s="16" t="str">
        <f>CADASTROS!$H$1174</f>
        <v>13.616-6</v>
      </c>
      <c r="J1383" s="18">
        <f t="shared" si="58"/>
        <v>0</v>
      </c>
    </row>
    <row r="1384" spans="1:10" ht="15.75" x14ac:dyDescent="0.25">
      <c r="A1384" s="24">
        <f>CADASTROS!$B$1175</f>
        <v>1173</v>
      </c>
      <c r="B1384" s="15" t="str">
        <f>CADASTROS!$C$1175</f>
        <v>Ana Paula Silva Cezar</v>
      </c>
      <c r="C1384" s="25"/>
      <c r="D1384" s="35">
        <f>PLANILHA_COLHEITA_DIÁRIA!$I$1812</f>
        <v>0</v>
      </c>
      <c r="E1384" s="17">
        <v>6</v>
      </c>
      <c r="F1384" s="26" t="str">
        <f>CADASTROS!$E$1175</f>
        <v>Cx. Econômica</v>
      </c>
      <c r="G1384" s="24">
        <f>CADASTROS!$F$1175</f>
        <v>4818</v>
      </c>
      <c r="H1384" s="26">
        <f>CADASTROS!$G$1175</f>
        <v>13</v>
      </c>
      <c r="I1384" s="16" t="str">
        <f>CADASTROS!$H$1175</f>
        <v>00013958-0</v>
      </c>
      <c r="J1384" s="18">
        <f t="shared" si="58"/>
        <v>0</v>
      </c>
    </row>
    <row r="1385" spans="1:10" ht="15.75" x14ac:dyDescent="0.25">
      <c r="A1385" s="24">
        <f>CADASTROS!$B$1176</f>
        <v>1174</v>
      </c>
      <c r="B1385" s="15" t="str">
        <f>CADASTROS!$C$1176</f>
        <v>Anderson Nascimento Silva</v>
      </c>
      <c r="C1385" s="25"/>
      <c r="D1385" s="35">
        <f>PLANILHA_COLHEITA_DIÁRIA!$I$1813</f>
        <v>0</v>
      </c>
      <c r="E1385" s="17">
        <v>6</v>
      </c>
      <c r="F1385" s="26" t="str">
        <f>CADASTROS!$E$1176</f>
        <v>Cx. Econômica</v>
      </c>
      <c r="G1385" s="24">
        <f>CADASTROS!$F$1176</f>
        <v>4818</v>
      </c>
      <c r="H1385" s="26">
        <f>CADASTROS!$G$1176</f>
        <v>13</v>
      </c>
      <c r="I1385" s="16" t="str">
        <f>CADASTROS!$H$1176</f>
        <v>00013689-1</v>
      </c>
      <c r="J1385" s="18">
        <f t="shared" si="58"/>
        <v>0</v>
      </c>
    </row>
    <row r="1386" spans="1:10" ht="15.75" x14ac:dyDescent="0.25">
      <c r="A1386" s="24">
        <f>CADASTROS!$B$1177</f>
        <v>1175</v>
      </c>
      <c r="B1386" s="15" t="str">
        <f>CADASTROS!$C$1177</f>
        <v>Cristina Santos de Sousa</v>
      </c>
      <c r="C1386" s="25"/>
      <c r="D1386" s="35">
        <f>PLANILHA_COLHEITA_DIÁRIA!$I$1814</f>
        <v>0</v>
      </c>
      <c r="E1386" s="17">
        <v>6</v>
      </c>
      <c r="F1386" s="26" t="str">
        <f>CADASTROS!$E$1177</f>
        <v>Cx. Econômica</v>
      </c>
      <c r="G1386" s="24">
        <f>CADASTROS!$F$1177</f>
        <v>4818</v>
      </c>
      <c r="H1386" s="26">
        <f>CADASTROS!$G$1177</f>
        <v>13</v>
      </c>
      <c r="I1386" s="16" t="str">
        <f>CADASTROS!$H$1177</f>
        <v>00013769-3</v>
      </c>
      <c r="J1386" s="18">
        <f t="shared" si="58"/>
        <v>0</v>
      </c>
    </row>
    <row r="1387" spans="1:10" ht="15.75" x14ac:dyDescent="0.25">
      <c r="A1387" s="24">
        <f>CADASTROS!$B$1178</f>
        <v>1176</v>
      </c>
      <c r="B1387" s="15" t="str">
        <f>CADASTROS!$C$1178</f>
        <v>Maricleide Teles dos Santos</v>
      </c>
      <c r="C1387" s="25"/>
      <c r="D1387" s="35">
        <f>PLANILHA_COLHEITA_DIÁRIA!$I$1815</f>
        <v>0</v>
      </c>
      <c r="E1387" s="17">
        <v>6</v>
      </c>
      <c r="F1387" s="26" t="str">
        <f>CADASTROS!$E$1178</f>
        <v>Banco do Brasil</v>
      </c>
      <c r="G1387" s="24" t="str">
        <f>CADASTROS!$F$1178</f>
        <v>1099-5</v>
      </c>
      <c r="H1387" s="26" t="str">
        <f>CADASTROS!$G$1178</f>
        <v>poup</v>
      </c>
      <c r="I1387" s="16" t="str">
        <f>CADASTROS!$H$1178</f>
        <v>30333-X</v>
      </c>
      <c r="J1387" s="18">
        <f t="shared" si="58"/>
        <v>0</v>
      </c>
    </row>
    <row r="1388" spans="1:10" ht="15.75" x14ac:dyDescent="0.25">
      <c r="A1388" s="24">
        <f>CADASTROS!$B$1179</f>
        <v>1177</v>
      </c>
      <c r="B1388" s="15" t="str">
        <f>CADASTROS!$C$1179</f>
        <v>Julio Cesar Goes de Oliveira</v>
      </c>
      <c r="C1388" s="25"/>
      <c r="D1388" s="35">
        <f>PLANILHA_COLHEITA_DIÁRIA!$I$1816</f>
        <v>0</v>
      </c>
      <c r="E1388" s="17">
        <v>6</v>
      </c>
      <c r="F1388" s="26" t="str">
        <f>CADASTROS!$E$1179</f>
        <v>Cx. Econômica</v>
      </c>
      <c r="G1388" s="24">
        <f>CADASTROS!$F$1179</f>
        <v>4818</v>
      </c>
      <c r="H1388" s="26">
        <f>CADASTROS!$G$1179</f>
        <v>0</v>
      </c>
      <c r="I1388" s="16" t="str">
        <f>CADASTROS!$H$1179</f>
        <v>000858061836-1</v>
      </c>
      <c r="J1388" s="18">
        <f t="shared" si="58"/>
        <v>0</v>
      </c>
    </row>
    <row r="1389" spans="1:10" ht="15.75" x14ac:dyDescent="0.25">
      <c r="A1389" s="24">
        <f>CADASTROS!$B$1180</f>
        <v>1178</v>
      </c>
      <c r="B1389" s="15" t="str">
        <f>CADASTROS!$C$1180</f>
        <v>Elizabeth Melo Cerqueira</v>
      </c>
      <c r="C1389" s="25"/>
      <c r="D1389" s="41">
        <f>PLANILHA_COLHEITA_DIÁRIA!$I$1817</f>
        <v>0</v>
      </c>
      <c r="E1389" s="17">
        <v>6</v>
      </c>
      <c r="F1389" s="26" t="str">
        <f>CADASTROS!$E$1180</f>
        <v>Banco do Brasil</v>
      </c>
      <c r="G1389" s="24" t="str">
        <f>CADASTROS!$F$1180</f>
        <v>2760-X</v>
      </c>
      <c r="H1389" s="26" t="str">
        <f>CADASTROS!$G$1180</f>
        <v>poup</v>
      </c>
      <c r="I1389" s="16" t="str">
        <f>CADASTROS!$H$1180</f>
        <v>11.910-5</v>
      </c>
      <c r="J1389" s="18">
        <f t="shared" si="58"/>
        <v>0</v>
      </c>
    </row>
    <row r="1390" spans="1:10" ht="15.75" x14ac:dyDescent="0.25">
      <c r="A1390" s="24">
        <f>CADASTROS!$B$1181</f>
        <v>1179</v>
      </c>
      <c r="B1390" s="15" t="str">
        <f>CADASTROS!$C$1181</f>
        <v>Jairo de Jesus Sousa</v>
      </c>
      <c r="C1390" s="25"/>
      <c r="D1390" s="35">
        <f>PLANILHA_COLHEITA_DIÁRIA!$I$1818</f>
        <v>0</v>
      </c>
      <c r="E1390" s="17">
        <v>6</v>
      </c>
      <c r="F1390" s="26" t="str">
        <f>CADASTROS!$E$1181</f>
        <v>Cx. Econômica</v>
      </c>
      <c r="G1390" s="24">
        <f>CADASTROS!$F$1181</f>
        <v>4818</v>
      </c>
      <c r="H1390" s="26">
        <f>CADASTROS!$G$1181</f>
        <v>13</v>
      </c>
      <c r="I1390" s="16" t="str">
        <f>CADASTROS!$H$1181</f>
        <v>00011023-0</v>
      </c>
      <c r="J1390" s="18">
        <f t="shared" si="58"/>
        <v>0</v>
      </c>
    </row>
    <row r="1391" spans="1:10" ht="15.75" x14ac:dyDescent="0.25">
      <c r="A1391" s="24">
        <f>CADASTROS!$B$1182</f>
        <v>1180</v>
      </c>
      <c r="B1391" s="15" t="str">
        <f>CADASTROS!$C$1182</f>
        <v>Cineide Brito de Lima</v>
      </c>
      <c r="C1391" s="25"/>
      <c r="D1391" s="35">
        <f>PLANILHA_COLHEITA_DIÁRIA!$I$1819</f>
        <v>0</v>
      </c>
      <c r="E1391" s="17">
        <v>6</v>
      </c>
      <c r="F1391" s="26" t="str">
        <f>CADASTROS!$E$1182</f>
        <v>Cx. Econômica</v>
      </c>
      <c r="G1391" s="24">
        <f>CADASTROS!$F$1182</f>
        <v>949</v>
      </c>
      <c r="H1391" s="26">
        <f>CADASTROS!$G$1182</f>
        <v>23</v>
      </c>
      <c r="I1391" s="16" t="str">
        <f>CADASTROS!$H$1182</f>
        <v>00021735-1</v>
      </c>
      <c r="J1391" s="18">
        <f>D1391*E1391</f>
        <v>0</v>
      </c>
    </row>
    <row r="1392" spans="1:10" ht="15.75" x14ac:dyDescent="0.25">
      <c r="A1392" s="24">
        <f>CADASTROS!$B$1183</f>
        <v>1181</v>
      </c>
      <c r="B1392" s="15" t="str">
        <f>CADASTROS!$C$1183</f>
        <v>Malaquias Pereira Junior</v>
      </c>
      <c r="C1392" s="25"/>
      <c r="D1392" s="35">
        <f>PLANILHA_COLHEITA_DIÁRIA!$I$1820</f>
        <v>0</v>
      </c>
      <c r="E1392" s="17">
        <v>6</v>
      </c>
      <c r="F1392" s="26" t="str">
        <f>CADASTROS!$E$1183</f>
        <v>Banco do Brasil</v>
      </c>
      <c r="G1392" s="24" t="str">
        <f>CADASTROS!$F$1183</f>
        <v>2760-X</v>
      </c>
      <c r="H1392" s="26" t="str">
        <f>CADASTROS!$G$1183</f>
        <v>poup</v>
      </c>
      <c r="I1392" s="16" t="str">
        <f>CADASTROS!$H$1183</f>
        <v>6.069-8</v>
      </c>
      <c r="J1392" s="18">
        <f t="shared" ref="J1392" si="59">D1392*E1392</f>
        <v>0</v>
      </c>
    </row>
    <row r="1393" spans="1:10" ht="15.75" x14ac:dyDescent="0.25">
      <c r="A1393" s="24">
        <f>CADASTROS!$B$1184</f>
        <v>1182</v>
      </c>
      <c r="B1393" s="15" t="str">
        <f>CADASTROS!$C$1184</f>
        <v>Lucivania da Silva Moura</v>
      </c>
      <c r="C1393" s="25"/>
      <c r="D1393" s="42">
        <f>PLANILHA_COLHEITA_DIÁRIA!$I$1821</f>
        <v>60</v>
      </c>
      <c r="E1393" s="17">
        <v>6</v>
      </c>
      <c r="F1393" s="26" t="str">
        <f>CADASTROS!$E$1184</f>
        <v>Cx. Econômica</v>
      </c>
      <c r="G1393" s="24">
        <f>CADASTROS!$F$1184</f>
        <v>4818</v>
      </c>
      <c r="H1393" s="26">
        <f>CADASTROS!$G$1184</f>
        <v>0</v>
      </c>
      <c r="I1393" s="16" t="str">
        <f>CADASTROS!$H$1184</f>
        <v>000854054369-7</v>
      </c>
      <c r="J1393" s="18">
        <f>D1393*E1393</f>
        <v>360</v>
      </c>
    </row>
    <row r="1394" spans="1:10" ht="15.75" x14ac:dyDescent="0.25">
      <c r="A1394" s="24">
        <f>CADASTROS!$B$1185</f>
        <v>1183</v>
      </c>
      <c r="B1394" s="15" t="str">
        <f>CADASTROS!$C$1185</f>
        <v>Gilson Mendes de Oliveira</v>
      </c>
      <c r="C1394" s="25"/>
      <c r="D1394" s="35">
        <f>PLANILHA_COLHEITA_DIÁRIA!$I$1834</f>
        <v>0</v>
      </c>
      <c r="E1394" s="17">
        <v>6</v>
      </c>
      <c r="F1394" s="26" t="str">
        <f>CADASTROS!$E$1185</f>
        <v>Banco do Brasil</v>
      </c>
      <c r="G1394" s="24" t="str">
        <f>CADASTROS!$F$1185</f>
        <v>2760-X</v>
      </c>
      <c r="H1394" s="26" t="str">
        <f>CADASTROS!$G$1185</f>
        <v>poup</v>
      </c>
      <c r="I1394" s="16" t="str">
        <f>CADASTROS!$H$1185</f>
        <v>20.284-3</v>
      </c>
      <c r="J1394" s="18">
        <f t="shared" ref="J1394:J1425" si="60">D1394*E1394</f>
        <v>0</v>
      </c>
    </row>
    <row r="1395" spans="1:10" ht="15.75" x14ac:dyDescent="0.25">
      <c r="A1395" s="24">
        <f>CADASTROS!$B$1186</f>
        <v>1184</v>
      </c>
      <c r="B1395" s="15" t="str">
        <f>CADASTROS!$C$1186</f>
        <v>Cosme Santana de Oliveira</v>
      </c>
      <c r="C1395" s="25"/>
      <c r="D1395" s="35">
        <f>PLANILHA_COLHEITA_DIÁRIA!$I$1835</f>
        <v>0</v>
      </c>
      <c r="E1395" s="17">
        <v>6</v>
      </c>
      <c r="F1395" s="26" t="str">
        <f>CADASTROS!$E$1186</f>
        <v>Banco do Brasil</v>
      </c>
      <c r="G1395" s="24" t="str">
        <f>CADASTROS!$F$1186</f>
        <v>2760-X</v>
      </c>
      <c r="H1395" s="26" t="str">
        <f>CADASTROS!$G$1186</f>
        <v>c/corr</v>
      </c>
      <c r="I1395" s="16" t="str">
        <f>CADASTROS!$H$1186</f>
        <v>6.389-4</v>
      </c>
      <c r="J1395" s="18">
        <f t="shared" si="60"/>
        <v>0</v>
      </c>
    </row>
    <row r="1396" spans="1:10" ht="15.75" x14ac:dyDescent="0.25">
      <c r="A1396" s="24">
        <f>CADASTROS!$B$1187</f>
        <v>1185</v>
      </c>
      <c r="B1396" s="15" t="str">
        <f>CADASTROS!$C$1187</f>
        <v>Leandro Rodrigues Souza</v>
      </c>
      <c r="C1396" s="25"/>
      <c r="D1396" s="35">
        <f>PLANILHA_COLHEITA_DIÁRIA!$I$1836</f>
        <v>59.5</v>
      </c>
      <c r="E1396" s="17">
        <v>6</v>
      </c>
      <c r="F1396" s="26" t="str">
        <f>CADASTROS!$E$1187</f>
        <v>Bradesco</v>
      </c>
      <c r="G1396" s="24" t="str">
        <f>CADASTROS!$F$1187</f>
        <v>3616-1</v>
      </c>
      <c r="H1396" s="26" t="str">
        <f>CADASTROS!$G$1187</f>
        <v>c/corr</v>
      </c>
      <c r="I1396" s="16" t="str">
        <f>CADASTROS!$H$1187</f>
        <v>0523476-0</v>
      </c>
      <c r="J1396" s="18">
        <f t="shared" si="60"/>
        <v>357</v>
      </c>
    </row>
    <row r="1397" spans="1:10" ht="15.75" x14ac:dyDescent="0.25">
      <c r="A1397" s="24">
        <f>CADASTROS!$B$1188</f>
        <v>1186</v>
      </c>
      <c r="B1397" s="15" t="str">
        <f>CADASTROS!$C$1188</f>
        <v>Joscilene Silva Oliveira</v>
      </c>
      <c r="C1397" s="25"/>
      <c r="D1397" s="35">
        <f>PLANILHA_COLHEITA_DIÁRIA!$I$1837</f>
        <v>0</v>
      </c>
      <c r="E1397" s="17">
        <v>6</v>
      </c>
      <c r="F1397" s="26" t="str">
        <f>CADASTROS!$E$1188</f>
        <v>Bradesco</v>
      </c>
      <c r="G1397" s="24" t="str">
        <f>CADASTROS!$F$1188</f>
        <v>3801-6</v>
      </c>
      <c r="H1397" s="26" t="str">
        <f>CADASTROS!$G$1188</f>
        <v>c/corr</v>
      </c>
      <c r="I1397" s="16" t="str">
        <f>CADASTROS!$H$1188</f>
        <v>0350327-5</v>
      </c>
      <c r="J1397" s="18">
        <f t="shared" si="60"/>
        <v>0</v>
      </c>
    </row>
    <row r="1398" spans="1:10" ht="15.75" x14ac:dyDescent="0.25">
      <c r="A1398" s="24">
        <f>CADASTROS!$B$1189</f>
        <v>1187</v>
      </c>
      <c r="B1398" s="15" t="str">
        <f>CADASTROS!$C$1189</f>
        <v>Durvalino José Gonçalves</v>
      </c>
      <c r="C1398" s="25"/>
      <c r="D1398" s="42">
        <f>PLANILHA_COLHEITA_DIÁRIA!$I$1838</f>
        <v>0</v>
      </c>
      <c r="E1398" s="17">
        <v>6</v>
      </c>
      <c r="F1398" s="26" t="str">
        <f>CADASTROS!$E$1189</f>
        <v>Cx. Econômica</v>
      </c>
      <c r="G1398" s="24">
        <f>CADASTROS!$F$1189</f>
        <v>4825</v>
      </c>
      <c r="H1398" s="26">
        <f>CADASTROS!$G$1189</f>
        <v>13</v>
      </c>
      <c r="I1398" s="16" t="str">
        <f>CADASTROS!$H$1189</f>
        <v>00021132-8</v>
      </c>
      <c r="J1398" s="18">
        <f t="shared" si="60"/>
        <v>0</v>
      </c>
    </row>
    <row r="1399" spans="1:10" ht="15.75" x14ac:dyDescent="0.25">
      <c r="A1399" s="24">
        <f>CADASTROS!$B$1190</f>
        <v>1188</v>
      </c>
      <c r="B1399" s="15" t="str">
        <f>CADASTROS!$C$1190</f>
        <v>Mário Diva Miranda</v>
      </c>
      <c r="C1399" s="25"/>
      <c r="D1399" s="42">
        <f>PLANILHA_COLHEITA_DIÁRIA!$I$1839</f>
        <v>0</v>
      </c>
      <c r="E1399" s="17">
        <v>6</v>
      </c>
      <c r="F1399" s="26" t="str">
        <f>CADASTROS!$E$1190</f>
        <v>Bradesco</v>
      </c>
      <c r="G1399" s="24" t="str">
        <f>CADASTROS!$F$1190</f>
        <v>3801-6</v>
      </c>
      <c r="H1399" s="26" t="str">
        <f>CADASTROS!$G$1190</f>
        <v>c/corr</v>
      </c>
      <c r="I1399" s="16" t="str">
        <f>CADASTROS!$H$1190</f>
        <v>0350461-0</v>
      </c>
      <c r="J1399" s="18">
        <f t="shared" si="60"/>
        <v>0</v>
      </c>
    </row>
    <row r="1400" spans="1:10" ht="15.75" x14ac:dyDescent="0.25">
      <c r="A1400" s="24">
        <f>CADASTROS!$B$1191</f>
        <v>1189</v>
      </c>
      <c r="B1400" s="15" t="str">
        <f>CADASTROS!$C$1191</f>
        <v>Uilma Nunes Paixão</v>
      </c>
      <c r="C1400" s="25"/>
      <c r="D1400" s="35">
        <f>PLANILHA_COLHEITA_DIÁRIA!$I$1840</f>
        <v>47.5</v>
      </c>
      <c r="E1400" s="17">
        <v>6</v>
      </c>
      <c r="F1400" s="26" t="str">
        <f>CADASTROS!$E$1191</f>
        <v>Banco do Brasil</v>
      </c>
      <c r="G1400" s="24" t="str">
        <f>CADASTROS!$F$1191</f>
        <v>2760-X</v>
      </c>
      <c r="H1400" s="26" t="str">
        <f>CADASTROS!$G$1191</f>
        <v>c/corr</v>
      </c>
      <c r="I1400" s="16" t="str">
        <f>CADASTROS!$H$1191</f>
        <v>13.048-6</v>
      </c>
      <c r="J1400" s="18">
        <f t="shared" si="60"/>
        <v>285</v>
      </c>
    </row>
    <row r="1401" spans="1:10" ht="15.75" x14ac:dyDescent="0.25">
      <c r="A1401" s="24">
        <f>CADASTROS!$B$1192</f>
        <v>1190</v>
      </c>
      <c r="B1401" s="15" t="str">
        <f>CADASTROS!$C$1192</f>
        <v>Adriano Rodrigues dos Santos</v>
      </c>
      <c r="C1401" s="25"/>
      <c r="D1401" s="42">
        <f>PLANILHA_COLHEITA_DIÁRIA!$I$1841</f>
        <v>0</v>
      </c>
      <c r="E1401" s="17">
        <v>6</v>
      </c>
      <c r="F1401" s="26" t="str">
        <f>CADASTROS!$E$1192</f>
        <v>Cx. Econômica</v>
      </c>
      <c r="G1401" s="24">
        <f>CADASTROS!$F$1192</f>
        <v>4818</v>
      </c>
      <c r="H1401" s="26">
        <f>CADASTROS!$G$1192</f>
        <v>13</v>
      </c>
      <c r="I1401" s="16" t="str">
        <f>CADASTROS!$H$1192</f>
        <v>00014305-7</v>
      </c>
      <c r="J1401" s="18">
        <f t="shared" si="60"/>
        <v>0</v>
      </c>
    </row>
    <row r="1402" spans="1:10" ht="15.75" x14ac:dyDescent="0.25">
      <c r="A1402" s="24">
        <f>CADASTROS!$B$1193</f>
        <v>1191</v>
      </c>
      <c r="B1402" s="15" t="str">
        <f>CADASTROS!$C$1193</f>
        <v>Eliane Souza Santos</v>
      </c>
      <c r="C1402" s="25"/>
      <c r="D1402" s="35">
        <f>PLANILHA_COLHEITA_DIÁRIA!$I$1842</f>
        <v>0</v>
      </c>
      <c r="E1402" s="17">
        <v>6</v>
      </c>
      <c r="F1402" s="26" t="str">
        <f>CADASTROS!$E$1193</f>
        <v>Cx. Econômica</v>
      </c>
      <c r="G1402" s="24">
        <f>CADASTROS!$F$1193</f>
        <v>1053</v>
      </c>
      <c r="H1402" s="26">
        <f>CADASTROS!$G$1193</f>
        <v>13</v>
      </c>
      <c r="I1402" s="16" t="str">
        <f>CADASTROS!$H$1193</f>
        <v>00153222-0</v>
      </c>
      <c r="J1402" s="18">
        <f t="shared" si="60"/>
        <v>0</v>
      </c>
    </row>
    <row r="1403" spans="1:10" ht="15.75" x14ac:dyDescent="0.25">
      <c r="A1403" s="24">
        <f>CADASTROS!$B$1194</f>
        <v>1192</v>
      </c>
      <c r="B1403" s="15" t="str">
        <f>CADASTROS!$C$1194</f>
        <v>Caique Oliveira dos Santos</v>
      </c>
      <c r="C1403" s="25"/>
      <c r="D1403" s="35">
        <f>PLANILHA_COLHEITA_DIÁRIA!$I$1843</f>
        <v>84</v>
      </c>
      <c r="E1403" s="17">
        <v>6</v>
      </c>
      <c r="F1403" s="26" t="str">
        <f>CADASTROS!$E$1194</f>
        <v>Cx. Econômica</v>
      </c>
      <c r="G1403" s="24">
        <f>CADASTROS!$F$1194</f>
        <v>4825</v>
      </c>
      <c r="H1403" s="26">
        <f>CADASTROS!$G$1194</f>
        <v>13</v>
      </c>
      <c r="I1403" s="16" t="str">
        <f>CADASTROS!$H$1194</f>
        <v>00012160-4</v>
      </c>
      <c r="J1403" s="18">
        <f t="shared" si="60"/>
        <v>504</v>
      </c>
    </row>
    <row r="1404" spans="1:10" ht="15.75" x14ac:dyDescent="0.25">
      <c r="A1404" s="24">
        <f>CADASTROS!$B$1195</f>
        <v>1193</v>
      </c>
      <c r="B1404" s="15" t="str">
        <f>CADASTROS!$C$1195</f>
        <v>Elane Rosa de Souza</v>
      </c>
      <c r="C1404" s="25"/>
      <c r="D1404" s="41">
        <f>PLANILHA_COLHEITA_DIÁRIA!$I$1844</f>
        <v>50</v>
      </c>
      <c r="E1404" s="17">
        <v>6</v>
      </c>
      <c r="F1404" s="26" t="str">
        <f>CADASTROS!$E$1195</f>
        <v>Cx. Econômica</v>
      </c>
      <c r="G1404" s="24">
        <f>CADASTROS!$F$1195</f>
        <v>2399</v>
      </c>
      <c r="H1404" s="26">
        <f>CADASTROS!$G$1195</f>
        <v>13</v>
      </c>
      <c r="I1404" s="16" t="str">
        <f>CADASTROS!$H$1195</f>
        <v>00018713-3</v>
      </c>
      <c r="J1404" s="18">
        <f t="shared" si="60"/>
        <v>300</v>
      </c>
    </row>
    <row r="1405" spans="1:10" ht="15.75" x14ac:dyDescent="0.25">
      <c r="A1405" s="24">
        <f>CADASTROS!$B$1196</f>
        <v>1194</v>
      </c>
      <c r="B1405" s="15" t="str">
        <f>CADASTROS!$C$1196</f>
        <v>Gildete Evangelista Brito</v>
      </c>
      <c r="C1405" s="25"/>
      <c r="D1405" s="41">
        <f>PLANILHA_COLHEITA_DIÁRIA!$I$1845</f>
        <v>0</v>
      </c>
      <c r="E1405" s="17">
        <v>6</v>
      </c>
      <c r="F1405" s="26" t="str">
        <f>CADASTROS!$E$1196</f>
        <v>Cx. Econômica</v>
      </c>
      <c r="G1405" s="24">
        <f>CADASTROS!$F$1196</f>
        <v>780</v>
      </c>
      <c r="H1405" s="26">
        <f>CADASTROS!$G$1196</f>
        <v>13</v>
      </c>
      <c r="I1405" s="16" t="str">
        <f>CADASTROS!$H$1196</f>
        <v>00093444-9</v>
      </c>
      <c r="J1405" s="18">
        <f t="shared" si="60"/>
        <v>0</v>
      </c>
    </row>
    <row r="1406" spans="1:10" ht="15.75" x14ac:dyDescent="0.25">
      <c r="A1406" s="24">
        <f>CADASTROS!$B$1197</f>
        <v>1195</v>
      </c>
      <c r="B1406" s="15" t="str">
        <f>CADASTROS!$C$1197</f>
        <v>Luzia de Souza Brito</v>
      </c>
      <c r="C1406" s="25"/>
      <c r="D1406" s="35">
        <f>PLANILHA_COLHEITA_DIÁRIA!$I$1846</f>
        <v>0</v>
      </c>
      <c r="E1406" s="17">
        <v>6</v>
      </c>
      <c r="F1406" s="26" t="str">
        <f>CADASTROS!$E$1197</f>
        <v>Cx. Econômica</v>
      </c>
      <c r="G1406" s="24">
        <f>CADASTROS!$F$1197</f>
        <v>4601</v>
      </c>
      <c r="H1406" s="26">
        <f>CADASTROS!$G$1197</f>
        <v>13</v>
      </c>
      <c r="I1406" s="16" t="str">
        <f>CADASTROS!$H$1197</f>
        <v>00012733-7</v>
      </c>
      <c r="J1406" s="18">
        <f t="shared" si="60"/>
        <v>0</v>
      </c>
    </row>
    <row r="1407" spans="1:10" ht="15.75" x14ac:dyDescent="0.25">
      <c r="A1407" s="24">
        <f>CADASTROS!$B$1198</f>
        <v>1196</v>
      </c>
      <c r="B1407" s="15" t="str">
        <f>CADASTROS!$C$1198</f>
        <v>Luciene Maria de Morais</v>
      </c>
      <c r="C1407" s="25"/>
      <c r="D1407" s="35">
        <f>PLANILHA_COLHEITA_DIÁRIA!$I$1847</f>
        <v>0</v>
      </c>
      <c r="E1407" s="17">
        <v>6</v>
      </c>
      <c r="F1407" s="26" t="str">
        <f>CADASTROS!$E$1198</f>
        <v>Bradesco</v>
      </c>
      <c r="G1407" s="24">
        <f>CADASTROS!$F$1198</f>
        <v>3655</v>
      </c>
      <c r="H1407" s="26" t="str">
        <f>CADASTROS!$G$1198</f>
        <v>poup</v>
      </c>
      <c r="I1407" s="16" t="str">
        <f>CADASTROS!$H$1198</f>
        <v>1002654-7</v>
      </c>
      <c r="J1407" s="18">
        <f t="shared" si="60"/>
        <v>0</v>
      </c>
    </row>
    <row r="1408" spans="1:10" ht="15.75" x14ac:dyDescent="0.25">
      <c r="A1408" s="24">
        <f>CADASTROS!$B$1199</f>
        <v>1197</v>
      </c>
      <c r="B1408" s="15" t="str">
        <f>CADASTROS!$C$1199</f>
        <v>Andreia Morais de Brito</v>
      </c>
      <c r="C1408" s="25"/>
      <c r="D1408" s="35">
        <f>PLANILHA_COLHEITA_DIÁRIA!$I$1848</f>
        <v>0</v>
      </c>
      <c r="E1408" s="17">
        <v>6</v>
      </c>
      <c r="F1408" s="26" t="str">
        <f>CADASTROS!$E$1199</f>
        <v>Cx. Econômica</v>
      </c>
      <c r="G1408" s="24">
        <f>CADASTROS!$F$1199</f>
        <v>4222</v>
      </c>
      <c r="H1408" s="26">
        <f>CADASTROS!$G$1199</f>
        <v>13</v>
      </c>
      <c r="I1408" s="16" t="str">
        <f>CADASTROS!$H$1199</f>
        <v>00014259-0</v>
      </c>
      <c r="J1408" s="18">
        <f t="shared" si="60"/>
        <v>0</v>
      </c>
    </row>
    <row r="1409" spans="1:10" ht="15.75" x14ac:dyDescent="0.25">
      <c r="A1409" s="24">
        <f>CADASTROS!$B$1200</f>
        <v>1198</v>
      </c>
      <c r="B1409" s="15" t="str">
        <f>CADASTROS!$C$1200</f>
        <v>Marlene Oliveira Boaventura</v>
      </c>
      <c r="C1409" s="25"/>
      <c r="D1409" s="35">
        <f>PLANILHA_COLHEITA_DIÁRIA!$I$1849</f>
        <v>0</v>
      </c>
      <c r="E1409" s="17">
        <v>6</v>
      </c>
      <c r="F1409" s="26" t="str">
        <f>CADASTROS!$E$1200</f>
        <v>Bradesco</v>
      </c>
      <c r="G1409" s="24" t="str">
        <f>CADASTROS!$F$1200</f>
        <v>3655-2</v>
      </c>
      <c r="H1409" s="26" t="str">
        <f>CADASTROS!$G$1200</f>
        <v>poup</v>
      </c>
      <c r="I1409" s="16" t="str">
        <f>CADASTROS!$H$1200</f>
        <v>1004888-5</v>
      </c>
      <c r="J1409" s="18">
        <f t="shared" si="60"/>
        <v>0</v>
      </c>
    </row>
    <row r="1410" spans="1:10" ht="15.75" x14ac:dyDescent="0.25">
      <c r="A1410" s="24">
        <f>CADASTROS!$B$1201</f>
        <v>1199</v>
      </c>
      <c r="B1410" s="15" t="str">
        <f>CADASTROS!$C$1201</f>
        <v>Alexandre de Oliveira Souza</v>
      </c>
      <c r="C1410" s="25"/>
      <c r="D1410" s="35">
        <f>PLANILHA_COLHEITA_DIÁRIA!$I$1850</f>
        <v>0</v>
      </c>
      <c r="E1410" s="17">
        <v>6</v>
      </c>
      <c r="F1410" s="26" t="str">
        <f>CADASTROS!$E$1201</f>
        <v>Bradesco</v>
      </c>
      <c r="G1410" s="24" t="str">
        <f>CADASTROS!$F$1201</f>
        <v>3655-2</v>
      </c>
      <c r="H1410" s="26" t="str">
        <f>CADASTROS!$G$1201</f>
        <v>poup</v>
      </c>
      <c r="I1410" s="16" t="str">
        <f>CADASTROS!$H$1201</f>
        <v>1005271-8</v>
      </c>
      <c r="J1410" s="18">
        <f t="shared" si="60"/>
        <v>0</v>
      </c>
    </row>
    <row r="1411" spans="1:10" ht="15.75" x14ac:dyDescent="0.25">
      <c r="A1411" s="24">
        <f>CADASTROS!$B$1202</f>
        <v>1200</v>
      </c>
      <c r="B1411" s="15" t="str">
        <f>CADASTROS!$C$1202</f>
        <v>Eliane Rosa dos Santos</v>
      </c>
      <c r="C1411" s="25"/>
      <c r="D1411" s="35">
        <f>PLANILHA_COLHEITA_DIÁRIA!$I$1851</f>
        <v>0</v>
      </c>
      <c r="E1411" s="17">
        <v>6</v>
      </c>
      <c r="F1411" s="26" t="str">
        <f>CADASTROS!$E$1202</f>
        <v>Cx. Econômica</v>
      </c>
      <c r="G1411" s="24">
        <f>CADASTROS!$F$1202</f>
        <v>4601</v>
      </c>
      <c r="H1411" s="26">
        <f>CADASTROS!$G$1202</f>
        <v>13</v>
      </c>
      <c r="I1411" s="16" t="str">
        <f>CADASTROS!$H$1202</f>
        <v>00010012-9</v>
      </c>
      <c r="J1411" s="18">
        <f t="shared" si="60"/>
        <v>0</v>
      </c>
    </row>
    <row r="1412" spans="1:10" ht="15.75" x14ac:dyDescent="0.25">
      <c r="A1412" s="24">
        <f>CADASTROS!$B$1203</f>
        <v>1201</v>
      </c>
      <c r="B1412" s="15" t="str">
        <f>CADASTROS!$C$1203</f>
        <v>Maria Graças P. Moureira</v>
      </c>
      <c r="C1412" s="25"/>
      <c r="D1412" s="35">
        <f>PLANILHA_COLHEITA_DIÁRIA!$I$1852</f>
        <v>71</v>
      </c>
      <c r="E1412" s="17">
        <v>6</v>
      </c>
      <c r="F1412" s="26" t="str">
        <f>CADASTROS!$E$1203</f>
        <v>Cx. Econômica</v>
      </c>
      <c r="G1412" s="24">
        <f>CADASTROS!$F$1203</f>
        <v>949</v>
      </c>
      <c r="H1412" s="26">
        <f>CADASTROS!$G$1203</f>
        <v>13</v>
      </c>
      <c r="I1412" s="16" t="str">
        <f>CADASTROS!$H$1203</f>
        <v>00017775-1</v>
      </c>
      <c r="J1412" s="18">
        <f t="shared" si="60"/>
        <v>426</v>
      </c>
    </row>
    <row r="1413" spans="1:10" ht="15.75" x14ac:dyDescent="0.25">
      <c r="A1413" s="24">
        <f>CADASTROS!$B$1204</f>
        <v>1202</v>
      </c>
      <c r="B1413" s="15" t="str">
        <f>CADASTROS!$C$1204</f>
        <v>Raimunda Gomes de Novais</v>
      </c>
      <c r="C1413" s="25"/>
      <c r="D1413" s="35">
        <f>PLANILHA_COLHEITA_DIÁRIA!$I$1853</f>
        <v>0</v>
      </c>
      <c r="E1413" s="17">
        <v>6</v>
      </c>
      <c r="F1413" s="26" t="str">
        <f>CADASTROS!$E$1204</f>
        <v>Cx. Econômica</v>
      </c>
      <c r="G1413" s="24">
        <f>CADASTROS!$F$1204</f>
        <v>4601</v>
      </c>
      <c r="H1413" s="26">
        <f>CADASTROS!$G$1204</f>
        <v>13</v>
      </c>
      <c r="I1413" s="16" t="str">
        <f>CADASTROS!$H$1204</f>
        <v>00001837-6</v>
      </c>
      <c r="J1413" s="18">
        <f t="shared" si="60"/>
        <v>0</v>
      </c>
    </row>
    <row r="1414" spans="1:10" ht="15.75" x14ac:dyDescent="0.25">
      <c r="A1414" s="24">
        <f>CADASTROS!$B$1205</f>
        <v>1203</v>
      </c>
      <c r="B1414" s="15" t="str">
        <f>CADASTROS!$C$1205</f>
        <v>Maremi Teles dos Santos</v>
      </c>
      <c r="C1414" s="25"/>
      <c r="D1414" s="35">
        <f>PLANILHA_COLHEITA_DIÁRIA!$I$1854</f>
        <v>0</v>
      </c>
      <c r="E1414" s="17">
        <v>6</v>
      </c>
      <c r="F1414" s="26" t="str">
        <f>CADASTROS!$E$1205</f>
        <v>Bradesco</v>
      </c>
      <c r="G1414" s="24">
        <f>CADASTROS!$F$1205</f>
        <v>3738</v>
      </c>
      <c r="H1414" s="26" t="str">
        <f>CADASTROS!$G$1205</f>
        <v>c/corr</v>
      </c>
      <c r="I1414" s="16" t="str">
        <f>CADASTROS!$H$1205</f>
        <v>130238-8</v>
      </c>
      <c r="J1414" s="18">
        <f t="shared" si="60"/>
        <v>0</v>
      </c>
    </row>
    <row r="1415" spans="1:10" ht="15.75" x14ac:dyDescent="0.25">
      <c r="A1415" s="24">
        <f>CADASTROS!$B$1206</f>
        <v>1204</v>
      </c>
      <c r="B1415" s="15" t="str">
        <f>CADASTROS!$C$1206</f>
        <v>Lucimaria Silva de Souza</v>
      </c>
      <c r="C1415" s="25"/>
      <c r="D1415" s="35">
        <f>PLANILHA_COLHEITA_DIÁRIA!$I$1855</f>
        <v>0</v>
      </c>
      <c r="E1415" s="17">
        <v>6</v>
      </c>
      <c r="F1415" s="26" t="str">
        <f>CADASTROS!$E$1206</f>
        <v>Cx. Econômica</v>
      </c>
      <c r="G1415" s="24">
        <f>CADASTROS!$F$1206</f>
        <v>4825</v>
      </c>
      <c r="H1415" s="26">
        <f>CADASTROS!$G$1206</f>
        <v>13</v>
      </c>
      <c r="I1415" s="16" t="str">
        <f>CADASTROS!$H$1206</f>
        <v>00023027-6</v>
      </c>
      <c r="J1415" s="18">
        <f t="shared" si="60"/>
        <v>0</v>
      </c>
    </row>
    <row r="1416" spans="1:10" ht="15.75" x14ac:dyDescent="0.25">
      <c r="A1416" s="24">
        <f>CADASTROS!$B$1207</f>
        <v>1205</v>
      </c>
      <c r="B1416" s="15" t="str">
        <f>CADASTROS!$C$1207</f>
        <v>Valdeteno Novais Oliveira</v>
      </c>
      <c r="C1416" s="25"/>
      <c r="D1416" s="42">
        <f>PLANILHA_COLHEITA_DIÁRIA!$I$1856</f>
        <v>0</v>
      </c>
      <c r="E1416" s="17">
        <v>6</v>
      </c>
      <c r="F1416" s="26" t="str">
        <f>CADASTROS!$E$1207</f>
        <v>Bradesco</v>
      </c>
      <c r="G1416" s="24">
        <f>CADASTROS!$F$1207</f>
        <v>3655</v>
      </c>
      <c r="H1416" s="26" t="str">
        <f>CADASTROS!$G$1207</f>
        <v>poup</v>
      </c>
      <c r="I1416" s="16" t="str">
        <f>CADASTROS!$H$1207</f>
        <v>1004239-9</v>
      </c>
      <c r="J1416" s="18">
        <f t="shared" si="60"/>
        <v>0</v>
      </c>
    </row>
    <row r="1417" spans="1:10" ht="15.75" x14ac:dyDescent="0.25">
      <c r="A1417" s="24">
        <f>CADASTROS!$B$1208</f>
        <v>1206</v>
      </c>
      <c r="B1417" s="15" t="str">
        <f>CADASTROS!$C$1208</f>
        <v>Ronielma de Oliveira Morais</v>
      </c>
      <c r="C1417" s="25"/>
      <c r="D1417" s="35">
        <f>PLANILHA_COLHEITA_DIÁRIA!$I$1857</f>
        <v>0</v>
      </c>
      <c r="E1417" s="17">
        <v>6</v>
      </c>
      <c r="F1417" s="26" t="str">
        <f>CADASTROS!$E$1208</f>
        <v>Bradesco</v>
      </c>
      <c r="G1417" s="24">
        <f>CADASTROS!$F$1208</f>
        <v>3655</v>
      </c>
      <c r="H1417" s="26" t="str">
        <f>CADASTROS!$G$1208</f>
        <v>poup</v>
      </c>
      <c r="I1417" s="16" t="str">
        <f>CADASTROS!$H$1208</f>
        <v>1000393-8</v>
      </c>
      <c r="J1417" s="18">
        <f t="shared" si="60"/>
        <v>0</v>
      </c>
    </row>
    <row r="1418" spans="1:10" ht="15.75" x14ac:dyDescent="0.25">
      <c r="A1418" s="24">
        <f>CADASTROS!$B$1209</f>
        <v>1207</v>
      </c>
      <c r="B1418" s="15" t="str">
        <f>CADASTROS!$C$1209</f>
        <v>Sueli Oliveira Boaventura</v>
      </c>
      <c r="C1418" s="25"/>
      <c r="D1418" s="42">
        <f>PLANILHA_COLHEITA_DIÁRIA!$I$1858</f>
        <v>0</v>
      </c>
      <c r="E1418" s="17">
        <v>6</v>
      </c>
      <c r="F1418" s="26" t="str">
        <f>CADASTROS!$E$1209</f>
        <v>Cx. Econômica</v>
      </c>
      <c r="G1418" s="24">
        <f>CADASTROS!$F$1209</f>
        <v>780</v>
      </c>
      <c r="H1418" s="26">
        <f>CADASTROS!$G$1209</f>
        <v>23</v>
      </c>
      <c r="I1418" s="16" t="str">
        <f>CADASTROS!$H$1209</f>
        <v>00016453-5</v>
      </c>
      <c r="J1418" s="18">
        <f t="shared" si="60"/>
        <v>0</v>
      </c>
    </row>
    <row r="1419" spans="1:10" ht="15.75" x14ac:dyDescent="0.25">
      <c r="A1419" s="24">
        <f>CADASTROS!$B$1210</f>
        <v>1208</v>
      </c>
      <c r="B1419" s="15" t="str">
        <f>CADASTROS!$C$1210</f>
        <v>Neildo de Oliveira Silva</v>
      </c>
      <c r="C1419" s="25"/>
      <c r="D1419" s="35">
        <f>PLANILHA_COLHEITA_DIÁRIA!$I$1859</f>
        <v>0</v>
      </c>
      <c r="E1419" s="17">
        <v>6</v>
      </c>
      <c r="F1419" s="26" t="str">
        <f>CADASTROS!$E$1210</f>
        <v>Bradesco</v>
      </c>
      <c r="G1419" s="24">
        <f>CADASTROS!$F$1210</f>
        <v>3655</v>
      </c>
      <c r="H1419" s="26" t="str">
        <f>CADASTROS!$G$1210</f>
        <v>poup</v>
      </c>
      <c r="I1419" s="16" t="str">
        <f>CADASTROS!$H$1210</f>
        <v>1003304-7</v>
      </c>
      <c r="J1419" s="18">
        <f t="shared" si="60"/>
        <v>0</v>
      </c>
    </row>
    <row r="1420" spans="1:10" ht="15.75" x14ac:dyDescent="0.25">
      <c r="A1420" s="24">
        <f>CADASTROS!$B$1211</f>
        <v>1209</v>
      </c>
      <c r="B1420" s="15" t="str">
        <f>CADASTROS!$C$1211</f>
        <v>Silvanete Boaventura de Souza</v>
      </c>
      <c r="C1420" s="25"/>
      <c r="D1420" s="42">
        <f>PLANILHA_COLHEITA_DIÁRIA!$I$1860</f>
        <v>0</v>
      </c>
      <c r="E1420" s="17">
        <v>6</v>
      </c>
      <c r="F1420" s="26" t="str">
        <f>CADASTROS!$E$1211</f>
        <v>Bradesco</v>
      </c>
      <c r="G1420" s="24">
        <f>CADASTROS!$F$1211</f>
        <v>3655</v>
      </c>
      <c r="H1420" s="26" t="str">
        <f>CADASTROS!$G$1211</f>
        <v>poup</v>
      </c>
      <c r="I1420" s="16" t="str">
        <f>CADASTROS!$H$1211</f>
        <v>1001513-8</v>
      </c>
      <c r="J1420" s="18">
        <f t="shared" si="60"/>
        <v>0</v>
      </c>
    </row>
    <row r="1421" spans="1:10" ht="15.75" x14ac:dyDescent="0.25">
      <c r="A1421" s="24">
        <f>CADASTROS!$B$1212</f>
        <v>1210</v>
      </c>
      <c r="B1421" s="15" t="str">
        <f>CADASTROS!$C$1212</f>
        <v>Ismael Santos Nunes</v>
      </c>
      <c r="C1421" s="25"/>
      <c r="D1421" s="35">
        <f>PLANILHA_COLHEITA_DIÁRIA!$I$1872</f>
        <v>0</v>
      </c>
      <c r="E1421" s="17">
        <v>6</v>
      </c>
      <c r="F1421" s="26" t="str">
        <f>CADASTROS!$E$1212</f>
        <v>Cx. Econômica</v>
      </c>
      <c r="G1421" s="24">
        <f>CADASTROS!$F$1212</f>
        <v>4825</v>
      </c>
      <c r="H1421" s="26">
        <f>CADASTROS!$G$1212</f>
        <v>0</v>
      </c>
      <c r="I1421" s="16" t="str">
        <f>CADASTROS!$H$1212</f>
        <v>000802529118-7</v>
      </c>
      <c r="J1421" s="18">
        <f t="shared" si="60"/>
        <v>0</v>
      </c>
    </row>
    <row r="1422" spans="1:10" ht="15.75" x14ac:dyDescent="0.25">
      <c r="A1422" s="24">
        <f>CADASTROS!$B$1213</f>
        <v>1211</v>
      </c>
      <c r="B1422" s="15" t="str">
        <f>CADASTROS!$C$1213</f>
        <v>Wesley Gonçalves Silva</v>
      </c>
      <c r="C1422" s="25"/>
      <c r="D1422" s="35">
        <f>PLANILHA_COLHEITA_DIÁRIA!$I$1873</f>
        <v>0</v>
      </c>
      <c r="E1422" s="17">
        <v>6</v>
      </c>
      <c r="F1422" s="26" t="str">
        <f>CADASTROS!$E$1213</f>
        <v>Cx. Econômica</v>
      </c>
      <c r="G1422" s="24">
        <f>CADASTROS!$F$1213</f>
        <v>4825</v>
      </c>
      <c r="H1422" s="26">
        <f>CADASTROS!$G$1213</f>
        <v>13</v>
      </c>
      <c r="I1422" s="16" t="str">
        <f>CADASTROS!$H$1213</f>
        <v>00022051-3</v>
      </c>
      <c r="J1422" s="18">
        <f t="shared" si="60"/>
        <v>0</v>
      </c>
    </row>
    <row r="1423" spans="1:10" ht="15.75" x14ac:dyDescent="0.25">
      <c r="A1423" s="24">
        <f>CADASTROS!$B$1214</f>
        <v>1212</v>
      </c>
      <c r="B1423" s="15" t="str">
        <f>CADASTROS!$C$1214</f>
        <v>Almir Araújo Lima</v>
      </c>
      <c r="C1423" s="25"/>
      <c r="D1423" s="42">
        <f>PLANILHA_COLHEITA_DIÁRIA!$I$1874</f>
        <v>0</v>
      </c>
      <c r="E1423" s="17">
        <v>6</v>
      </c>
      <c r="F1423" s="26" t="str">
        <f>CADASTROS!$E$1214</f>
        <v>Bradesco</v>
      </c>
      <c r="G1423" s="24" t="str">
        <f>CADASTROS!$F$1214</f>
        <v>3616-1</v>
      </c>
      <c r="H1423" s="26" t="str">
        <f>CADASTROS!$G$1214</f>
        <v>c/corr</v>
      </c>
      <c r="I1423" s="16" t="str">
        <f>CADASTROS!$H$1214</f>
        <v>0008239-2</v>
      </c>
      <c r="J1423" s="18">
        <f t="shared" si="60"/>
        <v>0</v>
      </c>
    </row>
    <row r="1424" spans="1:10" ht="15.75" x14ac:dyDescent="0.25">
      <c r="A1424" s="24">
        <f>CADASTROS!$B$1215</f>
        <v>1213</v>
      </c>
      <c r="B1424" s="15" t="str">
        <f>CADASTROS!$C$1215</f>
        <v>Iris Alves de Souza</v>
      </c>
      <c r="C1424" s="25"/>
      <c r="D1424" s="35">
        <f>PLANILHA_COLHEITA_DIÁRIA!$I$1875</f>
        <v>0</v>
      </c>
      <c r="E1424" s="17">
        <v>6</v>
      </c>
      <c r="F1424" s="26" t="str">
        <f>CADASTROS!$E$1215</f>
        <v>Cx. Econômica</v>
      </c>
      <c r="G1424" s="24">
        <f>CADASTROS!$F$1215</f>
        <v>4818</v>
      </c>
      <c r="H1424" s="26">
        <f>CADASTROS!$G$1215</f>
        <v>13</v>
      </c>
      <c r="I1424" s="16" t="str">
        <f>CADASTROS!$H$1215</f>
        <v>00010627-5</v>
      </c>
      <c r="J1424" s="18">
        <f t="shared" si="60"/>
        <v>0</v>
      </c>
    </row>
    <row r="1425" spans="1:10" ht="15.75" x14ac:dyDescent="0.25">
      <c r="A1425" s="24">
        <f>CADASTROS!$B$1216</f>
        <v>1214</v>
      </c>
      <c r="B1425" s="15" t="str">
        <f>CADASTROS!$C$1216</f>
        <v>Luziania Santana Santos</v>
      </c>
      <c r="C1425" s="25"/>
      <c r="D1425" s="35">
        <f>PLANILHA_COLHEITA_DIÁRIA!$I$1876</f>
        <v>0</v>
      </c>
      <c r="E1425" s="17">
        <v>6</v>
      </c>
      <c r="F1425" s="26" t="str">
        <f>CADASTROS!$E$1216</f>
        <v>Cx. Econômica</v>
      </c>
      <c r="G1425" s="24">
        <f>CADASTROS!$F$1216</f>
        <v>949</v>
      </c>
      <c r="H1425" s="26">
        <f>CADASTROS!$G$1216</f>
        <v>13</v>
      </c>
      <c r="I1425" s="16" t="str">
        <f>CADASTROS!$H$1216</f>
        <v>00081969-9</v>
      </c>
      <c r="J1425" s="18">
        <f t="shared" si="60"/>
        <v>0</v>
      </c>
    </row>
    <row r="1426" spans="1:10" ht="15.75" x14ac:dyDescent="0.25">
      <c r="B1426" s="220"/>
      <c r="C1426" s="220"/>
      <c r="D1426" s="12">
        <f>SUM(D1381:D1425)</f>
        <v>419</v>
      </c>
      <c r="E1426" s="12"/>
      <c r="F1426" s="162"/>
      <c r="G1426" s="163"/>
      <c r="H1426" s="163"/>
      <c r="I1426" s="164"/>
      <c r="J1426" s="14">
        <f>SUM(J1381:J1425)</f>
        <v>2514</v>
      </c>
    </row>
    <row r="1428" spans="1:10" ht="15.75" x14ac:dyDescent="0.25">
      <c r="A1428" s="213" t="s">
        <v>4816</v>
      </c>
      <c r="B1428" s="213"/>
      <c r="C1428" s="213"/>
      <c r="D1428" s="213"/>
      <c r="E1428" s="213"/>
      <c r="F1428" s="213"/>
      <c r="G1428" s="213"/>
      <c r="H1428" s="213"/>
      <c r="I1428" s="213"/>
      <c r="J1428" s="213"/>
    </row>
    <row r="1429" spans="1:10" ht="16.5" thickBot="1" x14ac:dyDescent="0.3">
      <c r="A1429" s="214" t="s">
        <v>4843</v>
      </c>
      <c r="B1429" s="214"/>
      <c r="C1429" s="214"/>
      <c r="D1429" s="214"/>
      <c r="E1429" s="214"/>
      <c r="F1429" s="214"/>
      <c r="G1429" s="214"/>
      <c r="H1429" s="214"/>
      <c r="I1429" s="214"/>
      <c r="J1429" s="214"/>
    </row>
    <row r="1430" spans="1:10" ht="17.25" thickTop="1" thickBot="1" x14ac:dyDescent="0.3">
      <c r="A1430" s="215" t="s">
        <v>4844</v>
      </c>
      <c r="B1430" s="215"/>
      <c r="C1430" s="215"/>
      <c r="D1430" s="215"/>
      <c r="E1430" s="215"/>
      <c r="F1430" s="215"/>
      <c r="G1430" s="215"/>
      <c r="H1430" s="215"/>
      <c r="I1430" s="215"/>
      <c r="J1430" s="215"/>
    </row>
    <row r="1431" spans="1:10" ht="18" customHeight="1" x14ac:dyDescent="0.25">
      <c r="A1431" s="19" t="s">
        <v>4846</v>
      </c>
      <c r="B1431" s="216" t="s">
        <v>1</v>
      </c>
      <c r="C1431" s="216" t="s">
        <v>2</v>
      </c>
      <c r="D1431" s="160" t="s">
        <v>4847</v>
      </c>
      <c r="E1431" s="20" t="s">
        <v>4848</v>
      </c>
      <c r="F1431" s="157" t="s">
        <v>3</v>
      </c>
      <c r="G1431" s="157" t="s">
        <v>4</v>
      </c>
      <c r="H1431" s="157" t="s">
        <v>5</v>
      </c>
      <c r="I1431" s="157" t="s">
        <v>6</v>
      </c>
      <c r="J1431" s="218" t="s">
        <v>4849</v>
      </c>
    </row>
    <row r="1432" spans="1:10" ht="19.5" customHeight="1" thickBot="1" x14ac:dyDescent="0.3">
      <c r="A1432" s="21" t="s">
        <v>4850</v>
      </c>
      <c r="B1432" s="217"/>
      <c r="C1432" s="217"/>
      <c r="D1432" s="161"/>
      <c r="E1432" s="161" t="s">
        <v>4851</v>
      </c>
      <c r="F1432" s="158"/>
      <c r="G1432" s="158"/>
      <c r="H1432" s="158"/>
      <c r="I1432" s="158"/>
      <c r="J1432" s="219"/>
    </row>
    <row r="1433" spans="1:10" ht="15.75" x14ac:dyDescent="0.25">
      <c r="A1433" s="24">
        <f>CADASTROS!$B$1217</f>
        <v>1215</v>
      </c>
      <c r="B1433" s="15" t="str">
        <f>CADASTROS!$C$1217</f>
        <v>Ana Lucia Santana Sousa</v>
      </c>
      <c r="C1433" s="25"/>
      <c r="D1433" s="35">
        <f>PLANILHA_COLHEITA_DIÁRIA!$I$1877</f>
        <v>0</v>
      </c>
      <c r="E1433" s="17">
        <v>6</v>
      </c>
      <c r="F1433" s="26" t="str">
        <f>CADASTROS!$E$1217</f>
        <v>Cx. Econômica</v>
      </c>
      <c r="G1433" s="24">
        <f>CADASTROS!$F$1217</f>
        <v>949</v>
      </c>
      <c r="H1433" s="26">
        <f>CADASTROS!$G$1217</f>
        <v>23</v>
      </c>
      <c r="I1433" s="16" t="str">
        <f>CADASTROS!$H$1217</f>
        <v>00023188-5</v>
      </c>
      <c r="J1433" s="18">
        <f t="shared" ref="J1433:J1442" si="61">D1433*E1433</f>
        <v>0</v>
      </c>
    </row>
    <row r="1434" spans="1:10" ht="15.75" x14ac:dyDescent="0.25">
      <c r="A1434" s="24">
        <f>CADASTROS!$B$1218</f>
        <v>1216</v>
      </c>
      <c r="B1434" s="15" t="str">
        <f>CADASTROS!$C$1218</f>
        <v>Cristiano dos Santos Bernado das Graças</v>
      </c>
      <c r="C1434" s="25"/>
      <c r="D1434" s="35">
        <f>PLANILHA_COLHEITA_DIÁRIA!$I$1878</f>
        <v>0</v>
      </c>
      <c r="E1434" s="17">
        <v>6</v>
      </c>
      <c r="F1434" s="26" t="str">
        <f>CADASTROS!$E$1218</f>
        <v>Cx. Econômica</v>
      </c>
      <c r="G1434" s="24">
        <f>CADASTROS!$F$1218</f>
        <v>4375</v>
      </c>
      <c r="H1434" s="26">
        <f>CADASTROS!$G$1218</f>
        <v>23</v>
      </c>
      <c r="I1434" s="16" t="str">
        <f>CADASTROS!$H$1218</f>
        <v>00002340-0</v>
      </c>
      <c r="J1434" s="18">
        <f t="shared" si="61"/>
        <v>0</v>
      </c>
    </row>
    <row r="1435" spans="1:10" ht="15.75" x14ac:dyDescent="0.25">
      <c r="A1435" s="24">
        <f>CADASTROS!$B$1219</f>
        <v>1217</v>
      </c>
      <c r="B1435" s="15" t="str">
        <f>CADASTROS!$C$1219</f>
        <v>Damires da Silva Alves</v>
      </c>
      <c r="C1435" s="25"/>
      <c r="D1435" s="35">
        <f>PLANILHA_COLHEITA_DIÁRIA!$I$1879</f>
        <v>0</v>
      </c>
      <c r="E1435" s="17">
        <v>6</v>
      </c>
      <c r="F1435" s="26" t="str">
        <f>CADASTROS!$E$1219</f>
        <v>Cx. Econômica</v>
      </c>
      <c r="G1435" s="24">
        <f>CADASTROS!$F$1219</f>
        <v>659</v>
      </c>
      <c r="H1435" s="26">
        <f>CADASTROS!$G$1219</f>
        <v>13</v>
      </c>
      <c r="I1435" s="16" t="str">
        <f>CADASTROS!$H$1219</f>
        <v>00050099-8</v>
      </c>
      <c r="J1435" s="18">
        <f t="shared" si="61"/>
        <v>0</v>
      </c>
    </row>
    <row r="1436" spans="1:10" ht="15.75" x14ac:dyDescent="0.25">
      <c r="A1436" s="24">
        <f>CADASTROS!$B$1220</f>
        <v>1218</v>
      </c>
      <c r="B1436" s="15" t="str">
        <f>CADASTROS!$C$1220</f>
        <v>Lais Fonseca de Souza</v>
      </c>
      <c r="C1436" s="25"/>
      <c r="D1436" s="35">
        <f>PLANILHA_COLHEITA_DIÁRIA!$I$1880</f>
        <v>69.5</v>
      </c>
      <c r="E1436" s="17">
        <v>6</v>
      </c>
      <c r="F1436" s="26" t="str">
        <f>CADASTROS!$E$1220</f>
        <v>Cx. Econômica</v>
      </c>
      <c r="G1436" s="24">
        <f>CADASTROS!$F$1220</f>
        <v>4601</v>
      </c>
      <c r="H1436" s="26">
        <f>CADASTROS!$G$1220</f>
        <v>13</v>
      </c>
      <c r="I1436" s="16" t="str">
        <f>CADASTROS!$H$1220</f>
        <v>00009040-9</v>
      </c>
      <c r="J1436" s="18">
        <f t="shared" si="61"/>
        <v>417</v>
      </c>
    </row>
    <row r="1437" spans="1:10" ht="15.75" x14ac:dyDescent="0.25">
      <c r="A1437" s="24">
        <f>CADASTROS!$B$1221</f>
        <v>1219</v>
      </c>
      <c r="B1437" s="15" t="str">
        <f>CADASTROS!$C$1221</f>
        <v>Fabiana O. Marciel</v>
      </c>
      <c r="C1437" s="25"/>
      <c r="D1437" s="35">
        <f>PLANILHA_COLHEITA_DIÁRIA!$I$1881</f>
        <v>0</v>
      </c>
      <c r="E1437" s="17">
        <v>6</v>
      </c>
      <c r="F1437" s="26" t="str">
        <f>CADASTROS!$E$1221</f>
        <v>Bradesco</v>
      </c>
      <c r="G1437" s="24" t="str">
        <f>CADASTROS!$F$1221</f>
        <v>3801-6</v>
      </c>
      <c r="H1437" s="26" t="str">
        <f>CADASTROS!$G$1221</f>
        <v>poup</v>
      </c>
      <c r="I1437" s="16" t="str">
        <f>CADASTROS!$H$1221</f>
        <v>1000270-2</v>
      </c>
      <c r="J1437" s="18">
        <f t="shared" si="61"/>
        <v>0</v>
      </c>
    </row>
    <row r="1438" spans="1:10" ht="15.75" x14ac:dyDescent="0.25">
      <c r="A1438" s="24">
        <f>CADASTROS!$B$1222</f>
        <v>1220</v>
      </c>
      <c r="B1438" s="15" t="str">
        <f>CADASTROS!$C$1222</f>
        <v>Ione Ferreira de Souza</v>
      </c>
      <c r="C1438" s="25"/>
      <c r="D1438" s="35">
        <f>PLANILHA_COLHEITA_DIÁRIA!$I$1882</f>
        <v>0</v>
      </c>
      <c r="E1438" s="17">
        <v>6</v>
      </c>
      <c r="F1438" s="26" t="str">
        <f>CADASTROS!$E$1222</f>
        <v>Cx. Econômica</v>
      </c>
      <c r="G1438" s="24">
        <f>CADASTROS!$F$1222</f>
        <v>4601</v>
      </c>
      <c r="H1438" s="26">
        <f>CADASTROS!$G$1222</f>
        <v>13</v>
      </c>
      <c r="I1438" s="16" t="str">
        <f>CADASTROS!$H$1222</f>
        <v>00012588-1</v>
      </c>
      <c r="J1438" s="18">
        <f t="shared" si="61"/>
        <v>0</v>
      </c>
    </row>
    <row r="1439" spans="1:10" ht="15.75" x14ac:dyDescent="0.25">
      <c r="A1439" s="24">
        <f>CADASTROS!$B$1223</f>
        <v>1221</v>
      </c>
      <c r="B1439" s="15" t="str">
        <f>CADASTROS!$C$1223</f>
        <v>Ana Regina T. Machado</v>
      </c>
      <c r="C1439" s="25"/>
      <c r="D1439" s="35">
        <f>PLANILHA_COLHEITA_DIÁRIA!$I$1883</f>
        <v>0</v>
      </c>
      <c r="E1439" s="17">
        <v>6</v>
      </c>
      <c r="F1439" s="26" t="str">
        <f>CADASTROS!$E$1223</f>
        <v>Bradesco</v>
      </c>
      <c r="G1439" s="24" t="str">
        <f>CADASTROS!$F$1223</f>
        <v>3616-1</v>
      </c>
      <c r="H1439" s="26" t="str">
        <f>CADASTROS!$G$1223</f>
        <v>c/corr</v>
      </c>
      <c r="I1439" s="16" t="str">
        <f>CADASTROS!$H$1223</f>
        <v>0003966-7</v>
      </c>
      <c r="J1439" s="18">
        <f t="shared" si="61"/>
        <v>0</v>
      </c>
    </row>
    <row r="1440" spans="1:10" ht="15.75" x14ac:dyDescent="0.25">
      <c r="A1440" s="24">
        <f>CADASTROS!$B$1224</f>
        <v>1222</v>
      </c>
      <c r="B1440" s="15" t="str">
        <f>CADASTROS!$C$1224</f>
        <v>Marcia Silva dos Santos</v>
      </c>
      <c r="C1440" s="25"/>
      <c r="D1440" s="35">
        <f>PLANILHA_COLHEITA_DIÁRIA!$I$1884</f>
        <v>0</v>
      </c>
      <c r="E1440" s="17">
        <v>6</v>
      </c>
      <c r="F1440" s="26" t="str">
        <f>CADASTROS!$E$1224</f>
        <v>Bradesco</v>
      </c>
      <c r="G1440" s="24" t="str">
        <f>CADASTROS!$F$1224</f>
        <v>3616-1</v>
      </c>
      <c r="H1440" s="26" t="str">
        <f>CADASTROS!$G$1224</f>
        <v>c/corr</v>
      </c>
      <c r="I1440" s="16" t="str">
        <f>CADASTROS!$H$1224</f>
        <v>0005184-5</v>
      </c>
      <c r="J1440" s="18">
        <f t="shared" si="61"/>
        <v>0</v>
      </c>
    </row>
    <row r="1441" spans="1:10" ht="15.75" x14ac:dyDescent="0.25">
      <c r="A1441" s="24">
        <f>CADASTROS!$B$1225</f>
        <v>1223</v>
      </c>
      <c r="B1441" s="15" t="str">
        <f>CADASTROS!$C$1225</f>
        <v>Paulo Sérgio S. Lessa</v>
      </c>
      <c r="C1441" s="25"/>
      <c r="D1441" s="35">
        <f>PLANILHA_COLHEITA_DIÁRIA!$I$1885</f>
        <v>0</v>
      </c>
      <c r="E1441" s="17">
        <v>6</v>
      </c>
      <c r="F1441" s="26" t="str">
        <f>CADASTROS!$E$1225</f>
        <v>Banco do Brasil</v>
      </c>
      <c r="G1441" s="24" t="str">
        <f>CADASTROS!$F$1225</f>
        <v>2760-X</v>
      </c>
      <c r="H1441" s="26" t="str">
        <f>CADASTROS!$G$1225</f>
        <v>c/corr</v>
      </c>
      <c r="I1441" s="16" t="str">
        <f>CADASTROS!$H$1225</f>
        <v>17.300-2</v>
      </c>
      <c r="J1441" s="18">
        <f t="shared" si="61"/>
        <v>0</v>
      </c>
    </row>
    <row r="1442" spans="1:10" ht="15.75" x14ac:dyDescent="0.25">
      <c r="A1442" s="24">
        <f>CADASTROS!$B$1226</f>
        <v>1224</v>
      </c>
      <c r="B1442" s="15" t="str">
        <f>CADASTROS!$C$1226</f>
        <v>Nivaldo Gonçalves da Silva</v>
      </c>
      <c r="C1442" s="25"/>
      <c r="D1442" s="42">
        <f>PLANILHA_COLHEITA_DIÁRIA!$I$1886</f>
        <v>0</v>
      </c>
      <c r="E1442" s="17">
        <v>6</v>
      </c>
      <c r="F1442" s="26" t="str">
        <f>CADASTROS!$E$1226</f>
        <v>Bradesco</v>
      </c>
      <c r="G1442" s="24" t="str">
        <f>CADASTROS!$F$1226</f>
        <v>3616-1</v>
      </c>
      <c r="H1442" s="26" t="str">
        <f>CADASTROS!$G$1226</f>
        <v>c/corr</v>
      </c>
      <c r="I1442" s="16" t="str">
        <f>CADASTROS!$H$1226</f>
        <v>0007459-4</v>
      </c>
      <c r="J1442" s="18">
        <f t="shared" si="61"/>
        <v>0</v>
      </c>
    </row>
    <row r="1443" spans="1:10" ht="15.75" x14ac:dyDescent="0.25">
      <c r="A1443" s="24">
        <f>CADASTROS!$B$1227</f>
        <v>1225</v>
      </c>
      <c r="B1443" s="15" t="str">
        <f>CADASTROS!$C$1227</f>
        <v>Jeferson dos Santos</v>
      </c>
      <c r="C1443" s="25"/>
      <c r="D1443" s="35">
        <f>PLANILHA_COLHEITA_DIÁRIA!$I$1887</f>
        <v>0</v>
      </c>
      <c r="E1443" s="17">
        <v>6</v>
      </c>
      <c r="F1443" s="26" t="str">
        <f>CADASTROS!$E$1227</f>
        <v>Cx. Econômica</v>
      </c>
      <c r="G1443" s="24">
        <f>CADASTROS!$F$1227</f>
        <v>973</v>
      </c>
      <c r="H1443" s="26">
        <f>CADASTROS!$G$1227</f>
        <v>13</v>
      </c>
      <c r="I1443" s="16" t="str">
        <f>CADASTROS!$H$1227</f>
        <v>00087943-9</v>
      </c>
      <c r="J1443" s="18">
        <f>D1443*E1443</f>
        <v>0</v>
      </c>
    </row>
    <row r="1444" spans="1:10" ht="15.75" x14ac:dyDescent="0.25">
      <c r="A1444" s="24">
        <f>CADASTROS!$B$1228</f>
        <v>1226</v>
      </c>
      <c r="B1444" s="15" t="str">
        <f>CADASTROS!$C$1228</f>
        <v>Diego dos Santos Oliveira</v>
      </c>
      <c r="C1444" s="25"/>
      <c r="D1444" s="35">
        <f>PLANILHA_COLHEITA_DIÁRIA!$I$1888</f>
        <v>0</v>
      </c>
      <c r="E1444" s="17">
        <v>6</v>
      </c>
      <c r="F1444" s="26" t="str">
        <f>CADASTROS!$E$1228</f>
        <v>Cx. Econômica</v>
      </c>
      <c r="G1444" s="24">
        <f>CADASTROS!$F$1228</f>
        <v>3802</v>
      </c>
      <c r="H1444" s="26">
        <f>CADASTROS!$G$1228</f>
        <v>13</v>
      </c>
      <c r="I1444" s="16" t="str">
        <f>CADASTROS!$H$1228</f>
        <v>00007525-6</v>
      </c>
      <c r="J1444" s="18">
        <f t="shared" ref="J1444" si="62">D1444*E1444</f>
        <v>0</v>
      </c>
    </row>
    <row r="1445" spans="1:10" ht="15.75" x14ac:dyDescent="0.25">
      <c r="A1445" s="24">
        <f>CADASTROS!$B$1229</f>
        <v>1227</v>
      </c>
      <c r="B1445" s="15" t="str">
        <f>CADASTROS!$C$1229</f>
        <v>Valtecio Batista da Cruz</v>
      </c>
      <c r="C1445" s="25"/>
      <c r="D1445" s="35">
        <f>PLANILHA_COLHEITA_DIÁRIA!$I$1889</f>
        <v>0</v>
      </c>
      <c r="E1445" s="17">
        <v>6</v>
      </c>
      <c r="F1445" s="26" t="str">
        <f>CADASTROS!$E$1229</f>
        <v>Cx. Econômica</v>
      </c>
      <c r="G1445" s="24">
        <f>CADASTROS!$F$1229</f>
        <v>949</v>
      </c>
      <c r="H1445" s="26">
        <f>CADASTROS!$G$1229</f>
        <v>13</v>
      </c>
      <c r="I1445" s="16" t="str">
        <f>CADASTROS!$H$1229</f>
        <v>00025837-9</v>
      </c>
      <c r="J1445" s="18">
        <f>D1445*E1445</f>
        <v>0</v>
      </c>
    </row>
    <row r="1446" spans="1:10" ht="15.75" x14ac:dyDescent="0.25">
      <c r="A1446" s="24">
        <f>CADASTROS!$B$1230</f>
        <v>1228</v>
      </c>
      <c r="B1446" s="15" t="str">
        <f>CADASTROS!$C$1230</f>
        <v>Lucas Cruz Carvalho</v>
      </c>
      <c r="C1446" s="25"/>
      <c r="D1446" s="35">
        <f>PLANILHA_COLHEITA_DIÁRIA!$I$1890</f>
        <v>0</v>
      </c>
      <c r="E1446" s="17">
        <v>6</v>
      </c>
      <c r="F1446" s="26" t="str">
        <f>CADASTROS!$E$1230</f>
        <v>Cx. Econômica</v>
      </c>
      <c r="G1446" s="24">
        <f>CADASTROS!$F$1230</f>
        <v>4825</v>
      </c>
      <c r="H1446" s="26">
        <f>CADASTROS!$G$1230</f>
        <v>13</v>
      </c>
      <c r="I1446" s="16" t="str">
        <f>CADASTROS!$H$1230</f>
        <v>00008154-8</v>
      </c>
      <c r="J1446" s="18">
        <f t="shared" ref="J1446:J1477" si="63">D1446*E1446</f>
        <v>0</v>
      </c>
    </row>
    <row r="1447" spans="1:10" ht="15.75" x14ac:dyDescent="0.25">
      <c r="A1447" s="24">
        <f>CADASTROS!$B$1231</f>
        <v>1229</v>
      </c>
      <c r="B1447" s="15" t="str">
        <f>CADASTROS!$C$1231</f>
        <v xml:space="preserve">Gilmar V. de Assis/Maria E. de J. Santos </v>
      </c>
      <c r="C1447" s="25"/>
      <c r="D1447" s="35">
        <f>PLANILHA_COLHEITA_DIÁRIA!$I$1891</f>
        <v>0</v>
      </c>
      <c r="E1447" s="17">
        <v>6</v>
      </c>
      <c r="F1447" s="26" t="str">
        <f>CADASTROS!$E$1231</f>
        <v>Bradesco</v>
      </c>
      <c r="G1447" s="24" t="str">
        <f>CADASTROS!$F$1231</f>
        <v>3801-6</v>
      </c>
      <c r="H1447" s="26" t="str">
        <f>CADASTROS!$G$1231</f>
        <v>c/corr</v>
      </c>
      <c r="I1447" s="16" t="str">
        <f>CADASTROS!$H$1231</f>
        <v>0008536-7</v>
      </c>
      <c r="J1447" s="18">
        <f t="shared" si="63"/>
        <v>0</v>
      </c>
    </row>
    <row r="1448" spans="1:10" ht="15.75" x14ac:dyDescent="0.25">
      <c r="A1448" s="24">
        <f>CADASTROS!$B$1232</f>
        <v>1230</v>
      </c>
      <c r="B1448" s="15" t="str">
        <f>CADASTROS!$C$1232</f>
        <v>Joelita de Jesus Souza</v>
      </c>
      <c r="C1448" s="25"/>
      <c r="D1448" s="35">
        <f>PLANILHA_COLHEITA_DIÁRIA!$I$1892</f>
        <v>0</v>
      </c>
      <c r="E1448" s="17">
        <v>6</v>
      </c>
      <c r="F1448" s="26" t="str">
        <f>CADASTROS!$E$1232</f>
        <v>Bradesco</v>
      </c>
      <c r="G1448" s="24" t="str">
        <f>CADASTROS!$F$1232</f>
        <v>3801-6</v>
      </c>
      <c r="H1448" s="26" t="str">
        <f>CADASTROS!$G$1232</f>
        <v>c/corr</v>
      </c>
      <c r="I1448" s="16" t="str">
        <f>CADASTROS!$H$1232</f>
        <v>0000648-3</v>
      </c>
      <c r="J1448" s="18">
        <f t="shared" si="63"/>
        <v>0</v>
      </c>
    </row>
    <row r="1449" spans="1:10" ht="15.75" x14ac:dyDescent="0.25">
      <c r="A1449" s="24">
        <f>CADASTROS!$B$1233</f>
        <v>1231</v>
      </c>
      <c r="B1449" s="15" t="str">
        <f>CADASTROS!$C$1233</f>
        <v>Maria Aparecida de Jesus Souza</v>
      </c>
      <c r="C1449" s="25"/>
      <c r="D1449" s="35">
        <f>PLANILHA_COLHEITA_DIÁRIA!$I$1893</f>
        <v>0</v>
      </c>
      <c r="E1449" s="17">
        <v>6</v>
      </c>
      <c r="F1449" s="26" t="str">
        <f>CADASTROS!$E$1233</f>
        <v>Banco do Brasil</v>
      </c>
      <c r="G1449" s="24" t="str">
        <f>CADASTROS!$F$1233</f>
        <v>0963-6</v>
      </c>
      <c r="H1449" s="26" t="str">
        <f>CADASTROS!$G$1233</f>
        <v>poup</v>
      </c>
      <c r="I1449" s="16" t="str">
        <f>CADASTROS!$H$1233</f>
        <v>46.179-2</v>
      </c>
      <c r="J1449" s="18">
        <f t="shared" si="63"/>
        <v>0</v>
      </c>
    </row>
    <row r="1450" spans="1:10" ht="15.75" x14ac:dyDescent="0.25">
      <c r="A1450" s="24">
        <f>CADASTROS!$B$1234</f>
        <v>1232</v>
      </c>
      <c r="B1450" s="15" t="str">
        <f>CADASTROS!$C$1234</f>
        <v>Lucielma Paes da Silva</v>
      </c>
      <c r="C1450" s="25"/>
      <c r="D1450" s="35">
        <f>PLANILHA_COLHEITA_DIÁRIA!$I$1894</f>
        <v>19.5</v>
      </c>
      <c r="E1450" s="17">
        <v>6</v>
      </c>
      <c r="F1450" s="26" t="str">
        <f>CADASTROS!$E$1234</f>
        <v>Cx. Econômica</v>
      </c>
      <c r="G1450" s="24">
        <f>CADASTROS!$F$1234</f>
        <v>780</v>
      </c>
      <c r="H1450" s="26">
        <f>CADASTROS!$G$1234</f>
        <v>13</v>
      </c>
      <c r="I1450" s="16" t="str">
        <f>CADASTROS!$H$1234</f>
        <v>00019052-8</v>
      </c>
      <c r="J1450" s="18">
        <f t="shared" si="63"/>
        <v>117</v>
      </c>
    </row>
    <row r="1451" spans="1:10" ht="15.75" x14ac:dyDescent="0.25">
      <c r="A1451" s="24">
        <f>CADASTROS!$B$1235</f>
        <v>1233</v>
      </c>
      <c r="B1451" s="15" t="str">
        <f>CADASTROS!$C$1235</f>
        <v>Maria José de Souza Miranda</v>
      </c>
      <c r="C1451" s="25"/>
      <c r="D1451" s="35">
        <f>PLANILHA_COLHEITA_DIÁRIA!$I$1895</f>
        <v>0</v>
      </c>
      <c r="E1451" s="17">
        <v>6</v>
      </c>
      <c r="F1451" s="26" t="str">
        <f>CADASTROS!$E$1235</f>
        <v>Bradesco</v>
      </c>
      <c r="G1451" s="24" t="str">
        <f>CADASTROS!$F$1235</f>
        <v>3655-2</v>
      </c>
      <c r="H1451" s="26" t="str">
        <f>CADASTROS!$G$1235</f>
        <v>c/corr</v>
      </c>
      <c r="I1451" s="16" t="str">
        <f>CADASTROS!$H$1235</f>
        <v>1004553-3</v>
      </c>
      <c r="J1451" s="18">
        <f t="shared" si="63"/>
        <v>0</v>
      </c>
    </row>
    <row r="1452" spans="1:10" ht="15.75" x14ac:dyDescent="0.25">
      <c r="A1452" s="24">
        <f>CADASTROS!$B$1236</f>
        <v>1234</v>
      </c>
      <c r="B1452" s="15" t="str">
        <f>CADASTROS!$C$1236</f>
        <v>Everaldo Santana de Jesus</v>
      </c>
      <c r="C1452" s="25"/>
      <c r="D1452" s="35">
        <f>PLANILHA_COLHEITA_DIÁRIA!$I$1896</f>
        <v>0</v>
      </c>
      <c r="E1452" s="17">
        <v>6</v>
      </c>
      <c r="F1452" s="26" t="str">
        <f>CADASTROS!$E$1236</f>
        <v>Bradesco</v>
      </c>
      <c r="G1452" s="24" t="str">
        <f>CADASTROS!$F$1236</f>
        <v>3616-1</v>
      </c>
      <c r="H1452" s="26" t="str">
        <f>CADASTROS!$G$1236</f>
        <v>c/corr</v>
      </c>
      <c r="I1452" s="16" t="str">
        <f>CADASTROS!$H$1236</f>
        <v>1001395-0</v>
      </c>
      <c r="J1452" s="18">
        <f t="shared" si="63"/>
        <v>0</v>
      </c>
    </row>
    <row r="1453" spans="1:10" ht="15.75" x14ac:dyDescent="0.25">
      <c r="A1453" s="24">
        <f>CADASTROS!$B$1237</f>
        <v>1235</v>
      </c>
      <c r="B1453" s="15" t="str">
        <f>CADASTROS!$C$1237</f>
        <v>Silvanete Antônio de Souza</v>
      </c>
      <c r="C1453" s="25"/>
      <c r="D1453" s="35">
        <f>PLANILHA_COLHEITA_DIÁRIA!$I$1897</f>
        <v>0</v>
      </c>
      <c r="E1453" s="17">
        <v>6</v>
      </c>
      <c r="F1453" s="26" t="str">
        <f>CADASTROS!$E$1237</f>
        <v>Bradesco</v>
      </c>
      <c r="G1453" s="24">
        <f>CADASTROS!$F$1237</f>
        <v>3871</v>
      </c>
      <c r="H1453" s="26">
        <f>CADASTROS!$G$1237</f>
        <v>0</v>
      </c>
      <c r="I1453" s="16" t="str">
        <f>CADASTROS!$H$1237</f>
        <v>270503-6</v>
      </c>
      <c r="J1453" s="18">
        <f t="shared" si="63"/>
        <v>0</v>
      </c>
    </row>
    <row r="1454" spans="1:10" ht="15.75" x14ac:dyDescent="0.25">
      <c r="A1454" s="24">
        <f>CADASTROS!$B$1238</f>
        <v>1236</v>
      </c>
      <c r="B1454" s="15" t="str">
        <f>CADASTROS!$C$1238</f>
        <v>Ana Sena Santos</v>
      </c>
      <c r="C1454" s="25"/>
      <c r="D1454" s="35">
        <f>PLANILHA_COLHEITA_DIÁRIA!$I$1898</f>
        <v>0</v>
      </c>
      <c r="E1454" s="17">
        <v>6</v>
      </c>
      <c r="F1454" s="26" t="str">
        <f>CADASTROS!$E$1238</f>
        <v>Cx. Econômica</v>
      </c>
      <c r="G1454" s="24">
        <f>CADASTROS!$F$1238</f>
        <v>949</v>
      </c>
      <c r="H1454" s="26">
        <f>CADASTROS!$G$1238</f>
        <v>23</v>
      </c>
      <c r="I1454" s="16" t="str">
        <f>CADASTROS!$H$1238</f>
        <v>00008345-2</v>
      </c>
      <c r="J1454" s="18">
        <f t="shared" si="63"/>
        <v>0</v>
      </c>
    </row>
    <row r="1455" spans="1:10" ht="15.75" x14ac:dyDescent="0.25">
      <c r="A1455" s="24">
        <f>CADASTROS!$B$1239</f>
        <v>1237</v>
      </c>
      <c r="B1455" s="15" t="str">
        <f>CADASTROS!$C$1239</f>
        <v>Eudice Paixão Maia</v>
      </c>
      <c r="C1455" s="25"/>
      <c r="D1455" s="35">
        <f>PLANILHA_COLHEITA_DIÁRIA!$I$1910</f>
        <v>0</v>
      </c>
      <c r="E1455" s="17">
        <v>6</v>
      </c>
      <c r="F1455" s="26" t="str">
        <f>CADASTROS!$E$1239</f>
        <v>Cx. Econômica</v>
      </c>
      <c r="G1455" s="24">
        <f>CADASTROS!$F$1239</f>
        <v>949</v>
      </c>
      <c r="H1455" s="26">
        <f>CADASTROS!$G$1239</f>
        <v>23</v>
      </c>
      <c r="I1455" s="16" t="str">
        <f>CADASTROS!$H$1239</f>
        <v>00024537-1</v>
      </c>
      <c r="J1455" s="18">
        <f t="shared" si="63"/>
        <v>0</v>
      </c>
    </row>
    <row r="1456" spans="1:10" ht="15.75" x14ac:dyDescent="0.25">
      <c r="A1456" s="24">
        <f>CADASTROS!$B$1240</f>
        <v>1238</v>
      </c>
      <c r="B1456" s="15" t="str">
        <f>CADASTROS!$C$1240</f>
        <v>Clenilda Oliveira dos Santos</v>
      </c>
      <c r="C1456" s="25"/>
      <c r="D1456" s="35">
        <f>PLANILHA_COLHEITA_DIÁRIA!$I$1911</f>
        <v>0</v>
      </c>
      <c r="E1456" s="17">
        <v>6</v>
      </c>
      <c r="F1456" s="26" t="str">
        <f>CADASTROS!$E$1240</f>
        <v>Cx. Econômica</v>
      </c>
      <c r="G1456" s="24">
        <f>CADASTROS!$F$1240</f>
        <v>2734</v>
      </c>
      <c r="H1456" s="26">
        <f>CADASTROS!$G$1240</f>
        <v>13</v>
      </c>
      <c r="I1456" s="16" t="str">
        <f>CADASTROS!$H$1240</f>
        <v>00055654-6</v>
      </c>
      <c r="J1456" s="18">
        <f t="shared" si="63"/>
        <v>0</v>
      </c>
    </row>
    <row r="1457" spans="1:10" ht="15.75" x14ac:dyDescent="0.25">
      <c r="A1457" s="24">
        <f>CADASTROS!$B$1241</f>
        <v>1239</v>
      </c>
      <c r="B1457" s="15" t="str">
        <f>CADASTROS!$C$1241</f>
        <v>Luzinete Lima A. Santos</v>
      </c>
      <c r="C1457" s="25"/>
      <c r="D1457" s="35">
        <f>PLANILHA_COLHEITA_DIÁRIA!$I$1912</f>
        <v>116</v>
      </c>
      <c r="E1457" s="17">
        <v>6</v>
      </c>
      <c r="F1457" s="26" t="str">
        <f>CADASTROS!$E$1241</f>
        <v>Cx. Econômica</v>
      </c>
      <c r="G1457" s="24">
        <f>CADASTROS!$F$1241</f>
        <v>951</v>
      </c>
      <c r="H1457" s="26">
        <f>CADASTROS!$G$1241</f>
        <v>13</v>
      </c>
      <c r="I1457" s="16" t="str">
        <f>CADASTROS!$H$1241</f>
        <v>00096761-3</v>
      </c>
      <c r="J1457" s="18">
        <f t="shared" si="63"/>
        <v>696</v>
      </c>
    </row>
    <row r="1458" spans="1:10" ht="15.75" x14ac:dyDescent="0.25">
      <c r="A1458" s="24">
        <f>CADASTROS!$B$1242</f>
        <v>1240</v>
      </c>
      <c r="B1458" s="15" t="str">
        <f>CADASTROS!$C$1242</f>
        <v>Lucilene Maria de Oliveira</v>
      </c>
      <c r="C1458" s="25"/>
      <c r="D1458" s="35">
        <f>PLANILHA_COLHEITA_DIÁRIA!$I$1913</f>
        <v>24.5</v>
      </c>
      <c r="E1458" s="17">
        <v>6</v>
      </c>
      <c r="F1458" s="26" t="str">
        <f>CADASTROS!$E$1242</f>
        <v>Cx. Econômica</v>
      </c>
      <c r="G1458" s="24">
        <f>CADASTROS!$F$1242</f>
        <v>780</v>
      </c>
      <c r="H1458" s="26">
        <f>CADASTROS!$G$1242</f>
        <v>13</v>
      </c>
      <c r="I1458" s="16" t="str">
        <f>CADASTROS!$H$1242</f>
        <v>00009965-5</v>
      </c>
      <c r="J1458" s="18">
        <f t="shared" si="63"/>
        <v>147</v>
      </c>
    </row>
    <row r="1459" spans="1:10" ht="15.75" x14ac:dyDescent="0.25">
      <c r="A1459" s="24">
        <f>CADASTROS!$B$1243</f>
        <v>1241</v>
      </c>
      <c r="B1459" s="15" t="str">
        <f>CADASTROS!$C$1243</f>
        <v>Rosivania Madalena de Souza</v>
      </c>
      <c r="C1459" s="25"/>
      <c r="D1459" s="42">
        <f>PLANILHA_COLHEITA_DIÁRIA!$I$1914</f>
        <v>0</v>
      </c>
      <c r="E1459" s="17">
        <v>6</v>
      </c>
      <c r="F1459" s="26" t="str">
        <f>CADASTROS!$E$1243</f>
        <v>Bradesco</v>
      </c>
      <c r="G1459" s="24" t="str">
        <f>CADASTROS!$F$1243</f>
        <v>3801-6</v>
      </c>
      <c r="H1459" s="26" t="str">
        <f>CADASTROS!$G$1243</f>
        <v>poup</v>
      </c>
      <c r="I1459" s="16" t="str">
        <f>CADASTROS!$H$1243</f>
        <v>1000147-1</v>
      </c>
      <c r="J1459" s="18">
        <f t="shared" si="63"/>
        <v>0</v>
      </c>
    </row>
    <row r="1460" spans="1:10" ht="15.75" x14ac:dyDescent="0.25">
      <c r="A1460" s="24">
        <f>CADASTROS!$B$1244</f>
        <v>1242</v>
      </c>
      <c r="B1460" s="15" t="str">
        <f>CADASTROS!$C$1244</f>
        <v>Tamires Lima de Jesus</v>
      </c>
      <c r="C1460" s="25"/>
      <c r="D1460" s="42">
        <f>PLANILHA_COLHEITA_DIÁRIA!$I$1915</f>
        <v>0</v>
      </c>
      <c r="E1460" s="17">
        <v>6</v>
      </c>
      <c r="F1460" s="26" t="str">
        <f>CADASTROS!$E$1244</f>
        <v>Cx. Econômica</v>
      </c>
      <c r="G1460" s="24">
        <f>CADASTROS!$F$1244</f>
        <v>4825</v>
      </c>
      <c r="H1460" s="26">
        <f>CADASTROS!$G$1244</f>
        <v>13</v>
      </c>
      <c r="I1460" s="16" t="str">
        <f>CADASTROS!$H$1244</f>
        <v>00022280-0</v>
      </c>
      <c r="J1460" s="18">
        <f t="shared" si="63"/>
        <v>0</v>
      </c>
    </row>
    <row r="1461" spans="1:10" ht="15.75" x14ac:dyDescent="0.25">
      <c r="A1461" s="24">
        <f>CADASTROS!$B$1245</f>
        <v>1243</v>
      </c>
      <c r="B1461" s="15" t="str">
        <f>CADASTROS!$C$1245</f>
        <v>Leonice de Jesus Monteiro</v>
      </c>
      <c r="C1461" s="25"/>
      <c r="D1461" s="35">
        <f>PLANILHA_COLHEITA_DIÁRIA!$I$1916</f>
        <v>0</v>
      </c>
      <c r="E1461" s="17">
        <v>6</v>
      </c>
      <c r="F1461" s="26" t="str">
        <f>CADASTROS!$E$1245</f>
        <v>Cx. Econômica</v>
      </c>
      <c r="G1461" s="24">
        <f>CADASTROS!$F$1245</f>
        <v>4825</v>
      </c>
      <c r="H1461" s="26">
        <f>CADASTROS!$G$1245</f>
        <v>13</v>
      </c>
      <c r="I1461" s="16" t="str">
        <f>CADASTROS!$H$1245</f>
        <v>00000293-1</v>
      </c>
      <c r="J1461" s="18">
        <f t="shared" si="63"/>
        <v>0</v>
      </c>
    </row>
    <row r="1462" spans="1:10" ht="15.75" x14ac:dyDescent="0.25">
      <c r="A1462" s="24">
        <f>CADASTROS!$B$1246</f>
        <v>1244</v>
      </c>
      <c r="B1462" s="15" t="str">
        <f>CADASTROS!$C$1246</f>
        <v>Raimunda Madalena de Souza</v>
      </c>
      <c r="C1462" s="25"/>
      <c r="D1462" s="35">
        <f>PLANILHA_COLHEITA_DIÁRIA!$I$1917</f>
        <v>0</v>
      </c>
      <c r="E1462" s="17">
        <v>6</v>
      </c>
      <c r="F1462" s="26" t="str">
        <f>CADASTROS!$E$1246</f>
        <v>Bradesco</v>
      </c>
      <c r="G1462" s="24" t="str">
        <f>CADASTROS!$F$1246</f>
        <v>3801-6</v>
      </c>
      <c r="H1462" s="26" t="str">
        <f>CADASTROS!$G$1246</f>
        <v>poup</v>
      </c>
      <c r="I1462" s="16" t="str">
        <f>CADASTROS!$H$1246</f>
        <v>1000175-7</v>
      </c>
      <c r="J1462" s="18">
        <f t="shared" si="63"/>
        <v>0</v>
      </c>
    </row>
    <row r="1463" spans="1:10" ht="15.75" x14ac:dyDescent="0.25">
      <c r="A1463" s="24">
        <f>CADASTROS!$B$1247</f>
        <v>1245</v>
      </c>
      <c r="B1463" s="15" t="str">
        <f>CADASTROS!$C$1247</f>
        <v>Betania Maria de Jesus</v>
      </c>
      <c r="C1463" s="25"/>
      <c r="D1463" s="35">
        <f>PLANILHA_COLHEITA_DIÁRIA!$I$1918</f>
        <v>49.5</v>
      </c>
      <c r="E1463" s="17">
        <v>6</v>
      </c>
      <c r="F1463" s="26" t="str">
        <f>CADASTROS!$E$1247</f>
        <v>Cx. Econômica</v>
      </c>
      <c r="G1463" s="24">
        <f>CADASTROS!$F$1247</f>
        <v>4825</v>
      </c>
      <c r="H1463" s="26">
        <f>CADASTROS!$G$1247</f>
        <v>0</v>
      </c>
      <c r="I1463" s="16" t="str">
        <f>CADASTROS!$H$1247</f>
        <v>000855654743-3</v>
      </c>
      <c r="J1463" s="18">
        <f t="shared" si="63"/>
        <v>297</v>
      </c>
    </row>
    <row r="1464" spans="1:10" ht="15.75" x14ac:dyDescent="0.25">
      <c r="A1464" s="24">
        <f>CADASTROS!$B$1248</f>
        <v>1246</v>
      </c>
      <c r="B1464" s="15" t="str">
        <f>CADASTROS!$C$1248</f>
        <v>Eliana Rosa de Souza</v>
      </c>
      <c r="C1464" s="25"/>
      <c r="D1464" s="42">
        <f>PLANILHA_COLHEITA_DIÁRIA!$I$1919</f>
        <v>28.5</v>
      </c>
      <c r="E1464" s="17">
        <v>6</v>
      </c>
      <c r="F1464" s="26" t="str">
        <f>CADASTROS!$E$1248</f>
        <v>Cx. Econômica</v>
      </c>
      <c r="G1464" s="24">
        <f>CADASTROS!$F$1248</f>
        <v>4825</v>
      </c>
      <c r="H1464" s="26">
        <f>CADASTROS!$G$1248</f>
        <v>13</v>
      </c>
      <c r="I1464" s="16" t="str">
        <f>CADASTROS!$H$1248</f>
        <v>00011941-3</v>
      </c>
      <c r="J1464" s="18">
        <f t="shared" si="63"/>
        <v>171</v>
      </c>
    </row>
    <row r="1465" spans="1:10" ht="15.75" x14ac:dyDescent="0.25">
      <c r="A1465" s="24">
        <f>CADASTROS!$B$1249</f>
        <v>1247</v>
      </c>
      <c r="B1465" s="15" t="str">
        <f>CADASTROS!$C$1249</f>
        <v>Elenir M. dos Anjos</v>
      </c>
      <c r="C1465" s="25"/>
      <c r="D1465" s="42">
        <f>PLANILHA_COLHEITA_DIÁRIA!$I$1920</f>
        <v>64</v>
      </c>
      <c r="E1465" s="17">
        <v>6</v>
      </c>
      <c r="F1465" s="26" t="str">
        <f>CADASTROS!$E$1249</f>
        <v>Cx. Econômica</v>
      </c>
      <c r="G1465" s="24">
        <f>CADASTROS!$F$1249</f>
        <v>949</v>
      </c>
      <c r="H1465" s="26">
        <f>CADASTROS!$G$1249</f>
        <v>13</v>
      </c>
      <c r="I1465" s="16" t="str">
        <f>CADASTROS!$H$1249</f>
        <v>00074265-3</v>
      </c>
      <c r="J1465" s="18">
        <f t="shared" si="63"/>
        <v>384</v>
      </c>
    </row>
    <row r="1466" spans="1:10" ht="15.75" x14ac:dyDescent="0.25">
      <c r="A1466" s="24">
        <f>CADASTROS!$B$1250</f>
        <v>1248</v>
      </c>
      <c r="B1466" s="15" t="str">
        <f>CADASTROS!$C$1250</f>
        <v>Isabel Lima da Silva Santos</v>
      </c>
      <c r="C1466" s="25"/>
      <c r="D1466" s="35">
        <f>PLANILHA_COLHEITA_DIÁRIA!$I$1921</f>
        <v>57</v>
      </c>
      <c r="E1466" s="17">
        <v>6</v>
      </c>
      <c r="F1466" s="26" t="str">
        <f>CADASTROS!$E$1250</f>
        <v>Cx. Econômica</v>
      </c>
      <c r="G1466" s="24">
        <f>CADASTROS!$F$1250</f>
        <v>949</v>
      </c>
      <c r="H1466" s="26">
        <f>CADASTROS!$G$1250</f>
        <v>13</v>
      </c>
      <c r="I1466" s="16" t="str">
        <f>CADASTROS!$H$1250</f>
        <v>00027300-9</v>
      </c>
      <c r="J1466" s="18">
        <f t="shared" si="63"/>
        <v>342</v>
      </c>
    </row>
    <row r="1467" spans="1:10" ht="15.75" x14ac:dyDescent="0.25">
      <c r="A1467" s="24">
        <f>CADASTROS!$B$1251</f>
        <v>1249</v>
      </c>
      <c r="B1467" s="15" t="str">
        <f>CADASTROS!$C$1251</f>
        <v>Jeferson Anjos Oliveira</v>
      </c>
      <c r="C1467" s="25"/>
      <c r="D1467" s="35">
        <f>PLANILHA_COLHEITA_DIÁRIA!$I$1922</f>
        <v>0</v>
      </c>
      <c r="E1467" s="17">
        <v>6</v>
      </c>
      <c r="F1467" s="26" t="str">
        <f>CADASTROS!$E$1251</f>
        <v>Cx. Econômica</v>
      </c>
      <c r="G1467" s="24">
        <f>CADASTROS!$F$1251</f>
        <v>4825</v>
      </c>
      <c r="H1467" s="26">
        <f>CADASTROS!$G$1251</f>
        <v>13</v>
      </c>
      <c r="I1467" s="16" t="str">
        <f>CADASTROS!$H$1251</f>
        <v>00023315-1</v>
      </c>
      <c r="J1467" s="18">
        <f t="shared" si="63"/>
        <v>0</v>
      </c>
    </row>
    <row r="1468" spans="1:10" ht="15.75" x14ac:dyDescent="0.25">
      <c r="A1468" s="24">
        <f>CADASTROS!$B$1252</f>
        <v>1250</v>
      </c>
      <c r="B1468" s="15" t="str">
        <f>CADASTROS!$C$1252</f>
        <v>João Carlos N. Gomes</v>
      </c>
      <c r="C1468" s="25"/>
      <c r="D1468" s="35">
        <f>PLANILHA_COLHEITA_DIÁRIA!$I$1923</f>
        <v>0</v>
      </c>
      <c r="E1468" s="17">
        <v>6</v>
      </c>
      <c r="F1468" s="26" t="str">
        <f>CADASTROS!$E$1252</f>
        <v>Cx. Econômica</v>
      </c>
      <c r="G1468" s="24">
        <f>CADASTROS!$F$1252</f>
        <v>4818</v>
      </c>
      <c r="H1468" s="26">
        <f>CADASTROS!$G$1252</f>
        <v>13</v>
      </c>
      <c r="I1468" s="16" t="str">
        <f>CADASTROS!$H$1252</f>
        <v>00006862-4</v>
      </c>
      <c r="J1468" s="18">
        <f t="shared" si="63"/>
        <v>0</v>
      </c>
    </row>
    <row r="1469" spans="1:10" ht="15.75" x14ac:dyDescent="0.25">
      <c r="A1469" s="24">
        <f>CADASTROS!$B$1253</f>
        <v>1251</v>
      </c>
      <c r="B1469" s="15" t="str">
        <f>CADASTROS!$C$1253</f>
        <v>Paulo Pereira dos Santos</v>
      </c>
      <c r="C1469" s="25"/>
      <c r="D1469" s="35">
        <f>PLANILHA_COLHEITA_DIÁRIA!$I$1924</f>
        <v>101</v>
      </c>
      <c r="E1469" s="17">
        <v>6</v>
      </c>
      <c r="F1469" s="26" t="str">
        <f>CADASTROS!$E$1253</f>
        <v>Cx. Econômica</v>
      </c>
      <c r="G1469" s="24">
        <f>CADASTROS!$F$1253</f>
        <v>780</v>
      </c>
      <c r="H1469" s="26" t="str">
        <f>CADASTROS!$G$1253</f>
        <v>poup</v>
      </c>
      <c r="I1469" s="16" t="str">
        <f>CADASTROS!$H$1253</f>
        <v>832625012-9</v>
      </c>
      <c r="J1469" s="18">
        <f t="shared" si="63"/>
        <v>606</v>
      </c>
    </row>
    <row r="1470" spans="1:10" ht="15.75" x14ac:dyDescent="0.25">
      <c r="A1470" s="24">
        <f>CADASTROS!$B$1254</f>
        <v>1252</v>
      </c>
      <c r="B1470" s="15" t="str">
        <f>CADASTROS!$C$1254</f>
        <v>Maria Celes Ferreira Souza</v>
      </c>
      <c r="C1470" s="25"/>
      <c r="D1470" s="35">
        <f>PLANILHA_COLHEITA_DIÁRIA!$I$1925</f>
        <v>0</v>
      </c>
      <c r="E1470" s="17">
        <v>6</v>
      </c>
      <c r="F1470" s="26" t="str">
        <f>CADASTROS!$E$1254</f>
        <v>Bradesco</v>
      </c>
      <c r="G1470" s="24" t="str">
        <f>CADASTROS!$F$1254</f>
        <v>3616-1</v>
      </c>
      <c r="H1470" s="26" t="str">
        <f>CADASTROS!$G$1254</f>
        <v>c/corr</v>
      </c>
      <c r="I1470" s="16" t="str">
        <f>CADASTROS!$H$1254</f>
        <v>0050164-6</v>
      </c>
      <c r="J1470" s="18">
        <f t="shared" si="63"/>
        <v>0</v>
      </c>
    </row>
    <row r="1471" spans="1:10" ht="15.75" x14ac:dyDescent="0.25">
      <c r="A1471" s="24">
        <f>CADASTROS!$B$1255</f>
        <v>1253</v>
      </c>
      <c r="B1471" s="15" t="str">
        <f>CADASTROS!$C$1255</f>
        <v>Carlisson dos R Mangab</v>
      </c>
      <c r="C1471" s="25"/>
      <c r="D1471" s="35">
        <f>PLANILHA_COLHEITA_DIÁRIA!$I$1926</f>
        <v>0</v>
      </c>
      <c r="E1471" s="17">
        <v>6</v>
      </c>
      <c r="F1471" s="26" t="str">
        <f>CADASTROS!$E$1255</f>
        <v>Cx. Econômica</v>
      </c>
      <c r="G1471" s="24">
        <f>CADASTROS!$F$1255</f>
        <v>4825</v>
      </c>
      <c r="H1471" s="26">
        <f>CADASTROS!$G$1255</f>
        <v>13</v>
      </c>
      <c r="I1471" s="16" t="str">
        <f>CADASTROS!$H$1255</f>
        <v>00018828-8</v>
      </c>
      <c r="J1471" s="18">
        <f t="shared" si="63"/>
        <v>0</v>
      </c>
    </row>
    <row r="1472" spans="1:10" ht="15.75" x14ac:dyDescent="0.25">
      <c r="A1472" s="24">
        <f>CADASTROS!$B$1256</f>
        <v>1254</v>
      </c>
      <c r="B1472" s="15" t="str">
        <f>CADASTROS!$C$1256</f>
        <v>Roberio Ivan de Oliveira</v>
      </c>
      <c r="C1472" s="25"/>
      <c r="D1472" s="35">
        <f>PLANILHA_COLHEITA_DIÁRIA!$I$1927</f>
        <v>0</v>
      </c>
      <c r="E1472" s="17">
        <v>6</v>
      </c>
      <c r="F1472" s="26" t="str">
        <f>CADASTROS!$E$1256</f>
        <v>Cx. Econômica</v>
      </c>
      <c r="G1472" s="24">
        <f>CADASTROS!$F$1256</f>
        <v>4825</v>
      </c>
      <c r="H1472" s="26">
        <f>CADASTROS!$G$1256</f>
        <v>13</v>
      </c>
      <c r="I1472" s="16" t="str">
        <f>CADASTROS!$H$1256</f>
        <v>00012825-0</v>
      </c>
      <c r="J1472" s="18">
        <f t="shared" si="63"/>
        <v>0</v>
      </c>
    </row>
    <row r="1473" spans="1:10" ht="15.75" x14ac:dyDescent="0.25">
      <c r="A1473" s="24">
        <f>CADASTROS!$B$1257</f>
        <v>1255</v>
      </c>
      <c r="B1473" s="15" t="str">
        <f>CADASTROS!$C$1257</f>
        <v>Sandra Euzébia dos Anjos</v>
      </c>
      <c r="C1473" s="25"/>
      <c r="D1473" s="35">
        <f>PLANILHA_COLHEITA_DIÁRIA!$I$1928</f>
        <v>0</v>
      </c>
      <c r="E1473" s="17">
        <v>6</v>
      </c>
      <c r="F1473" s="26" t="str">
        <f>CADASTROS!$E$1257</f>
        <v>Bradesco</v>
      </c>
      <c r="G1473" s="24" t="str">
        <f>CADASTROS!$F$1257</f>
        <v>3801-6</v>
      </c>
      <c r="H1473" s="26" t="str">
        <f>CADASTROS!$G$1257</f>
        <v>poup</v>
      </c>
      <c r="I1473" s="16" t="str">
        <f>CADASTROS!$H$1257</f>
        <v>0350565-0</v>
      </c>
      <c r="J1473" s="18">
        <f t="shared" si="63"/>
        <v>0</v>
      </c>
    </row>
    <row r="1474" spans="1:10" ht="15.75" x14ac:dyDescent="0.25">
      <c r="A1474" s="24">
        <f>CADASTROS!$B$1258</f>
        <v>1256</v>
      </c>
      <c r="B1474" s="15" t="str">
        <f>CADASTROS!$C$1258</f>
        <v>Girleide Santana</v>
      </c>
      <c r="C1474" s="25"/>
      <c r="D1474" s="41">
        <f>PLANILHA_COLHEITA_DIÁRIA!$I$1929</f>
        <v>32.5</v>
      </c>
      <c r="E1474" s="17">
        <v>6</v>
      </c>
      <c r="F1474" s="26" t="str">
        <f>CADASTROS!$E$1258</f>
        <v>Cx. Econômica</v>
      </c>
      <c r="G1474" s="24">
        <f>CADASTROS!$F$1258</f>
        <v>4818</v>
      </c>
      <c r="H1474" s="26">
        <f>CADASTROS!$G$1258</f>
        <v>13</v>
      </c>
      <c r="I1474" s="16" t="str">
        <f>CADASTROS!$H$1258</f>
        <v>00006184-0</v>
      </c>
      <c r="J1474" s="18">
        <f t="shared" si="63"/>
        <v>195</v>
      </c>
    </row>
    <row r="1475" spans="1:10" ht="15.75" x14ac:dyDescent="0.25">
      <c r="A1475" s="24">
        <f>CADASTROS!$B$1259</f>
        <v>1257</v>
      </c>
      <c r="B1475" s="15" t="str">
        <f>CADASTROS!$C$1259</f>
        <v>Cleber de Jesus Oliveira</v>
      </c>
      <c r="C1475" s="25"/>
      <c r="D1475" s="41">
        <f>PLANILHA_COLHEITA_DIÁRIA!$I$1930</f>
        <v>36</v>
      </c>
      <c r="E1475" s="17">
        <v>6</v>
      </c>
      <c r="F1475" s="26" t="str">
        <f>CADASTROS!$E$1259</f>
        <v>Bradesco</v>
      </c>
      <c r="G1475" s="24" t="str">
        <f>CADASTROS!$F$1259</f>
        <v>3532-7</v>
      </c>
      <c r="H1475" s="26" t="str">
        <f>CADASTROS!$G$1259</f>
        <v>poup</v>
      </c>
      <c r="I1475" s="16" t="str">
        <f>CADASTROS!$H$1259</f>
        <v>0003149-6</v>
      </c>
      <c r="J1475" s="18">
        <f t="shared" si="63"/>
        <v>216</v>
      </c>
    </row>
    <row r="1476" spans="1:10" ht="15.75" x14ac:dyDescent="0.25">
      <c r="A1476" s="24">
        <f>CADASTROS!$B$1260</f>
        <v>1258</v>
      </c>
      <c r="B1476" s="15" t="str">
        <f>CADASTROS!$C$1260</f>
        <v>Elisangela Maria de Souza</v>
      </c>
      <c r="C1476" s="25"/>
      <c r="D1476" s="35">
        <f>PLANILHA_COLHEITA_DIÁRIA!$I$1931</f>
        <v>79</v>
      </c>
      <c r="E1476" s="17">
        <v>6</v>
      </c>
      <c r="F1476" s="26" t="str">
        <f>CADASTROS!$E$1260</f>
        <v>Bradesco</v>
      </c>
      <c r="G1476" s="24" t="str">
        <f>CADASTROS!$F$1260</f>
        <v>3801-6</v>
      </c>
      <c r="H1476" s="26" t="str">
        <f>CADASTROS!$G$1260</f>
        <v>poup</v>
      </c>
      <c r="I1476" s="16" t="str">
        <f>CADASTROS!$H$1260</f>
        <v>0523153-1</v>
      </c>
      <c r="J1476" s="18">
        <f t="shared" si="63"/>
        <v>474</v>
      </c>
    </row>
    <row r="1477" spans="1:10" ht="15.75" x14ac:dyDescent="0.25">
      <c r="A1477" s="24">
        <f>CADASTROS!$B$1261</f>
        <v>1259</v>
      </c>
      <c r="B1477" s="15" t="str">
        <f>CADASTROS!$C$1261</f>
        <v>Miralva de Jesus Batista</v>
      </c>
      <c r="C1477" s="25"/>
      <c r="D1477" s="35">
        <f>PLANILHA_COLHEITA_DIÁRIA!$I$1932</f>
        <v>0</v>
      </c>
      <c r="E1477" s="17">
        <v>6</v>
      </c>
      <c r="F1477" s="26" t="str">
        <f>CADASTROS!$E$1261</f>
        <v>Bradesco</v>
      </c>
      <c r="G1477" s="24" t="str">
        <f>CADASTROS!$F$1261</f>
        <v>3616-1</v>
      </c>
      <c r="H1477" s="26" t="str">
        <f>CADASTROS!$G$1261</f>
        <v>poup</v>
      </c>
      <c r="I1477" s="16" t="str">
        <f>CADASTROS!$H$1261</f>
        <v>1001294-5</v>
      </c>
      <c r="J1477" s="18">
        <f t="shared" si="63"/>
        <v>0</v>
      </c>
    </row>
    <row r="1478" spans="1:10" ht="15.75" x14ac:dyDescent="0.25">
      <c r="B1478" s="159"/>
      <c r="C1478" s="159"/>
      <c r="D1478" s="12">
        <f>SUM(D1433:D1477)</f>
        <v>677</v>
      </c>
      <c r="E1478" s="12"/>
      <c r="F1478" s="162"/>
      <c r="G1478" s="163"/>
      <c r="H1478" s="163"/>
      <c r="I1478" s="164"/>
      <c r="J1478" s="14">
        <f>SUM(J1433:J1477)</f>
        <v>4062</v>
      </c>
    </row>
    <row r="1480" spans="1:10" ht="15.75" x14ac:dyDescent="0.25">
      <c r="A1480" s="213" t="s">
        <v>4816</v>
      </c>
      <c r="B1480" s="213"/>
      <c r="C1480" s="213"/>
      <c r="D1480" s="213"/>
      <c r="E1480" s="213"/>
      <c r="F1480" s="213"/>
      <c r="G1480" s="213"/>
      <c r="H1480" s="213"/>
      <c r="I1480" s="213"/>
      <c r="J1480" s="213"/>
    </row>
    <row r="1481" spans="1:10" ht="16.5" thickBot="1" x14ac:dyDescent="0.3">
      <c r="A1481" s="214" t="s">
        <v>4843</v>
      </c>
      <c r="B1481" s="214"/>
      <c r="C1481" s="214"/>
      <c r="D1481" s="214"/>
      <c r="E1481" s="214"/>
      <c r="F1481" s="214"/>
      <c r="G1481" s="214"/>
      <c r="H1481" s="214"/>
      <c r="I1481" s="214"/>
      <c r="J1481" s="214"/>
    </row>
    <row r="1482" spans="1:10" ht="17.25" thickTop="1" thickBot="1" x14ac:dyDescent="0.3">
      <c r="A1482" s="215" t="s">
        <v>4844</v>
      </c>
      <c r="B1482" s="215"/>
      <c r="C1482" s="215"/>
      <c r="D1482" s="215"/>
      <c r="E1482" s="215"/>
      <c r="F1482" s="215"/>
      <c r="G1482" s="215"/>
      <c r="H1482" s="215"/>
      <c r="I1482" s="215"/>
      <c r="J1482" s="215"/>
    </row>
    <row r="1483" spans="1:10" ht="16.5" customHeight="1" x14ac:dyDescent="0.25">
      <c r="A1483" s="19" t="s">
        <v>4846</v>
      </c>
      <c r="B1483" s="216" t="s">
        <v>1</v>
      </c>
      <c r="C1483" s="216" t="s">
        <v>2</v>
      </c>
      <c r="D1483" s="160" t="s">
        <v>4847</v>
      </c>
      <c r="E1483" s="20" t="s">
        <v>4848</v>
      </c>
      <c r="F1483" s="157" t="s">
        <v>3</v>
      </c>
      <c r="G1483" s="157" t="s">
        <v>4</v>
      </c>
      <c r="H1483" s="157" t="s">
        <v>5</v>
      </c>
      <c r="I1483" s="157" t="s">
        <v>6</v>
      </c>
      <c r="J1483" s="218" t="s">
        <v>4849</v>
      </c>
    </row>
    <row r="1484" spans="1:10" ht="18" customHeight="1" thickBot="1" x14ac:dyDescent="0.3">
      <c r="A1484" s="21" t="s">
        <v>4850</v>
      </c>
      <c r="B1484" s="217"/>
      <c r="C1484" s="217"/>
      <c r="D1484" s="161"/>
      <c r="E1484" s="161" t="s">
        <v>4851</v>
      </c>
      <c r="F1484" s="158"/>
      <c r="G1484" s="158"/>
      <c r="H1484" s="158"/>
      <c r="I1484" s="158"/>
      <c r="J1484" s="219"/>
    </row>
    <row r="1485" spans="1:10" ht="15.75" x14ac:dyDescent="0.25">
      <c r="A1485" s="24">
        <f>CADASTROS!$B$1262</f>
        <v>1260</v>
      </c>
      <c r="B1485" s="15" t="str">
        <f>CADASTROS!$C$1262</f>
        <v>Joelma da Silva Pereira</v>
      </c>
      <c r="C1485" s="25"/>
      <c r="D1485" s="35">
        <f>PLANILHA_COLHEITA_DIÁRIA!$I$1933</f>
        <v>0</v>
      </c>
      <c r="E1485" s="17">
        <v>6</v>
      </c>
      <c r="F1485" s="26" t="str">
        <f>CADASTROS!$E$1262</f>
        <v>Cx. Econômica</v>
      </c>
      <c r="G1485" s="24">
        <f>CADASTROS!$F$1262</f>
        <v>4825</v>
      </c>
      <c r="H1485" s="26">
        <f>CADASTROS!$G$1262</f>
        <v>13</v>
      </c>
      <c r="I1485" s="16" t="str">
        <f>CADASTROS!$H$1262</f>
        <v>00021566-8</v>
      </c>
      <c r="J1485" s="18">
        <f t="shared" ref="J1485:J1494" si="64">D1485*E1485</f>
        <v>0</v>
      </c>
    </row>
    <row r="1486" spans="1:10" ht="15.75" x14ac:dyDescent="0.25">
      <c r="A1486" s="24">
        <f>CADASTROS!$B$1263</f>
        <v>1261</v>
      </c>
      <c r="B1486" s="15" t="str">
        <f>CADASTROS!$C$1263</f>
        <v>Erivalda Pereira Brito</v>
      </c>
      <c r="C1486" s="25"/>
      <c r="D1486" s="35">
        <f>PLANILHA_COLHEITA_DIÁRIA!$I$1934</f>
        <v>0</v>
      </c>
      <c r="E1486" s="17">
        <v>6</v>
      </c>
      <c r="F1486" s="26" t="str">
        <f>CADASTROS!$E$1263</f>
        <v>Cx. Econômica</v>
      </c>
      <c r="G1486" s="24">
        <f>CADASTROS!$F$1263</f>
        <v>780</v>
      </c>
      <c r="H1486" s="26">
        <f>CADASTROS!$G$1263</f>
        <v>23</v>
      </c>
      <c r="I1486" s="16" t="str">
        <f>CADASTROS!$H$1263</f>
        <v>00016714-3</v>
      </c>
      <c r="J1486" s="18">
        <f t="shared" si="64"/>
        <v>0</v>
      </c>
    </row>
    <row r="1487" spans="1:10" ht="15.75" x14ac:dyDescent="0.25">
      <c r="A1487" s="24">
        <f>CADASTROS!$B$1264</f>
        <v>1262</v>
      </c>
      <c r="B1487" s="15" t="str">
        <f>CADASTROS!$C$1264</f>
        <v>Antônio Alves dos Santos</v>
      </c>
      <c r="C1487" s="25"/>
      <c r="D1487" s="53">
        <f>PLANILHA_COLHEITA_DIÁRIA!$I$1935</f>
        <v>0</v>
      </c>
      <c r="E1487" s="17">
        <v>6</v>
      </c>
      <c r="F1487" s="26" t="str">
        <f>CADASTROS!$E$1264</f>
        <v>Cx. Econômica</v>
      </c>
      <c r="G1487" s="24">
        <f>CADASTROS!$F$1264</f>
        <v>780</v>
      </c>
      <c r="H1487" s="26">
        <f>CADASTROS!$G$1264</f>
        <v>0</v>
      </c>
      <c r="I1487" s="16" t="str">
        <f>CADASTROS!$H$1264</f>
        <v>000837229775-2</v>
      </c>
      <c r="J1487" s="18">
        <f t="shared" si="64"/>
        <v>0</v>
      </c>
    </row>
    <row r="1488" spans="1:10" ht="15.75" x14ac:dyDescent="0.25">
      <c r="A1488" s="24">
        <f>CADASTROS!$B$1265</f>
        <v>1263</v>
      </c>
      <c r="B1488" s="15" t="str">
        <f>CADASTROS!$C$1265</f>
        <v>Rubia Oliveira Santos</v>
      </c>
      <c r="C1488" s="25"/>
      <c r="D1488" s="35">
        <f>PLANILHA_COLHEITA_DIÁRIA!$I$1936</f>
        <v>61.5</v>
      </c>
      <c r="E1488" s="17">
        <v>6</v>
      </c>
      <c r="F1488" s="26" t="str">
        <f>CADASTROS!$E$1265</f>
        <v>Bradesco</v>
      </c>
      <c r="G1488" s="24" t="str">
        <f>CADASTROS!$F$1265</f>
        <v>3806-1</v>
      </c>
      <c r="H1488" s="26" t="str">
        <f>CADASTROS!$G$1265</f>
        <v>poup</v>
      </c>
      <c r="I1488" s="16" t="str">
        <f>CADASTROS!$H$1265</f>
        <v>0001745-0</v>
      </c>
      <c r="J1488" s="18">
        <f t="shared" si="64"/>
        <v>369</v>
      </c>
    </row>
    <row r="1489" spans="1:10" ht="15.75" x14ac:dyDescent="0.25">
      <c r="A1489" s="24">
        <f>CADASTROS!$B$1266</f>
        <v>1264</v>
      </c>
      <c r="B1489" s="15" t="str">
        <f>CADASTROS!$C$1266</f>
        <v>José Carlos Ferreira</v>
      </c>
      <c r="C1489" s="25"/>
      <c r="D1489" s="35">
        <f>PLANILHA_COLHEITA_DIÁRIA!$I$1948</f>
        <v>0</v>
      </c>
      <c r="E1489" s="17">
        <v>6</v>
      </c>
      <c r="F1489" s="26" t="str">
        <f>CADASTROS!$E$1266</f>
        <v>Bradesco</v>
      </c>
      <c r="G1489" s="24" t="str">
        <f>CADASTROS!$F$1266</f>
        <v>3616-1</v>
      </c>
      <c r="H1489" s="26" t="str">
        <f>CADASTROS!$G$1266</f>
        <v>poup</v>
      </c>
      <c r="I1489" s="16" t="str">
        <f>CADASTROS!$H$1266</f>
        <v>1000703-8</v>
      </c>
      <c r="J1489" s="18">
        <f t="shared" si="64"/>
        <v>0</v>
      </c>
    </row>
    <row r="1490" spans="1:10" ht="15.75" x14ac:dyDescent="0.25">
      <c r="A1490" s="24">
        <f>CADASTROS!$B$1267</f>
        <v>1265</v>
      </c>
      <c r="B1490" s="15" t="str">
        <f>CADASTROS!$C$1267</f>
        <v>Emerson Alves de Jesus</v>
      </c>
      <c r="C1490" s="25"/>
      <c r="D1490" s="35">
        <f>PLANILHA_COLHEITA_DIÁRIA!$I$1949</f>
        <v>0</v>
      </c>
      <c r="E1490" s="17">
        <v>6</v>
      </c>
      <c r="F1490" s="26" t="str">
        <f>CADASTROS!$E$1267</f>
        <v>Cx. Econômica</v>
      </c>
      <c r="G1490" s="24">
        <f>CADASTROS!$F$1267</f>
        <v>3458</v>
      </c>
      <c r="H1490" s="26">
        <f>CADASTROS!$G$1267</f>
        <v>13</v>
      </c>
      <c r="I1490" s="16" t="str">
        <f>CADASTROS!$H$1267</f>
        <v>00007374-2</v>
      </c>
      <c r="J1490" s="18">
        <f t="shared" si="64"/>
        <v>0</v>
      </c>
    </row>
    <row r="1491" spans="1:10" ht="15.75" x14ac:dyDescent="0.25">
      <c r="A1491" s="24">
        <f>CADASTROS!$B$1268</f>
        <v>1266</v>
      </c>
      <c r="B1491" s="15" t="str">
        <f>CADASTROS!$C$1268</f>
        <v>Mônica Viana Anjos</v>
      </c>
      <c r="C1491" s="25"/>
      <c r="D1491" s="35">
        <f>PLANILHA_COLHEITA_DIÁRIA!$I$1950</f>
        <v>0</v>
      </c>
      <c r="E1491" s="17">
        <v>6</v>
      </c>
      <c r="F1491" s="26" t="str">
        <f>CADASTROS!$E$1268</f>
        <v>Banco do Brasil</v>
      </c>
      <c r="G1491" s="24" t="str">
        <f>CADASTROS!$F$1268</f>
        <v>2760-X</v>
      </c>
      <c r="H1491" s="26" t="str">
        <f>CADASTROS!$G$1268</f>
        <v>poup</v>
      </c>
      <c r="I1491" s="16" t="str">
        <f>CADASTROS!$H$1268</f>
        <v>18.433-0</v>
      </c>
      <c r="J1491" s="18">
        <f t="shared" si="64"/>
        <v>0</v>
      </c>
    </row>
    <row r="1492" spans="1:10" ht="15.75" x14ac:dyDescent="0.25">
      <c r="A1492" s="24">
        <f>CADASTROS!$B$1269</f>
        <v>1267</v>
      </c>
      <c r="B1492" s="15" t="str">
        <f>CADASTROS!$C$1269</f>
        <v>Leandro de Andrade Souza</v>
      </c>
      <c r="C1492" s="25"/>
      <c r="D1492" s="53">
        <f>PLANILHA_COLHEITA_DIÁRIA!$I$1951</f>
        <v>0</v>
      </c>
      <c r="E1492" s="17">
        <v>6</v>
      </c>
      <c r="F1492" s="26" t="str">
        <f>CADASTROS!$E$1269</f>
        <v>Cx. Econômica</v>
      </c>
      <c r="G1492" s="24">
        <f>CADASTROS!$F$1269</f>
        <v>4825</v>
      </c>
      <c r="H1492" s="26">
        <f>CADASTROS!$G$1269</f>
        <v>13</v>
      </c>
      <c r="I1492" s="16" t="str">
        <f>CADASTROS!$H$1269</f>
        <v>00000398-9</v>
      </c>
      <c r="J1492" s="18">
        <f t="shared" si="64"/>
        <v>0</v>
      </c>
    </row>
    <row r="1493" spans="1:10" ht="15.75" x14ac:dyDescent="0.25">
      <c r="A1493" s="24">
        <f>CADASTROS!$B$1270</f>
        <v>1268</v>
      </c>
      <c r="B1493" s="15" t="str">
        <f>CADASTROS!$C$1270</f>
        <v>Nilton Rodrigues Pires</v>
      </c>
      <c r="C1493" s="25"/>
      <c r="D1493" s="42">
        <f>PLANILHA_COLHEITA_DIÁRIA!$I$1952</f>
        <v>57</v>
      </c>
      <c r="E1493" s="17">
        <v>6</v>
      </c>
      <c r="F1493" s="26" t="str">
        <f>CADASTROS!$E$1270</f>
        <v>Cx. Econômica</v>
      </c>
      <c r="G1493" s="24">
        <f>CADASTROS!$F$1270</f>
        <v>4825</v>
      </c>
      <c r="H1493" s="26">
        <f>CADASTROS!$G$1270</f>
        <v>13</v>
      </c>
      <c r="I1493" s="16" t="str">
        <f>CADASTROS!$H$1270</f>
        <v>00023824-2</v>
      </c>
      <c r="J1493" s="18">
        <f t="shared" si="64"/>
        <v>342</v>
      </c>
    </row>
    <row r="1494" spans="1:10" ht="15.75" x14ac:dyDescent="0.25">
      <c r="A1494" s="24">
        <f>CADASTROS!$B$1271</f>
        <v>1269</v>
      </c>
      <c r="B1494" s="15" t="str">
        <f>CADASTROS!$C$1271</f>
        <v>Joane Jesus dos Santos</v>
      </c>
      <c r="C1494" s="25"/>
      <c r="D1494" s="42">
        <f>PLANILHA_COLHEITA_DIÁRIA!$I$1953</f>
        <v>0</v>
      </c>
      <c r="E1494" s="17">
        <v>6</v>
      </c>
      <c r="F1494" s="26" t="str">
        <f>CADASTROS!$E$1271</f>
        <v>Bradesco</v>
      </c>
      <c r="G1494" s="24">
        <f>CADASTROS!$F$1271</f>
        <v>3858</v>
      </c>
      <c r="H1494" s="26" t="str">
        <f>CADASTROS!$G$1271</f>
        <v>poup</v>
      </c>
      <c r="I1494" s="16" t="str">
        <f>CADASTROS!$H$1271</f>
        <v>0234023-2</v>
      </c>
      <c r="J1494" s="18">
        <f t="shared" si="64"/>
        <v>0</v>
      </c>
    </row>
    <row r="1495" spans="1:10" ht="15.75" x14ac:dyDescent="0.25">
      <c r="A1495" s="24">
        <f>CADASTROS!$B$1272</f>
        <v>1270</v>
      </c>
      <c r="B1495" s="15" t="str">
        <f>CADASTROS!$C$1272</f>
        <v>Romário Nascimento Santos</v>
      </c>
      <c r="C1495" s="25"/>
      <c r="D1495" s="35">
        <f>PLANILHA_COLHEITA_DIÁRIA!$I$1954</f>
        <v>0</v>
      </c>
      <c r="E1495" s="17">
        <v>6</v>
      </c>
      <c r="F1495" s="26" t="str">
        <f>CADASTROS!$E$1272</f>
        <v>Cx. Econômica</v>
      </c>
      <c r="G1495" s="24">
        <f>CADASTROS!$F$1272</f>
        <v>4825</v>
      </c>
      <c r="H1495" s="26">
        <f>CADASTROS!$G$1272</f>
        <v>13</v>
      </c>
      <c r="I1495" s="16" t="str">
        <f>CADASTROS!$H$1272</f>
        <v>00005082-0</v>
      </c>
      <c r="J1495" s="18">
        <f>D1495*E1495</f>
        <v>0</v>
      </c>
    </row>
    <row r="1496" spans="1:10" ht="15.75" x14ac:dyDescent="0.25">
      <c r="A1496" s="24">
        <f>CADASTROS!$B$1273</f>
        <v>1271</v>
      </c>
      <c r="B1496" s="15" t="str">
        <f>CADASTROS!$C$1273</f>
        <v>Adão Xavier de Souza</v>
      </c>
      <c r="C1496" s="25"/>
      <c r="D1496" s="42">
        <f>PLANILHA_COLHEITA_DIÁRIA!$I$1955</f>
        <v>45.5</v>
      </c>
      <c r="E1496" s="17">
        <v>6</v>
      </c>
      <c r="F1496" s="26" t="str">
        <f>CADASTROS!$E$1273</f>
        <v>Cx. Econômica</v>
      </c>
      <c r="G1496" s="24">
        <f>CADASTROS!$F$1273</f>
        <v>780</v>
      </c>
      <c r="H1496" s="26">
        <f>CADASTROS!$G$1273</f>
        <v>13</v>
      </c>
      <c r="I1496" s="16" t="str">
        <f>CADASTROS!$H$1273</f>
        <v>00046718-2</v>
      </c>
      <c r="J1496" s="18">
        <f t="shared" ref="J1496" si="65">D1496*E1496</f>
        <v>273</v>
      </c>
    </row>
    <row r="1497" spans="1:10" ht="15.75" x14ac:dyDescent="0.25">
      <c r="A1497" s="24">
        <f>CADASTROS!$B$1274</f>
        <v>1272</v>
      </c>
      <c r="B1497" s="15" t="str">
        <f>CADASTROS!$C$1274</f>
        <v>Erenilza de Jesus Oliveira</v>
      </c>
      <c r="C1497" s="25"/>
      <c r="D1497" s="35">
        <f>PLANILHA_COLHEITA_DIÁRIA!$I$1956</f>
        <v>0</v>
      </c>
      <c r="E1497" s="17">
        <v>6</v>
      </c>
      <c r="F1497" s="26" t="str">
        <f>CADASTROS!$E$1274</f>
        <v>Cx. Econômica</v>
      </c>
      <c r="G1497" s="24">
        <f>CADASTROS!$F$1274</f>
        <v>4601</v>
      </c>
      <c r="H1497" s="26">
        <f>CADASTROS!$G$1274</f>
        <v>13</v>
      </c>
      <c r="I1497" s="16" t="str">
        <f>CADASTROS!$H$1274</f>
        <v>00010110-9</v>
      </c>
      <c r="J1497" s="18">
        <f>D1497*E1497</f>
        <v>0</v>
      </c>
    </row>
    <row r="1498" spans="1:10" ht="15.75" x14ac:dyDescent="0.25">
      <c r="A1498" s="24">
        <f>CADASTROS!$B$1275</f>
        <v>1273</v>
      </c>
      <c r="B1498" s="15" t="str">
        <f>CADASTROS!$C$1275</f>
        <v>Maria Amoza P. de Jesus</v>
      </c>
      <c r="C1498" s="25"/>
      <c r="D1498" s="35">
        <f>PLANILHA_COLHEITA_DIÁRIA!$I$1957</f>
        <v>0</v>
      </c>
      <c r="E1498" s="17">
        <v>6</v>
      </c>
      <c r="F1498" s="26" t="str">
        <f>CADASTROS!$E$1275</f>
        <v>Cx. Econômica</v>
      </c>
      <c r="G1498" s="24">
        <f>CADASTROS!$F$1275</f>
        <v>4825</v>
      </c>
      <c r="H1498" s="26">
        <f>CADASTROS!$G$1275</f>
        <v>13</v>
      </c>
      <c r="I1498" s="16" t="str">
        <f>CADASTROS!$H$1275</f>
        <v>00019125-4</v>
      </c>
      <c r="J1498" s="18">
        <f t="shared" ref="J1498:J1503" si="66">D1498*E1498</f>
        <v>0</v>
      </c>
    </row>
    <row r="1499" spans="1:10" ht="15.75" x14ac:dyDescent="0.25">
      <c r="A1499" s="24">
        <f>CADASTROS!$B$1276</f>
        <v>1274</v>
      </c>
      <c r="B1499" s="15" t="str">
        <f>CADASTROS!$C$1276</f>
        <v>Gildevan Mendes de Morais</v>
      </c>
      <c r="C1499" s="25"/>
      <c r="D1499" s="35">
        <f>PLANILHA_COLHEITA_DIÁRIA!$I$1958</f>
        <v>0</v>
      </c>
      <c r="E1499" s="17">
        <v>6</v>
      </c>
      <c r="F1499" s="26" t="str">
        <f>CADASTROS!$E$1276</f>
        <v>Cx. Econômica</v>
      </c>
      <c r="G1499" s="24">
        <f>CADASTROS!$F$1276</f>
        <v>4222</v>
      </c>
      <c r="H1499" s="26">
        <f>CADASTROS!$G$1276</f>
        <v>13</v>
      </c>
      <c r="I1499" s="16" t="str">
        <f>CADASTROS!$H$1276</f>
        <v>00004113-0</v>
      </c>
      <c r="J1499" s="18">
        <f t="shared" si="66"/>
        <v>0</v>
      </c>
    </row>
    <row r="1500" spans="1:10" ht="15.75" x14ac:dyDescent="0.25">
      <c r="A1500" s="24">
        <f>CADASTROS!$B$1277</f>
        <v>1275</v>
      </c>
      <c r="B1500" s="15" t="str">
        <f>CADASTROS!$C$1277</f>
        <v>Alessandro S dos Santos</v>
      </c>
      <c r="C1500" s="25"/>
      <c r="D1500" s="35">
        <f>PLANILHA_COLHEITA_DIÁRIA!$I$1959</f>
        <v>0</v>
      </c>
      <c r="E1500" s="17">
        <v>6</v>
      </c>
      <c r="F1500" s="26" t="str">
        <f>CADASTROS!$E$1277</f>
        <v>Bradesco</v>
      </c>
      <c r="G1500" s="24" t="str">
        <f>CADASTROS!$F$1277</f>
        <v>3616-1</v>
      </c>
      <c r="H1500" s="26" t="str">
        <f>CADASTROS!$G$1277</f>
        <v>poup</v>
      </c>
      <c r="I1500" s="16" t="str">
        <f>CADASTROS!$H$1277</f>
        <v>0008183-3</v>
      </c>
      <c r="J1500" s="18">
        <f t="shared" si="66"/>
        <v>0</v>
      </c>
    </row>
    <row r="1501" spans="1:10" ht="15.75" x14ac:dyDescent="0.25">
      <c r="A1501" s="24">
        <f>CADASTROS!$B$1278</f>
        <v>1276</v>
      </c>
      <c r="B1501" s="15" t="str">
        <f>CADASTROS!$C$1278</f>
        <v>Paulo Augusto de Souza</v>
      </c>
      <c r="C1501" s="25"/>
      <c r="D1501" s="35">
        <f>PLANILHA_COLHEITA_DIÁRIA!$I$1960</f>
        <v>0</v>
      </c>
      <c r="E1501" s="17">
        <v>6</v>
      </c>
      <c r="F1501" s="26" t="str">
        <f>CADASTROS!$E$1278</f>
        <v>Bradesco</v>
      </c>
      <c r="G1501" s="24" t="str">
        <f>CADASTROS!$F$1278</f>
        <v>3801-6</v>
      </c>
      <c r="H1501" s="26" t="str">
        <f>CADASTROS!$G$1278</f>
        <v>poup</v>
      </c>
      <c r="I1501" s="16" t="str">
        <f>CADASTROS!$H$1278</f>
        <v>0523701-7</v>
      </c>
      <c r="J1501" s="18">
        <f t="shared" si="66"/>
        <v>0</v>
      </c>
    </row>
    <row r="1502" spans="1:10" ht="15.75" x14ac:dyDescent="0.25">
      <c r="A1502" s="24">
        <f>CADASTROS!$B$1279</f>
        <v>1277</v>
      </c>
      <c r="B1502" s="15" t="str">
        <f>CADASTROS!$C$1279</f>
        <v>Paulo Sérgio de Jesus Cruz</v>
      </c>
      <c r="C1502" s="25"/>
      <c r="D1502" s="35">
        <f>PLANILHA_COLHEITA_DIÁRIA!$I$1961</f>
        <v>0</v>
      </c>
      <c r="E1502" s="17">
        <v>6</v>
      </c>
      <c r="F1502" s="26" t="str">
        <f>CADASTROS!$E$1279</f>
        <v>Cx. Econômica</v>
      </c>
      <c r="G1502" s="24">
        <f>CADASTROS!$F$1279</f>
        <v>4825</v>
      </c>
      <c r="H1502" s="26">
        <f>CADASTROS!$G$1279</f>
        <v>0</v>
      </c>
      <c r="I1502" s="16" t="str">
        <f>CADASTROS!$H$1279</f>
        <v>000871261645-0</v>
      </c>
      <c r="J1502" s="18">
        <f t="shared" si="66"/>
        <v>0</v>
      </c>
    </row>
    <row r="1503" spans="1:10" ht="15.75" x14ac:dyDescent="0.25">
      <c r="A1503" s="24">
        <f>CADASTROS!$B$1280</f>
        <v>1278</v>
      </c>
      <c r="B1503" s="15" t="str">
        <f>CADASTROS!$C$1280</f>
        <v>Gilvania de Jesus Brito</v>
      </c>
      <c r="C1503" s="25"/>
      <c r="D1503" s="35">
        <f>PLANILHA_COLHEITA_DIÁRIA!$I$1962</f>
        <v>0</v>
      </c>
      <c r="E1503" s="17">
        <v>6</v>
      </c>
      <c r="F1503" s="26" t="str">
        <f>CADASTROS!$E$1280</f>
        <v>Cx. Econômica</v>
      </c>
      <c r="G1503" s="24">
        <f>CADASTROS!$F$1280</f>
        <v>4825</v>
      </c>
      <c r="H1503" s="26">
        <f>CADASTROS!$G$1280</f>
        <v>13</v>
      </c>
      <c r="I1503" s="16" t="str">
        <f>CADASTROS!$H$1280</f>
        <v>00005179-7</v>
      </c>
      <c r="J1503" s="18">
        <f t="shared" si="66"/>
        <v>0</v>
      </c>
    </row>
    <row r="1504" spans="1:10" ht="15.75" x14ac:dyDescent="0.25">
      <c r="A1504" s="24">
        <f>CADASTROS!$B$1281</f>
        <v>1279</v>
      </c>
      <c r="B1504" s="15" t="str">
        <f>CADASTROS!$C$1281</f>
        <v>Sacha Bispo da Silva</v>
      </c>
      <c r="C1504" s="25"/>
      <c r="D1504" s="35">
        <f>PLANILHA_COLHEITA_DIÁRIA!$I$1963</f>
        <v>0</v>
      </c>
      <c r="E1504" s="17">
        <v>6</v>
      </c>
      <c r="F1504" s="26" t="str">
        <f>CADASTROS!$E$1281</f>
        <v>Cx. Econômica</v>
      </c>
      <c r="G1504" s="24">
        <f>CADASTROS!$F$1281</f>
        <v>2734</v>
      </c>
      <c r="H1504" s="26">
        <f>CADASTROS!$G$1281</f>
        <v>23</v>
      </c>
      <c r="I1504" s="16" t="str">
        <f>CADASTROS!$H$1281</f>
        <v>00004756-8</v>
      </c>
      <c r="J1504" s="18">
        <f t="shared" ref="J1504:J1505" si="67">D1504*E1504</f>
        <v>0</v>
      </c>
    </row>
    <row r="1505" spans="1:10" ht="15.75" x14ac:dyDescent="0.25">
      <c r="A1505" s="24">
        <f>CADASTROS!$B$1282</f>
        <v>1280</v>
      </c>
      <c r="B1505" s="15" t="str">
        <f>CADASTROS!$C$1282</f>
        <v>Marinalva F Evangelista</v>
      </c>
      <c r="C1505" s="25"/>
      <c r="D1505" s="35">
        <f>PLANILHA_COLHEITA_DIÁRIA!$I$1964</f>
        <v>0</v>
      </c>
      <c r="E1505" s="17">
        <v>6</v>
      </c>
      <c r="F1505" s="26" t="str">
        <f>CADASTROS!$E$1282</f>
        <v>Bradesco</v>
      </c>
      <c r="G1505" s="24" t="str">
        <f>CADASTROS!$F$1282</f>
        <v>3616-1</v>
      </c>
      <c r="H1505" s="26" t="str">
        <f>CADASTROS!$G$1282</f>
        <v>poup</v>
      </c>
      <c r="I1505" s="16" t="str">
        <f>CADASTROS!$H$1282</f>
        <v>0004921-2</v>
      </c>
      <c r="J1505" s="18">
        <f t="shared" si="67"/>
        <v>0</v>
      </c>
    </row>
    <row r="1506" spans="1:10" ht="15.75" x14ac:dyDescent="0.25">
      <c r="A1506" s="24">
        <f>CADASTROS!$B$1283</f>
        <v>1281</v>
      </c>
      <c r="B1506" s="15" t="str">
        <f>CADASTROS!$C$1283</f>
        <v>Livia Ferreira Martins</v>
      </c>
      <c r="C1506" s="25"/>
      <c r="D1506" s="35">
        <f>PLANILHA_COLHEITA_DIÁRIA!$I$1965</f>
        <v>0</v>
      </c>
      <c r="E1506" s="17">
        <v>6</v>
      </c>
      <c r="F1506" s="26" t="str">
        <f>CADASTROS!$E$1283</f>
        <v>Cx. Econômica</v>
      </c>
      <c r="G1506" s="24">
        <f>CADASTROS!$F$1283</f>
        <v>949</v>
      </c>
      <c r="H1506" s="26">
        <f>CADASTROS!$G$1283</f>
        <v>13</v>
      </c>
      <c r="I1506" s="16" t="str">
        <f>CADASTROS!$H$1283</f>
        <v>00036986-3</v>
      </c>
      <c r="J1506" s="18">
        <f t="shared" ref="J1506:J1507" si="68">D1506*E1506</f>
        <v>0</v>
      </c>
    </row>
    <row r="1507" spans="1:10" ht="15.75" x14ac:dyDescent="0.25">
      <c r="A1507" s="24">
        <f>CADASTROS!$B$1284</f>
        <v>1282</v>
      </c>
      <c r="B1507" s="15" t="str">
        <f>CADASTROS!$C$1284</f>
        <v>Morivaldo Oliveira Bispo</v>
      </c>
      <c r="C1507" s="25"/>
      <c r="D1507" s="35">
        <f>PLANILHA_COLHEITA_DIÁRIA!$I$1966</f>
        <v>0</v>
      </c>
      <c r="E1507" s="17">
        <v>6</v>
      </c>
      <c r="F1507" s="26" t="str">
        <f>CADASTROS!$E$1284</f>
        <v>Cx. Econômica</v>
      </c>
      <c r="G1507" s="24">
        <f>CADASTROS!$F$1284</f>
        <v>1254</v>
      </c>
      <c r="H1507" s="26">
        <f>CADASTROS!$G$1284</f>
        <v>13</v>
      </c>
      <c r="I1507" s="16" t="str">
        <f>CADASTROS!$H$1284</f>
        <v>00030159-7</v>
      </c>
      <c r="J1507" s="18">
        <f t="shared" si="68"/>
        <v>0</v>
      </c>
    </row>
    <row r="1508" spans="1:10" ht="15.75" x14ac:dyDescent="0.25">
      <c r="A1508" s="24">
        <f>CADASTROS!$B$1285</f>
        <v>1283</v>
      </c>
      <c r="B1508" s="15" t="str">
        <f>CADASTROS!$C$1285</f>
        <v>Edineia Martins da Silva</v>
      </c>
      <c r="C1508" s="25"/>
      <c r="D1508" s="35">
        <f>PLANILHA_COLHEITA_DIÁRIA!$I$1967</f>
        <v>0</v>
      </c>
      <c r="E1508" s="17">
        <v>6</v>
      </c>
      <c r="F1508" s="26" t="str">
        <f>CADASTROS!$E$1285</f>
        <v>Cx. Econômica</v>
      </c>
      <c r="G1508" s="24">
        <f>CADASTROS!$F$1285</f>
        <v>949</v>
      </c>
      <c r="H1508" s="26">
        <f>CADASTROS!$G$1285</f>
        <v>23</v>
      </c>
      <c r="I1508" s="16" t="str">
        <f>CADASTROS!$H$1285</f>
        <v>00027835-0</v>
      </c>
      <c r="J1508" s="18">
        <f t="shared" ref="J1508" si="69">D1508*E1508</f>
        <v>0</v>
      </c>
    </row>
    <row r="1509" spans="1:10" ht="15.75" x14ac:dyDescent="0.25">
      <c r="A1509" s="24">
        <f>CADASTROS!$B$1286</f>
        <v>1284</v>
      </c>
      <c r="B1509" s="15" t="str">
        <f>CADASTROS!$C$1286</f>
        <v>Danilo Teles Marciel</v>
      </c>
      <c r="C1509" s="25"/>
      <c r="D1509" s="35">
        <f>PLANILHA_COLHEITA_DIÁRIA!$I$1968</f>
        <v>27</v>
      </c>
      <c r="E1509" s="17">
        <v>6</v>
      </c>
      <c r="F1509" s="26" t="str">
        <f>CADASTROS!$E$1286</f>
        <v>Bradesco</v>
      </c>
      <c r="G1509" s="24" t="str">
        <f>CADASTROS!$F$1286</f>
        <v>3801-6</v>
      </c>
      <c r="H1509" s="26" t="str">
        <f>CADASTROS!$G$1286</f>
        <v>poup</v>
      </c>
      <c r="I1509" s="16" t="str">
        <f>CADASTROS!$H$1286</f>
        <v>0003888-1</v>
      </c>
      <c r="J1509" s="18">
        <f t="shared" ref="J1509:J1529" si="70">D1509*E1509</f>
        <v>162</v>
      </c>
    </row>
    <row r="1510" spans="1:10" ht="15.75" x14ac:dyDescent="0.25">
      <c r="A1510" s="24">
        <f>CADASTROS!$B$1287</f>
        <v>1285</v>
      </c>
      <c r="B1510" s="15" t="str">
        <f>CADASTROS!$C$1287</f>
        <v>Camila Santos Lima</v>
      </c>
      <c r="C1510" s="25"/>
      <c r="D1510" s="42">
        <f>PLANILHA_COLHEITA_DIÁRIA!$I$1969</f>
        <v>0</v>
      </c>
      <c r="E1510" s="17">
        <v>6</v>
      </c>
      <c r="F1510" s="26" t="str">
        <f>CADASTROS!$E$1287</f>
        <v>Bradesco</v>
      </c>
      <c r="G1510" s="24" t="str">
        <f>CADASTROS!$F$1287</f>
        <v>3801-6</v>
      </c>
      <c r="H1510" s="26" t="str">
        <f>CADASTROS!$G$1287</f>
        <v>poup</v>
      </c>
      <c r="I1510" s="16" t="str">
        <f>CADASTROS!$H$1287</f>
        <v>0003614-5</v>
      </c>
      <c r="J1510" s="18">
        <f t="shared" si="70"/>
        <v>0</v>
      </c>
    </row>
    <row r="1511" spans="1:10" ht="15.75" x14ac:dyDescent="0.25">
      <c r="A1511" s="24">
        <f>CADASTROS!$B$1288</f>
        <v>1286</v>
      </c>
      <c r="B1511" s="15" t="str">
        <f>CADASTROS!$C$1288</f>
        <v>Silvania da Silva Santos</v>
      </c>
      <c r="C1511" s="25"/>
      <c r="D1511" s="35">
        <f>PLANILHA_COLHEITA_DIÁRIA!$I$1970</f>
        <v>0</v>
      </c>
      <c r="E1511" s="17">
        <v>6</v>
      </c>
      <c r="F1511" s="26" t="str">
        <f>CADASTROS!$E$1288</f>
        <v>Bradesco</v>
      </c>
      <c r="G1511" s="24" t="str">
        <f>CADASTROS!$F$1288</f>
        <v>3801-6</v>
      </c>
      <c r="H1511" s="26" t="str">
        <f>CADASTROS!$G$1288</f>
        <v>poup</v>
      </c>
      <c r="I1511" s="16" t="str">
        <f>CADASTROS!$H$1288</f>
        <v>0003393-6</v>
      </c>
      <c r="J1511" s="18">
        <f t="shared" si="70"/>
        <v>0</v>
      </c>
    </row>
    <row r="1512" spans="1:10" ht="15.75" x14ac:dyDescent="0.25">
      <c r="A1512" s="24">
        <f>CADASTROS!$B$1289</f>
        <v>1287</v>
      </c>
      <c r="B1512" s="15" t="str">
        <f>CADASTROS!$C$1289</f>
        <v>Erionice Jesus da Silva</v>
      </c>
      <c r="C1512" s="25"/>
      <c r="D1512" s="35">
        <f>PLANILHA_COLHEITA_DIÁRIA!$I$1971</f>
        <v>0</v>
      </c>
      <c r="E1512" s="17">
        <v>6</v>
      </c>
      <c r="F1512" s="26" t="str">
        <f>CADASTROS!$E$1289</f>
        <v>Cx. Econômica</v>
      </c>
      <c r="G1512" s="24">
        <f>CADASTROS!$F$1289</f>
        <v>4825</v>
      </c>
      <c r="H1512" s="26">
        <f>CADASTROS!$G$1289</f>
        <v>13</v>
      </c>
      <c r="I1512" s="16" t="str">
        <f>CADASTROS!$H$1289</f>
        <v>00003460-4</v>
      </c>
      <c r="J1512" s="18">
        <f t="shared" si="70"/>
        <v>0</v>
      </c>
    </row>
    <row r="1513" spans="1:10" ht="15.75" x14ac:dyDescent="0.25">
      <c r="A1513" s="24">
        <f>CADASTROS!$B$1290</f>
        <v>1288</v>
      </c>
      <c r="B1513" s="15" t="str">
        <f>CADASTROS!$C$1290</f>
        <v>Luzia Santos da Silva</v>
      </c>
      <c r="C1513" s="25"/>
      <c r="D1513" s="35">
        <f>PLANILHA_COLHEITA_DIÁRIA!$I$1972</f>
        <v>0</v>
      </c>
      <c r="E1513" s="17">
        <v>6</v>
      </c>
      <c r="F1513" s="26" t="str">
        <f>CADASTROS!$E$1290</f>
        <v>Bradesco</v>
      </c>
      <c r="G1513" s="24" t="str">
        <f>CADASTROS!$F$1290</f>
        <v>3801-6</v>
      </c>
      <c r="H1513" s="26" t="str">
        <f>CADASTROS!$G$1290</f>
        <v>poup</v>
      </c>
      <c r="I1513" s="16" t="str">
        <f>CADASTROS!$H$1290</f>
        <v>0003635-8</v>
      </c>
      <c r="J1513" s="18">
        <f t="shared" si="70"/>
        <v>0</v>
      </c>
    </row>
    <row r="1514" spans="1:10" ht="15.75" x14ac:dyDescent="0.25">
      <c r="A1514" s="24">
        <f>CADASTROS!$B$1291</f>
        <v>1289</v>
      </c>
      <c r="B1514" s="15" t="str">
        <f>CADASTROS!$C$1291</f>
        <v>João Francisco da Silva</v>
      </c>
      <c r="C1514" s="25"/>
      <c r="D1514" s="35">
        <f>PLANILHA_COLHEITA_DIÁRIA!$I$1973</f>
        <v>0</v>
      </c>
      <c r="E1514" s="17">
        <v>6</v>
      </c>
      <c r="F1514" s="26" t="str">
        <f>CADASTROS!$E$1291</f>
        <v>Bradesco</v>
      </c>
      <c r="G1514" s="24" t="str">
        <f>CADASTROS!$F$1291</f>
        <v>3801-6</v>
      </c>
      <c r="H1514" s="26" t="str">
        <f>CADASTROS!$G$1291</f>
        <v>poup</v>
      </c>
      <c r="I1514" s="16" t="str">
        <f>CADASTROS!$H$1291</f>
        <v>0064321-1</v>
      </c>
      <c r="J1514" s="18">
        <f t="shared" si="70"/>
        <v>0</v>
      </c>
    </row>
    <row r="1515" spans="1:10" ht="15.75" x14ac:dyDescent="0.25">
      <c r="A1515" s="24">
        <f>CADASTROS!$B$1292</f>
        <v>1290</v>
      </c>
      <c r="B1515" s="15" t="str">
        <f>CADASTROS!$C$1292</f>
        <v>Gilvandia Silva Alves</v>
      </c>
      <c r="C1515" s="25"/>
      <c r="D1515" s="35">
        <f>PLANILHA_COLHEITA_DIÁRIA!$I$1974</f>
        <v>0</v>
      </c>
      <c r="E1515" s="17">
        <v>6</v>
      </c>
      <c r="F1515" s="26" t="str">
        <f>CADASTROS!$E$1292</f>
        <v>Bradesco</v>
      </c>
      <c r="G1515" s="24" t="str">
        <f>CADASTROS!$F$1292</f>
        <v>3801-6</v>
      </c>
      <c r="H1515" s="26" t="str">
        <f>CADASTROS!$G$1292</f>
        <v>poup</v>
      </c>
      <c r="I1515" s="16" t="str">
        <f>CADASTROS!$H$1292</f>
        <v>0350253-8</v>
      </c>
      <c r="J1515" s="18">
        <f t="shared" si="70"/>
        <v>0</v>
      </c>
    </row>
    <row r="1516" spans="1:10" ht="15.75" x14ac:dyDescent="0.25">
      <c r="A1516" s="24">
        <f>CADASTROS!$B$1293</f>
        <v>1291</v>
      </c>
      <c r="B1516" s="15" t="str">
        <f>CADASTROS!$C$1293</f>
        <v>Gilson da Silva Pereira</v>
      </c>
      <c r="C1516" s="25"/>
      <c r="D1516" s="42">
        <f>PLANILHA_COLHEITA_DIÁRIA!$I$1986</f>
        <v>0</v>
      </c>
      <c r="E1516" s="17">
        <v>6</v>
      </c>
      <c r="F1516" s="26" t="str">
        <f>CADASTROS!$E$1293</f>
        <v>Cx. Econômica</v>
      </c>
      <c r="G1516" s="24">
        <f>CADASTROS!$F$1293</f>
        <v>128</v>
      </c>
      <c r="H1516" s="26">
        <f>CADASTROS!$G$1293</f>
        <v>13</v>
      </c>
      <c r="I1516" s="16" t="str">
        <f>CADASTROS!$H$1293</f>
        <v>00006961-0</v>
      </c>
      <c r="J1516" s="18">
        <f t="shared" si="70"/>
        <v>0</v>
      </c>
    </row>
    <row r="1517" spans="1:10" ht="15.75" x14ac:dyDescent="0.25">
      <c r="A1517" s="24">
        <f>CADASTROS!$B$1294</f>
        <v>1292</v>
      </c>
      <c r="B1517" s="15" t="str">
        <f>CADASTROS!$C$1294</f>
        <v>Reinilson Oliveira Souza</v>
      </c>
      <c r="C1517" s="25"/>
      <c r="D1517" s="35">
        <f>PLANILHA_COLHEITA_DIÁRIA!$I$1987</f>
        <v>0</v>
      </c>
      <c r="E1517" s="17">
        <v>6</v>
      </c>
      <c r="F1517" s="26" t="str">
        <f>CADASTROS!$E$1294</f>
        <v>Cx. Econômica</v>
      </c>
      <c r="G1517" s="24">
        <f>CADASTROS!$F$1294</f>
        <v>4825</v>
      </c>
      <c r="H1517" s="26">
        <f>CADASTROS!$G$1294</f>
        <v>13</v>
      </c>
      <c r="I1517" s="16" t="str">
        <f>CADASTROS!$H$1294</f>
        <v>00018338-3</v>
      </c>
      <c r="J1517" s="18">
        <f t="shared" si="70"/>
        <v>0</v>
      </c>
    </row>
    <row r="1518" spans="1:10" ht="15.75" x14ac:dyDescent="0.25">
      <c r="A1518" s="24">
        <f>CADASTROS!$B$1295</f>
        <v>1293</v>
      </c>
      <c r="B1518" s="15" t="str">
        <f>CADASTROS!$C$1295</f>
        <v>Isaque Rosa de Souza</v>
      </c>
      <c r="C1518" s="25"/>
      <c r="D1518" s="35">
        <f>PLANILHA_COLHEITA_DIÁRIA!$I$1988</f>
        <v>0</v>
      </c>
      <c r="E1518" s="17">
        <v>6</v>
      </c>
      <c r="F1518" s="26" t="str">
        <f>CADASTROS!$E$1295</f>
        <v>Bradesco</v>
      </c>
      <c r="G1518" s="24" t="str">
        <f>CADASTROS!$F$1295</f>
        <v>3801-6</v>
      </c>
      <c r="H1518" s="26" t="str">
        <f>CADASTROS!$G$1295</f>
        <v>c/corr</v>
      </c>
      <c r="I1518" s="16" t="str">
        <f>CADASTROS!$H$1295</f>
        <v>0002203-9</v>
      </c>
      <c r="J1518" s="18">
        <f t="shared" si="70"/>
        <v>0</v>
      </c>
    </row>
    <row r="1519" spans="1:10" ht="15.75" x14ac:dyDescent="0.25">
      <c r="A1519" s="24">
        <f>CADASTROS!$B$1296</f>
        <v>1294</v>
      </c>
      <c r="B1519" s="15" t="str">
        <f>CADASTROS!$C$1296</f>
        <v>Marlene Gaspar de Souza</v>
      </c>
      <c r="C1519" s="25"/>
      <c r="D1519" s="42">
        <f>PLANILHA_COLHEITA_DIÁRIA!$I$1989</f>
        <v>36.5</v>
      </c>
      <c r="E1519" s="17">
        <v>6</v>
      </c>
      <c r="F1519" s="26" t="str">
        <f>CADASTROS!$E$1296</f>
        <v>Bradesco</v>
      </c>
      <c r="G1519" s="24" t="str">
        <f>CADASTROS!$F$1296</f>
        <v>3801-6</v>
      </c>
      <c r="H1519" s="26">
        <f>CADASTROS!$G$1294</f>
        <v>13</v>
      </c>
      <c r="I1519" s="16" t="str">
        <f>CADASTROS!$H$1296</f>
        <v>0003390-1</v>
      </c>
      <c r="J1519" s="18">
        <f t="shared" si="70"/>
        <v>219</v>
      </c>
    </row>
    <row r="1520" spans="1:10" ht="15.75" x14ac:dyDescent="0.25">
      <c r="A1520" s="24">
        <f>CADASTROS!$B$1297</f>
        <v>1295</v>
      </c>
      <c r="B1520" s="15" t="str">
        <f>CADASTROS!$C$1297</f>
        <v>Clesia Souza Santos</v>
      </c>
      <c r="C1520" s="25"/>
      <c r="D1520" s="35">
        <f>PLANILHA_COLHEITA_DIÁRIA!$I$1990</f>
        <v>0</v>
      </c>
      <c r="E1520" s="17">
        <v>6</v>
      </c>
      <c r="F1520" s="26" t="str">
        <f>CADASTROS!$E$1297</f>
        <v>Bradesco</v>
      </c>
      <c r="G1520" s="24">
        <f>CADASTROS!$F$1297</f>
        <v>2842</v>
      </c>
      <c r="H1520" s="26" t="str">
        <f>CADASTROS!$G$1297</f>
        <v>poup</v>
      </c>
      <c r="I1520" s="16" t="str">
        <f>CADASTROS!$H$1297</f>
        <v>1003160-5</v>
      </c>
      <c r="J1520" s="18">
        <f t="shared" si="70"/>
        <v>0</v>
      </c>
    </row>
    <row r="1521" spans="1:10" ht="15.75" x14ac:dyDescent="0.25">
      <c r="A1521" s="24">
        <f>CADASTROS!$B$1298</f>
        <v>1296</v>
      </c>
      <c r="B1521" s="15" t="str">
        <f>CADASTROS!$C$1298</f>
        <v>Narina Santana Machado</v>
      </c>
      <c r="C1521" s="25"/>
      <c r="D1521" s="42">
        <f>PLANILHA_COLHEITA_DIÁRIA!$I$1991</f>
        <v>0</v>
      </c>
      <c r="E1521" s="17">
        <v>6</v>
      </c>
      <c r="F1521" s="26" t="str">
        <f>CADASTROS!$E$1298</f>
        <v>Cx. Econômica</v>
      </c>
      <c r="G1521" s="24">
        <f>CADASTROS!$F$1298</f>
        <v>949</v>
      </c>
      <c r="H1521" s="26">
        <f>CADASTROS!$G$1298</f>
        <v>23</v>
      </c>
      <c r="I1521" s="16" t="str">
        <f>CADASTROS!$H$1298</f>
        <v>00006099-1</v>
      </c>
      <c r="J1521" s="18">
        <f t="shared" si="70"/>
        <v>0</v>
      </c>
    </row>
    <row r="1522" spans="1:10" ht="15.75" x14ac:dyDescent="0.25">
      <c r="A1522" s="24">
        <f>CADASTROS!$B$1299</f>
        <v>1297</v>
      </c>
      <c r="B1522" s="15" t="str">
        <f>CADASTROS!$C$1299</f>
        <v>Cleide Silva Santos</v>
      </c>
      <c r="C1522" s="25"/>
      <c r="D1522" s="35">
        <f>PLANILHA_COLHEITA_DIÁRIA!$I$1992</f>
        <v>0</v>
      </c>
      <c r="E1522" s="17">
        <v>6</v>
      </c>
      <c r="F1522" s="26" t="str">
        <f>CADASTROS!$E$1299</f>
        <v>Cx. Econômica</v>
      </c>
      <c r="G1522" s="24">
        <f>CADASTROS!$F$1299</f>
        <v>4818</v>
      </c>
      <c r="H1522" s="26">
        <f>CADASTROS!$G$1299</f>
        <v>13</v>
      </c>
      <c r="I1522" s="16" t="str">
        <f>CADASTROS!$H$1299</f>
        <v>00007263-0</v>
      </c>
      <c r="J1522" s="18">
        <f t="shared" si="70"/>
        <v>0</v>
      </c>
    </row>
    <row r="1523" spans="1:10" ht="15.75" x14ac:dyDescent="0.25">
      <c r="A1523" s="24">
        <f>CADASTROS!$B$1300</f>
        <v>1298</v>
      </c>
      <c r="B1523" s="15" t="str">
        <f>CADASTROS!$C$1300</f>
        <v>José Carlos Araújo Gomes</v>
      </c>
      <c r="C1523" s="25"/>
      <c r="D1523" s="35">
        <f>PLANILHA_COLHEITA_DIÁRIA!$I$1993</f>
        <v>0</v>
      </c>
      <c r="E1523" s="17">
        <v>6</v>
      </c>
      <c r="F1523" s="26" t="str">
        <f>CADASTROS!$E$1300</f>
        <v>Cx. Econômica</v>
      </c>
      <c r="G1523" s="24">
        <f>CADASTROS!$F$1300</f>
        <v>4818</v>
      </c>
      <c r="H1523" s="26">
        <f>CADASTROS!$G$1300</f>
        <v>13</v>
      </c>
      <c r="I1523" s="16" t="str">
        <f>CADASTROS!$H$1300</f>
        <v>00005064-4</v>
      </c>
      <c r="J1523" s="18">
        <f t="shared" si="70"/>
        <v>0</v>
      </c>
    </row>
    <row r="1524" spans="1:10" ht="15.75" x14ac:dyDescent="0.25">
      <c r="A1524" s="24">
        <f>CADASTROS!$B$1301</f>
        <v>1299</v>
      </c>
      <c r="B1524" s="15" t="str">
        <f>CADASTROS!$C$1301</f>
        <v>Paulo Ricardo J. Santos</v>
      </c>
      <c r="C1524" s="25"/>
      <c r="D1524" s="35">
        <f>PLANILHA_COLHEITA_DIÁRIA!$I$1994</f>
        <v>0</v>
      </c>
      <c r="E1524" s="17">
        <v>6</v>
      </c>
      <c r="F1524" s="26" t="str">
        <f>CADASTROS!$E$1301</f>
        <v>Cx. Econômica</v>
      </c>
      <c r="G1524" s="24">
        <f>CADASTROS!$F$1301</f>
        <v>4893</v>
      </c>
      <c r="H1524" s="26">
        <f>CADASTROS!$G$1301</f>
        <v>13</v>
      </c>
      <c r="I1524" s="16" t="str">
        <f>CADASTROS!$H$1301</f>
        <v>00006305-2</v>
      </c>
      <c r="J1524" s="18">
        <f t="shared" si="70"/>
        <v>0</v>
      </c>
    </row>
    <row r="1525" spans="1:10" ht="15.75" x14ac:dyDescent="0.25">
      <c r="A1525" s="24">
        <f>CADASTROS!$B$1302</f>
        <v>1300</v>
      </c>
      <c r="B1525" s="15" t="str">
        <f>CADASTROS!$C$1302</f>
        <v>Tamires Pereira de Souza</v>
      </c>
      <c r="C1525" s="25"/>
      <c r="D1525" s="42">
        <f>PLANILHA_COLHEITA_DIÁRIA!$I$1995</f>
        <v>0</v>
      </c>
      <c r="E1525" s="17">
        <v>6</v>
      </c>
      <c r="F1525" s="26" t="str">
        <f>CADASTROS!$E$1302</f>
        <v>Cx. Econômica</v>
      </c>
      <c r="G1525" s="24">
        <f>CADASTROS!$F$1302</f>
        <v>4825</v>
      </c>
      <c r="H1525" s="26">
        <f>CADASTROS!$G$1302</f>
        <v>13</v>
      </c>
      <c r="I1525" s="16" t="str">
        <f>CADASTROS!$H$1302</f>
        <v>00014796-4</v>
      </c>
      <c r="J1525" s="18">
        <f t="shared" si="70"/>
        <v>0</v>
      </c>
    </row>
    <row r="1526" spans="1:10" ht="15.75" x14ac:dyDescent="0.25">
      <c r="A1526" s="24">
        <f>CADASTROS!$B$1303</f>
        <v>1301</v>
      </c>
      <c r="B1526" s="15" t="str">
        <f>CADASTROS!$C$1303</f>
        <v>Sandra Gonçalves Alves</v>
      </c>
      <c r="C1526" s="25"/>
      <c r="D1526" s="35">
        <f>PLANILHA_COLHEITA_DIÁRIA!$I$1996</f>
        <v>11.5</v>
      </c>
      <c r="E1526" s="17">
        <v>6</v>
      </c>
      <c r="F1526" s="26" t="str">
        <f>CADASTROS!$E$1303</f>
        <v>Cx. Econômica</v>
      </c>
      <c r="G1526" s="24">
        <f>CADASTROS!$F$1303</f>
        <v>4825</v>
      </c>
      <c r="H1526" s="26">
        <f>CADASTROS!$G$1303</f>
        <v>23</v>
      </c>
      <c r="I1526" s="16" t="str">
        <f>CADASTROS!$H$1303</f>
        <v>00000919-4</v>
      </c>
      <c r="J1526" s="18">
        <f t="shared" si="70"/>
        <v>69</v>
      </c>
    </row>
    <row r="1527" spans="1:10" ht="15.75" x14ac:dyDescent="0.25">
      <c r="A1527" s="24">
        <f>CADASTROS!$B$1304</f>
        <v>1302</v>
      </c>
      <c r="B1527" s="15" t="str">
        <f>CADASTROS!$C$1304</f>
        <v>Robson de Souza Santos</v>
      </c>
      <c r="C1527" s="25"/>
      <c r="D1527" s="35">
        <f>PLANILHA_COLHEITA_DIÁRIA!$I$1997</f>
        <v>0</v>
      </c>
      <c r="E1527" s="17">
        <v>6</v>
      </c>
      <c r="F1527" s="26" t="str">
        <f>CADASTROS!$E$1304</f>
        <v>Cx. Econômica</v>
      </c>
      <c r="G1527" s="24">
        <f>CADASTROS!$F$1304</f>
        <v>4825</v>
      </c>
      <c r="H1527" s="26">
        <f>CADASTROS!$G$1304</f>
        <v>13</v>
      </c>
      <c r="I1527" s="16" t="str">
        <f>CADASTROS!$H$1304</f>
        <v>00020376-7</v>
      </c>
      <c r="J1527" s="18">
        <f t="shared" si="70"/>
        <v>0</v>
      </c>
    </row>
    <row r="1528" spans="1:10" ht="15.75" x14ac:dyDescent="0.25">
      <c r="A1528" s="24">
        <f>CADASTROS!$B$1305</f>
        <v>1303</v>
      </c>
      <c r="B1528" s="15" t="str">
        <f>CADASTROS!$C$1305</f>
        <v>Sara Alves de Brito</v>
      </c>
      <c r="C1528" s="25"/>
      <c r="D1528" s="35">
        <f>PLANILHA_COLHEITA_DIÁRIA!$I$1998</f>
        <v>0</v>
      </c>
      <c r="E1528" s="17">
        <v>6</v>
      </c>
      <c r="F1528" s="26" t="str">
        <f>CADASTROS!$E$1305</f>
        <v>Bradesco</v>
      </c>
      <c r="G1528" s="24" t="str">
        <f>CADASTROS!$F$1305</f>
        <v>3801-6</v>
      </c>
      <c r="H1528" s="26" t="str">
        <f>CADASTROS!$G$1305</f>
        <v>c/corr</v>
      </c>
      <c r="I1528" s="16" t="str">
        <f>CADASTROS!$H$1305</f>
        <v>0001727-2</v>
      </c>
      <c r="J1528" s="18">
        <f t="shared" si="70"/>
        <v>0</v>
      </c>
    </row>
    <row r="1529" spans="1:10" ht="15.75" x14ac:dyDescent="0.25">
      <c r="A1529" s="24">
        <f>CADASTROS!$B$1306</f>
        <v>1304</v>
      </c>
      <c r="B1529" s="15" t="str">
        <f>CADASTROS!$C$1306</f>
        <v>Romário A. Santos</v>
      </c>
      <c r="C1529" s="25"/>
      <c r="D1529" s="53">
        <f>PLANILHA_COLHEITA_DIÁRIA!$I$1999</f>
        <v>0</v>
      </c>
      <c r="E1529" s="17">
        <v>6</v>
      </c>
      <c r="F1529" s="26" t="str">
        <f>CADASTROS!$E$1306</f>
        <v>Cx. Econômica</v>
      </c>
      <c r="G1529" s="24">
        <f>CADASTROS!$F$1306</f>
        <v>4825</v>
      </c>
      <c r="H1529" s="26">
        <f>CADASTROS!$G$1306</f>
        <v>13</v>
      </c>
      <c r="I1529" s="16" t="str">
        <f>CADASTROS!$H$1306</f>
        <v>00016960-7</v>
      </c>
      <c r="J1529" s="18">
        <f t="shared" si="70"/>
        <v>0</v>
      </c>
    </row>
    <row r="1530" spans="1:10" ht="15.75" x14ac:dyDescent="0.25">
      <c r="B1530" s="159"/>
      <c r="C1530" s="159"/>
      <c r="D1530" s="12">
        <f>SUM(D1485:D1529)</f>
        <v>239</v>
      </c>
      <c r="E1530" s="12"/>
      <c r="F1530" s="162"/>
      <c r="G1530" s="163"/>
      <c r="H1530" s="163"/>
      <c r="I1530" s="164"/>
      <c r="J1530" s="14">
        <f>SUM(J1485:J1529)</f>
        <v>1434</v>
      </c>
    </row>
    <row r="1532" spans="1:10" ht="15.75" x14ac:dyDescent="0.25">
      <c r="A1532" s="213" t="s">
        <v>4816</v>
      </c>
      <c r="B1532" s="213"/>
      <c r="C1532" s="213"/>
      <c r="D1532" s="213"/>
      <c r="E1532" s="213"/>
      <c r="F1532" s="213"/>
      <c r="G1532" s="213"/>
      <c r="H1532" s="213"/>
      <c r="I1532" s="213"/>
      <c r="J1532" s="213"/>
    </row>
    <row r="1533" spans="1:10" ht="16.5" thickBot="1" x14ac:dyDescent="0.3">
      <c r="A1533" s="214" t="s">
        <v>4843</v>
      </c>
      <c r="B1533" s="214"/>
      <c r="C1533" s="214"/>
      <c r="D1533" s="214"/>
      <c r="E1533" s="214"/>
      <c r="F1533" s="214"/>
      <c r="G1533" s="214"/>
      <c r="H1533" s="214"/>
      <c r="I1533" s="214"/>
      <c r="J1533" s="214"/>
    </row>
    <row r="1534" spans="1:10" ht="17.25" thickTop="1" thickBot="1" x14ac:dyDescent="0.3">
      <c r="A1534" s="215" t="s">
        <v>4844</v>
      </c>
      <c r="B1534" s="215"/>
      <c r="C1534" s="215"/>
      <c r="D1534" s="215"/>
      <c r="E1534" s="215"/>
      <c r="F1534" s="215"/>
      <c r="G1534" s="215"/>
      <c r="H1534" s="215"/>
      <c r="I1534" s="215"/>
      <c r="J1534" s="215"/>
    </row>
    <row r="1535" spans="1:10" ht="16.5" customHeight="1" x14ac:dyDescent="0.25">
      <c r="A1535" s="19" t="s">
        <v>4846</v>
      </c>
      <c r="B1535" s="216" t="s">
        <v>1</v>
      </c>
      <c r="C1535" s="216" t="s">
        <v>2</v>
      </c>
      <c r="D1535" s="160" t="s">
        <v>4847</v>
      </c>
      <c r="E1535" s="20" t="s">
        <v>4848</v>
      </c>
      <c r="F1535" s="157" t="s">
        <v>3</v>
      </c>
      <c r="G1535" s="157" t="s">
        <v>4</v>
      </c>
      <c r="H1535" s="157" t="s">
        <v>5</v>
      </c>
      <c r="I1535" s="157" t="s">
        <v>6</v>
      </c>
      <c r="J1535" s="218" t="s">
        <v>4849</v>
      </c>
    </row>
    <row r="1536" spans="1:10" ht="18" customHeight="1" thickBot="1" x14ac:dyDescent="0.3">
      <c r="A1536" s="21" t="s">
        <v>4850</v>
      </c>
      <c r="B1536" s="217"/>
      <c r="C1536" s="217"/>
      <c r="D1536" s="161"/>
      <c r="E1536" s="161" t="s">
        <v>4851</v>
      </c>
      <c r="F1536" s="158"/>
      <c r="G1536" s="158"/>
      <c r="H1536" s="158"/>
      <c r="I1536" s="158"/>
      <c r="J1536" s="219"/>
    </row>
    <row r="1537" spans="1:10" ht="15.75" x14ac:dyDescent="0.25">
      <c r="A1537" s="24">
        <f>CADASTROS!$B$1307</f>
        <v>1305</v>
      </c>
      <c r="B1537" s="15" t="str">
        <f>CADASTROS!$C$1307</f>
        <v>Raimunda O. Anjos</v>
      </c>
      <c r="C1537" s="25"/>
      <c r="D1537" s="35">
        <f>PLANILHA_COLHEITA_DIÁRIA!$I$2000</f>
        <v>0</v>
      </c>
      <c r="E1537" s="17">
        <v>6</v>
      </c>
      <c r="F1537" s="26" t="str">
        <f>CADASTROS!$E$1307</f>
        <v>Banco do Brasil</v>
      </c>
      <c r="G1537" s="24" t="str">
        <f>CADASTROS!$F$1307</f>
        <v>1696-9</v>
      </c>
      <c r="H1537" s="26" t="str">
        <f>CADASTROS!$G$1307</f>
        <v>poup</v>
      </c>
      <c r="I1537" s="16" t="str">
        <f>CADASTROS!$H$1307</f>
        <v>12.269-6</v>
      </c>
      <c r="J1537" s="18">
        <f t="shared" ref="J1537:J1546" si="71">D1537*E1537</f>
        <v>0</v>
      </c>
    </row>
    <row r="1538" spans="1:10" ht="15.75" x14ac:dyDescent="0.25">
      <c r="A1538" s="24">
        <f>CADASTROS!$B$1308</f>
        <v>1306</v>
      </c>
      <c r="B1538" s="15" t="str">
        <f>CADASTROS!$C$1308</f>
        <v>Virlene Bispo Mercês</v>
      </c>
      <c r="C1538" s="25"/>
      <c r="D1538" s="35">
        <f>PLANILHA_COLHEITA_DIÁRIA!$I$2001</f>
        <v>0</v>
      </c>
      <c r="E1538" s="17">
        <v>6</v>
      </c>
      <c r="F1538" s="26" t="str">
        <f>CADASTROS!$E$1308</f>
        <v>Bradesco</v>
      </c>
      <c r="G1538" s="24" t="str">
        <f>CADASTROS!$F$1308</f>
        <v>3616-1</v>
      </c>
      <c r="H1538" s="26" t="str">
        <f>CADASTROS!$G$1308</f>
        <v>poup</v>
      </c>
      <c r="I1538" s="16" t="str">
        <f>CADASTROS!$H$1308</f>
        <v>1000689-9</v>
      </c>
      <c r="J1538" s="18">
        <f t="shared" si="71"/>
        <v>0</v>
      </c>
    </row>
    <row r="1539" spans="1:10" ht="15.75" x14ac:dyDescent="0.25">
      <c r="A1539" s="24">
        <f>CADASTROS!$B$1309</f>
        <v>1307</v>
      </c>
      <c r="B1539" s="15" t="str">
        <f>CADASTROS!$C$1309</f>
        <v>Jilson Barbosa Oliveira</v>
      </c>
      <c r="C1539" s="25"/>
      <c r="D1539" s="35">
        <f>PLANILHA_COLHEITA_DIÁRIA!$I$2002</f>
        <v>14</v>
      </c>
      <c r="E1539" s="17">
        <v>6</v>
      </c>
      <c r="F1539" s="26" t="str">
        <f>CADASTROS!$E$1309</f>
        <v>Cx. Econômica</v>
      </c>
      <c r="G1539" s="24">
        <f>CADASTROS!$F$1309</f>
        <v>949</v>
      </c>
      <c r="H1539" s="26">
        <f>CADASTROS!$G$1309</f>
        <v>13</v>
      </c>
      <c r="I1539" s="16" t="str">
        <f>CADASTROS!$H$1309</f>
        <v>00039599-6</v>
      </c>
      <c r="J1539" s="18">
        <f t="shared" si="71"/>
        <v>84</v>
      </c>
    </row>
    <row r="1540" spans="1:10" ht="15.75" x14ac:dyDescent="0.25">
      <c r="A1540" s="24">
        <f>CADASTROS!$B$1310</f>
        <v>1308</v>
      </c>
      <c r="B1540" s="15" t="str">
        <f>CADASTROS!$C$1310</f>
        <v>Marinalva Gonçalves Silva</v>
      </c>
      <c r="C1540" s="25"/>
      <c r="D1540" s="35">
        <f>PLANILHA_COLHEITA_DIÁRIA!$I$2003</f>
        <v>0</v>
      </c>
      <c r="E1540" s="17">
        <v>6</v>
      </c>
      <c r="F1540" s="26" t="str">
        <f>CADASTROS!$E$1310</f>
        <v>Cx. Econômica</v>
      </c>
      <c r="G1540" s="24">
        <f>CADASTROS!$F$1310</f>
        <v>949</v>
      </c>
      <c r="H1540" s="26">
        <f>CADASTROS!$G$1310</f>
        <v>23</v>
      </c>
      <c r="I1540" s="16" t="str">
        <f>CADASTROS!$H$1310</f>
        <v>00014772-8</v>
      </c>
      <c r="J1540" s="18">
        <f t="shared" si="71"/>
        <v>0</v>
      </c>
    </row>
    <row r="1541" spans="1:10" ht="15.75" x14ac:dyDescent="0.25">
      <c r="A1541" s="24">
        <f>CADASTROS!$B$1311</f>
        <v>1309</v>
      </c>
      <c r="B1541" s="15" t="str">
        <f>CADASTROS!$C$1311</f>
        <v>Lourito Ferreira de Novais</v>
      </c>
      <c r="C1541" s="25"/>
      <c r="D1541" s="35">
        <f>PLANILHA_COLHEITA_DIÁRIA!$I$2004</f>
        <v>0</v>
      </c>
      <c r="E1541" s="17">
        <v>6</v>
      </c>
      <c r="F1541" s="26" t="str">
        <f>CADASTROS!$E$1311</f>
        <v>Bradesco</v>
      </c>
      <c r="G1541" s="24" t="str">
        <f>CADASTROS!$F$1311</f>
        <v>3801-6</v>
      </c>
      <c r="H1541" s="26" t="str">
        <f>CADASTROS!$G$1311</f>
        <v>c/corr</v>
      </c>
      <c r="I1541" s="16" t="str">
        <f>CADASTROS!$H$1311</f>
        <v>0008794-7</v>
      </c>
      <c r="J1541" s="18">
        <f t="shared" si="71"/>
        <v>0</v>
      </c>
    </row>
    <row r="1542" spans="1:10" ht="15.75" x14ac:dyDescent="0.25">
      <c r="A1542" s="24">
        <f>CADASTROS!$B$1312</f>
        <v>1310</v>
      </c>
      <c r="B1542" s="15" t="str">
        <f>CADASTROS!$C$1312</f>
        <v>Vera Lúcia Francisca de Souza</v>
      </c>
      <c r="C1542" s="25"/>
      <c r="D1542" s="35">
        <f>PLANILHA_COLHEITA_DIÁRIA!$I$2005</f>
        <v>0</v>
      </c>
      <c r="E1542" s="17">
        <v>6</v>
      </c>
      <c r="F1542" s="26" t="str">
        <f>CADASTROS!$E$1312</f>
        <v>Bradesco</v>
      </c>
      <c r="G1542" s="24" t="str">
        <f>CADASTROS!$F$1312</f>
        <v>3801-6</v>
      </c>
      <c r="H1542" s="26">
        <f>CADASTROS!$G$1312</f>
        <v>0</v>
      </c>
      <c r="I1542" s="16" t="str">
        <f>CADASTROS!$H$1312</f>
        <v>1000282-6</v>
      </c>
      <c r="J1542" s="18">
        <f t="shared" si="71"/>
        <v>0</v>
      </c>
    </row>
    <row r="1543" spans="1:10" ht="15.75" x14ac:dyDescent="0.25">
      <c r="A1543" s="24">
        <f>CADASTROS!$B$1313</f>
        <v>1311</v>
      </c>
      <c r="B1543" s="15" t="str">
        <f>CADASTROS!$C$1313</f>
        <v>Tereza Emília de Novais</v>
      </c>
      <c r="C1543" s="25"/>
      <c r="D1543" s="35">
        <f>PLANILHA_COLHEITA_DIÁRIA!$I$2006</f>
        <v>0</v>
      </c>
      <c r="E1543" s="17">
        <v>6</v>
      </c>
      <c r="F1543" s="26" t="str">
        <f>CADASTROS!$E$1313</f>
        <v>Bradesco</v>
      </c>
      <c r="G1543" s="24" t="str">
        <f>CADASTROS!$F$1313</f>
        <v>3801-6</v>
      </c>
      <c r="H1543" s="26" t="str">
        <f>CADASTROS!$G$1313</f>
        <v>c/corr</v>
      </c>
      <c r="I1543" s="16" t="str">
        <f>CADASTROS!$H$1313</f>
        <v>0060404-7</v>
      </c>
      <c r="J1543" s="18">
        <f t="shared" si="71"/>
        <v>0</v>
      </c>
    </row>
    <row r="1544" spans="1:10" ht="15.75" x14ac:dyDescent="0.25">
      <c r="A1544" s="24">
        <f>CADASTROS!$B$1314</f>
        <v>1312</v>
      </c>
      <c r="B1544" s="15" t="str">
        <f>CADASTROS!$C$1314</f>
        <v>Taciara Cruz Alves</v>
      </c>
      <c r="C1544" s="25"/>
      <c r="D1544" s="35">
        <f>PLANILHA_COLHEITA_DIÁRIA!$I$2007</f>
        <v>0</v>
      </c>
      <c r="E1544" s="17">
        <v>6</v>
      </c>
      <c r="F1544" s="26" t="str">
        <f>CADASTROS!$E$1314</f>
        <v>Bradesco</v>
      </c>
      <c r="G1544" s="24" t="str">
        <f>CADASTROS!$F$1314</f>
        <v>3801-6</v>
      </c>
      <c r="H1544" s="26" t="str">
        <f>CADASTROS!$G$1314</f>
        <v>c/corr</v>
      </c>
      <c r="I1544" s="16" t="str">
        <f>CADASTROS!$H$1314</f>
        <v>0004106-8</v>
      </c>
      <c r="J1544" s="18">
        <f t="shared" si="71"/>
        <v>0</v>
      </c>
    </row>
    <row r="1545" spans="1:10" ht="15.75" x14ac:dyDescent="0.25">
      <c r="A1545" s="24">
        <f>CADASTROS!$B$1315</f>
        <v>1313</v>
      </c>
      <c r="B1545" s="15" t="str">
        <f>CADASTROS!$C$1315</f>
        <v>Edileuza Cordeiro Paula</v>
      </c>
      <c r="C1545" s="25"/>
      <c r="D1545" s="35">
        <f>PLANILHA_COLHEITA_DIÁRIA!$I$2008</f>
        <v>0</v>
      </c>
      <c r="E1545" s="17">
        <v>6</v>
      </c>
      <c r="F1545" s="26" t="str">
        <f>CADASTROS!$E$1315</f>
        <v>Cx. Econômica</v>
      </c>
      <c r="G1545" s="24">
        <f>CADASTROS!$F$1315</f>
        <v>4535</v>
      </c>
      <c r="H1545" s="26">
        <f>CADASTROS!$G$1315</f>
        <v>13</v>
      </c>
      <c r="I1545" s="16" t="str">
        <f>CADASTROS!$H$1315</f>
        <v>00001555-7</v>
      </c>
      <c r="J1545" s="18">
        <f t="shared" si="71"/>
        <v>0</v>
      </c>
    </row>
    <row r="1546" spans="1:10" ht="15.75" x14ac:dyDescent="0.25">
      <c r="A1546" s="24">
        <f>CADASTROS!$B$1316</f>
        <v>1314</v>
      </c>
      <c r="B1546" s="15" t="str">
        <f>CADASTROS!$C$1316</f>
        <v>Tamires Dourado de Oliveira</v>
      </c>
      <c r="C1546" s="25"/>
      <c r="D1546" s="53">
        <f>PLANILHA_COLHEITA_DIÁRIA!$I$2009</f>
        <v>0</v>
      </c>
      <c r="E1546" s="17">
        <v>6</v>
      </c>
      <c r="F1546" s="26" t="str">
        <f>CADASTROS!$E$1316</f>
        <v>Cx. Econômica</v>
      </c>
      <c r="G1546" s="24">
        <f>CADASTROS!$F$1316</f>
        <v>780</v>
      </c>
      <c r="H1546" s="26">
        <f>CADASTROS!$G$1316</f>
        <v>13</v>
      </c>
      <c r="I1546" s="16" t="str">
        <f>CADASTROS!$H$1316</f>
        <v>00083659-5</v>
      </c>
      <c r="J1546" s="18">
        <f t="shared" si="71"/>
        <v>0</v>
      </c>
    </row>
    <row r="1547" spans="1:10" ht="15.75" x14ac:dyDescent="0.25">
      <c r="A1547" s="24">
        <f>CADASTROS!$B$1317</f>
        <v>1315</v>
      </c>
      <c r="B1547" s="15" t="str">
        <f>CADASTROS!$C$1317</f>
        <v>Simone Almeida Oliveira</v>
      </c>
      <c r="C1547" s="25"/>
      <c r="D1547" s="35">
        <f>PLANILHA_COLHEITA_DIÁRIA!$I$2010</f>
        <v>0</v>
      </c>
      <c r="E1547" s="17">
        <v>6</v>
      </c>
      <c r="F1547" s="26" t="str">
        <f>CADASTROS!$E$1317</f>
        <v>Banco do Brasil</v>
      </c>
      <c r="G1547" s="24" t="str">
        <f>CADASTROS!$F$1317</f>
        <v>2760-X</v>
      </c>
      <c r="H1547" s="26" t="str">
        <f>CADASTROS!$G$1317</f>
        <v>poup</v>
      </c>
      <c r="I1547" s="16" t="str">
        <f>CADASTROS!$H$1317</f>
        <v>10.249-0</v>
      </c>
      <c r="J1547" s="18">
        <f>D1547*E1547</f>
        <v>0</v>
      </c>
    </row>
    <row r="1548" spans="1:10" ht="15.75" x14ac:dyDescent="0.25">
      <c r="A1548" s="24">
        <f>CADASTROS!$B$1318</f>
        <v>1316</v>
      </c>
      <c r="B1548" s="15" t="str">
        <f>CADASTROS!$C$1318</f>
        <v>Claudio O. Ferreira</v>
      </c>
      <c r="C1548" s="25"/>
      <c r="D1548" s="35">
        <f>PLANILHA_COLHEITA_DIÁRIA!$I$2011</f>
        <v>0</v>
      </c>
      <c r="E1548" s="17">
        <v>6</v>
      </c>
      <c r="F1548" s="26" t="str">
        <f>CADASTROS!$E$1318</f>
        <v>Cx. Econômica</v>
      </c>
      <c r="G1548" s="24">
        <f>CADASTROS!$F$1318</f>
        <v>949</v>
      </c>
      <c r="H1548" s="26">
        <f>CADASTROS!$G$1318</f>
        <v>13</v>
      </c>
      <c r="I1548" s="16" t="str">
        <f>CADASTROS!$H$1318</f>
        <v>00076257-3</v>
      </c>
      <c r="J1548" s="18">
        <f t="shared" ref="J1548" si="72">D1548*E1548</f>
        <v>0</v>
      </c>
    </row>
    <row r="1549" spans="1:10" ht="15.75" x14ac:dyDescent="0.25">
      <c r="A1549" s="24">
        <f>CADASTROS!$B$1319</f>
        <v>1317</v>
      </c>
      <c r="B1549" s="15" t="str">
        <f>CADASTROS!$C$1319</f>
        <v>Raimundo da Silva</v>
      </c>
      <c r="C1549" s="25"/>
      <c r="D1549" s="42">
        <f>PLANILHA_COLHEITA_DIÁRIA!$I$2012</f>
        <v>89.5</v>
      </c>
      <c r="E1549" s="17">
        <v>6</v>
      </c>
      <c r="F1549" s="26" t="str">
        <f>CADASTROS!$E$1319</f>
        <v>Bradesco</v>
      </c>
      <c r="G1549" s="24" t="str">
        <f>CADASTROS!$F$1319</f>
        <v>5490-9</v>
      </c>
      <c r="H1549" s="26" t="str">
        <f>CADASTROS!$G$1319</f>
        <v>c/corr</v>
      </c>
      <c r="I1549" s="16" t="str">
        <f>CADASTROS!$H$1319</f>
        <v>0002343-4</v>
      </c>
      <c r="J1549" s="18">
        <f>D1549*E1549</f>
        <v>537</v>
      </c>
    </row>
    <row r="1550" spans="1:10" ht="15.75" x14ac:dyDescent="0.25">
      <c r="A1550" s="24">
        <f>CADASTROS!$B$1320</f>
        <v>1318</v>
      </c>
      <c r="B1550" s="15" t="str">
        <f>CADASTROS!$C$1320</f>
        <v>Daniela dos Anjos Souza</v>
      </c>
      <c r="C1550" s="25"/>
      <c r="D1550" s="41">
        <f>PLANILHA_COLHEITA_DIÁRIA!$I$2024</f>
        <v>0</v>
      </c>
      <c r="E1550" s="17">
        <v>6</v>
      </c>
      <c r="F1550" s="26" t="str">
        <f>CADASTROS!$E$1320</f>
        <v>Cx. Econômica</v>
      </c>
      <c r="G1550" s="24">
        <f>CADASTROS!$F$1320</f>
        <v>4825</v>
      </c>
      <c r="H1550" s="26">
        <f>CADASTROS!$G$1320</f>
        <v>13</v>
      </c>
      <c r="I1550" s="16" t="str">
        <f>CADASTROS!$H$1320</f>
        <v>00020121-7</v>
      </c>
      <c r="J1550" s="18">
        <f t="shared" ref="J1550:J1581" si="73">D1550*E1550</f>
        <v>0</v>
      </c>
    </row>
    <row r="1551" spans="1:10" ht="15.75" x14ac:dyDescent="0.25">
      <c r="A1551" s="24">
        <f>CADASTROS!$B$1321</f>
        <v>1319</v>
      </c>
      <c r="B1551" s="15" t="str">
        <f>CADASTROS!$C$1321</f>
        <v>Vanessa Sampaio Santiago</v>
      </c>
      <c r="C1551" s="25"/>
      <c r="D1551" s="35">
        <f>PLANILHA_COLHEITA_DIÁRIA!$I$2025</f>
        <v>0</v>
      </c>
      <c r="E1551" s="17">
        <v>6</v>
      </c>
      <c r="F1551" s="26" t="str">
        <f>CADASTROS!$E$1321</f>
        <v>Cx. Econômica</v>
      </c>
      <c r="G1551" s="24">
        <f>CADASTROS!$F$1321</f>
        <v>3880</v>
      </c>
      <c r="H1551" s="26">
        <f>CADASTROS!$G$1321</f>
        <v>0</v>
      </c>
      <c r="I1551" s="16" t="str">
        <f>CADASTROS!$H$1321</f>
        <v>000807746528-3</v>
      </c>
      <c r="J1551" s="18">
        <f t="shared" si="73"/>
        <v>0</v>
      </c>
    </row>
    <row r="1552" spans="1:10" ht="15.75" x14ac:dyDescent="0.25">
      <c r="A1552" s="24">
        <f>CADASTROS!$B$1322</f>
        <v>1320</v>
      </c>
      <c r="B1552" s="15" t="str">
        <f>CADASTROS!$C$1322</f>
        <v>Elizabete Sa Teles Sena</v>
      </c>
      <c r="C1552" s="25"/>
      <c r="D1552" s="35">
        <f>PLANILHA_COLHEITA_DIÁRIA!$I$2026</f>
        <v>0</v>
      </c>
      <c r="E1552" s="17">
        <v>6</v>
      </c>
      <c r="F1552" s="26" t="str">
        <f>CADASTROS!$E$1322</f>
        <v>Cx. Econômica</v>
      </c>
      <c r="G1552" s="24">
        <f>CADASTROS!$F$1322</f>
        <v>4825</v>
      </c>
      <c r="H1552" s="26">
        <f>CADASTROS!$G$1322</f>
        <v>0</v>
      </c>
      <c r="I1552" s="16" t="str">
        <f>CADASTROS!$H$1322</f>
        <v>000854053065-0</v>
      </c>
      <c r="J1552" s="18">
        <f t="shared" si="73"/>
        <v>0</v>
      </c>
    </row>
    <row r="1553" spans="1:10" ht="15.75" x14ac:dyDescent="0.25">
      <c r="A1553" s="24">
        <f>CADASTROS!$B$1323</f>
        <v>1321</v>
      </c>
      <c r="B1553" s="15" t="str">
        <f>CADASTROS!$C$1323</f>
        <v>Valdeque Teles Santos</v>
      </c>
      <c r="C1553" s="25"/>
      <c r="D1553" s="35">
        <f>PLANILHA_COLHEITA_DIÁRIA!$I$2027</f>
        <v>0</v>
      </c>
      <c r="E1553" s="17">
        <v>6</v>
      </c>
      <c r="F1553" s="26" t="str">
        <f>CADASTROS!$E$1323</f>
        <v>Bradesco</v>
      </c>
      <c r="G1553" s="24" t="str">
        <f>CADASTROS!$F$1323</f>
        <v>3655-2</v>
      </c>
      <c r="H1553" s="26" t="str">
        <f>CADASTROS!$G$1323</f>
        <v>poup</v>
      </c>
      <c r="I1553" s="16" t="str">
        <f>CADASTROS!$H$1323</f>
        <v>1002374-2</v>
      </c>
      <c r="J1553" s="18">
        <f t="shared" si="73"/>
        <v>0</v>
      </c>
    </row>
    <row r="1554" spans="1:10" ht="15.75" x14ac:dyDescent="0.25">
      <c r="A1554" s="24">
        <f>CADASTROS!$B$1324</f>
        <v>1322</v>
      </c>
      <c r="B1554" s="15" t="str">
        <f>CADASTROS!$C$1324</f>
        <v>Ivanilda Morais de Sousa</v>
      </c>
      <c r="C1554" s="25"/>
      <c r="D1554" s="35">
        <f>PLANILHA_COLHEITA_DIÁRIA!$I$2028</f>
        <v>0</v>
      </c>
      <c r="E1554" s="17">
        <v>6</v>
      </c>
      <c r="F1554" s="26" t="str">
        <f>CADASTROS!$E$1324</f>
        <v>Bradesco</v>
      </c>
      <c r="G1554" s="24" t="str">
        <f>CADASTROS!$F$1324</f>
        <v>2723-5</v>
      </c>
      <c r="H1554" s="26" t="str">
        <f>CADASTROS!$G$1324</f>
        <v>poup</v>
      </c>
      <c r="I1554" s="16" t="str">
        <f>CADASTROS!$H$1324</f>
        <v>1010969-8</v>
      </c>
      <c r="J1554" s="18">
        <f t="shared" si="73"/>
        <v>0</v>
      </c>
    </row>
    <row r="1555" spans="1:10" ht="15.75" x14ac:dyDescent="0.25">
      <c r="A1555" s="24">
        <f>CADASTROS!$B$1325</f>
        <v>1323</v>
      </c>
      <c r="B1555" s="15" t="str">
        <f>CADASTROS!$C$1325</f>
        <v>Marcia Silva dos Santos</v>
      </c>
      <c r="C1555" s="25"/>
      <c r="D1555" s="35">
        <f>PLANILHA_COLHEITA_DIÁRIA!$I$2029</f>
        <v>85.5</v>
      </c>
      <c r="E1555" s="17">
        <v>6</v>
      </c>
      <c r="F1555" s="26" t="str">
        <f>CADASTROS!$E$1325</f>
        <v>Cx. Econômica</v>
      </c>
      <c r="G1555" s="24">
        <f>CADASTROS!$F$1325</f>
        <v>949</v>
      </c>
      <c r="H1555" s="26">
        <f>CADASTROS!$G$1325</f>
        <v>23</v>
      </c>
      <c r="I1555" s="16" t="str">
        <f>CADASTROS!$H$1325</f>
        <v>00014804-0</v>
      </c>
      <c r="J1555" s="18">
        <f t="shared" si="73"/>
        <v>513</v>
      </c>
    </row>
    <row r="1556" spans="1:10" ht="15.75" x14ac:dyDescent="0.25">
      <c r="A1556" s="24">
        <f>CADASTROS!$B$1326</f>
        <v>1324</v>
      </c>
      <c r="B1556" s="15" t="str">
        <f>CADASTROS!$C$1326</f>
        <v>Solange Barbosa da Silva</v>
      </c>
      <c r="C1556" s="25"/>
      <c r="D1556" s="42">
        <f>PLANILHA_COLHEITA_DIÁRIA!$I$2030</f>
        <v>11</v>
      </c>
      <c r="E1556" s="17">
        <v>6</v>
      </c>
      <c r="F1556" s="26" t="str">
        <f>CADASTROS!$E$1326</f>
        <v>Bradesco</v>
      </c>
      <c r="G1556" s="24" t="str">
        <f>CADASTROS!$F$1326</f>
        <v>3616-1</v>
      </c>
      <c r="H1556" s="26" t="str">
        <f>CADASTROS!$G$1326</f>
        <v>c/corr</v>
      </c>
      <c r="I1556" s="16" t="str">
        <f>CADASTROS!$H$1326</f>
        <v>0005594-8</v>
      </c>
      <c r="J1556" s="18">
        <f t="shared" si="73"/>
        <v>66</v>
      </c>
    </row>
    <row r="1557" spans="1:10" ht="15.75" x14ac:dyDescent="0.25">
      <c r="A1557" s="24">
        <f>CADASTROS!$B$1327</f>
        <v>1325</v>
      </c>
      <c r="B1557" s="15" t="str">
        <f>CADASTROS!$C$1327</f>
        <v>Valéria de Jesus Bispo</v>
      </c>
      <c r="C1557" s="25"/>
      <c r="D1557" s="42">
        <f>PLANILHA_COLHEITA_DIÁRIA!$I$2031</f>
        <v>0</v>
      </c>
      <c r="E1557" s="17">
        <v>6</v>
      </c>
      <c r="F1557" s="26" t="str">
        <f>CADASTROS!$E$1327</f>
        <v>Cx. Econômica</v>
      </c>
      <c r="G1557" s="24">
        <f>CADASTROS!$F$1327</f>
        <v>780</v>
      </c>
      <c r="H1557" s="26">
        <f>CADASTROS!$G$1327</f>
        <v>13</v>
      </c>
      <c r="I1557" s="16" t="str">
        <f>CADASTROS!$H$1327</f>
        <v>00101466-1</v>
      </c>
      <c r="J1557" s="18">
        <f t="shared" si="73"/>
        <v>0</v>
      </c>
    </row>
    <row r="1558" spans="1:10" ht="15.75" x14ac:dyDescent="0.25">
      <c r="A1558" s="24">
        <f>CADASTROS!$B$1328</f>
        <v>1326</v>
      </c>
      <c r="B1558" s="15" t="str">
        <f>CADASTROS!$C$1328</f>
        <v>Natália dos Santos Araújo</v>
      </c>
      <c r="C1558" s="25"/>
      <c r="D1558" s="35">
        <f>PLANILHA_COLHEITA_DIÁRIA!$I$2032</f>
        <v>0</v>
      </c>
      <c r="E1558" s="17">
        <v>6</v>
      </c>
      <c r="F1558" s="26" t="str">
        <f>CADASTROS!$E$1328</f>
        <v>Cx. Econômica</v>
      </c>
      <c r="G1558" s="24">
        <f>CADASTROS!$F$1328</f>
        <v>4818</v>
      </c>
      <c r="H1558" s="26">
        <f>CADASTROS!$G$1328</f>
        <v>13</v>
      </c>
      <c r="I1558" s="16" t="str">
        <f>CADASTROS!$H$1328</f>
        <v>00013945-9</v>
      </c>
      <c r="J1558" s="18">
        <f t="shared" si="73"/>
        <v>0</v>
      </c>
    </row>
    <row r="1559" spans="1:10" ht="15.75" x14ac:dyDescent="0.25">
      <c r="A1559" s="24">
        <f>CADASTROS!$B$1329</f>
        <v>1327</v>
      </c>
      <c r="B1559" s="15" t="str">
        <f>CADASTROS!$C$1329</f>
        <v>Hildeni Alves Araujo</v>
      </c>
      <c r="C1559" s="25"/>
      <c r="D1559" s="42">
        <f>PLANILHA_COLHEITA_DIÁRIA!$I$2033</f>
        <v>0</v>
      </c>
      <c r="E1559" s="17">
        <v>6</v>
      </c>
      <c r="F1559" s="26" t="str">
        <f>CADASTROS!$E$1329</f>
        <v>Cx. Econômica</v>
      </c>
      <c r="G1559" s="24">
        <f>CADASTROS!$F$1329</f>
        <v>949</v>
      </c>
      <c r="H1559" s="26">
        <f>CADASTROS!$G$1329</f>
        <v>23</v>
      </c>
      <c r="I1559" s="16" t="str">
        <f>CADASTROS!$H$1329</f>
        <v>00024666-1</v>
      </c>
      <c r="J1559" s="18">
        <f t="shared" si="73"/>
        <v>0</v>
      </c>
    </row>
    <row r="1560" spans="1:10" ht="15.75" x14ac:dyDescent="0.25">
      <c r="A1560" s="24">
        <f>CADASTROS!$B$1330</f>
        <v>1328</v>
      </c>
      <c r="B1560" s="15" t="str">
        <f>CADASTROS!$C$1330</f>
        <v>Gisselia Santos da Silva</v>
      </c>
      <c r="C1560" s="25"/>
      <c r="D1560" s="42">
        <f>PLANILHA_COLHEITA_DIÁRIA!$I$2034</f>
        <v>0</v>
      </c>
      <c r="E1560" s="17">
        <v>6</v>
      </c>
      <c r="F1560" s="26" t="str">
        <f>CADASTROS!$E$1330</f>
        <v>Cx. Econômica</v>
      </c>
      <c r="G1560" s="24">
        <f>CADASTROS!$F$1330</f>
        <v>4818</v>
      </c>
      <c r="H1560" s="26">
        <f>CADASTROS!$G$1330</f>
        <v>13</v>
      </c>
      <c r="I1560" s="16" t="str">
        <f>CADASTROS!$H$1330</f>
        <v>00022760-0</v>
      </c>
      <c r="J1560" s="18">
        <f t="shared" si="73"/>
        <v>0</v>
      </c>
    </row>
    <row r="1561" spans="1:10" ht="15.75" x14ac:dyDescent="0.25">
      <c r="A1561" s="24">
        <f>CADASTROS!$B$1331</f>
        <v>1329</v>
      </c>
      <c r="B1561" s="15" t="str">
        <f>CADASTROS!$C$1331</f>
        <v>José Leandro Alves Costa</v>
      </c>
      <c r="C1561" s="25"/>
      <c r="D1561" s="35">
        <f>PLANILHA_COLHEITA_DIÁRIA!$I$2035</f>
        <v>0</v>
      </c>
      <c r="E1561" s="17">
        <v>6</v>
      </c>
      <c r="F1561" s="26" t="str">
        <f>CADASTROS!$E$1331</f>
        <v>Cx. Econômica</v>
      </c>
      <c r="G1561" s="24">
        <f>CADASTROS!$F$1331</f>
        <v>4825</v>
      </c>
      <c r="H1561" s="26">
        <f>CADASTROS!$G$1331</f>
        <v>13</v>
      </c>
      <c r="I1561" s="16" t="str">
        <f>CADASTROS!$H$1331</f>
        <v>00018703-6</v>
      </c>
      <c r="J1561" s="18">
        <f t="shared" si="73"/>
        <v>0</v>
      </c>
    </row>
    <row r="1562" spans="1:10" ht="15.75" x14ac:dyDescent="0.25">
      <c r="A1562" s="24">
        <f>CADASTROS!$B$1332</f>
        <v>1330</v>
      </c>
      <c r="B1562" s="15" t="str">
        <f>CADASTROS!$C$1332</f>
        <v>Robenilson da Cruz Silva</v>
      </c>
      <c r="C1562" s="25"/>
      <c r="D1562" s="35">
        <f>PLANILHA_COLHEITA_DIÁRIA!$I$2036</f>
        <v>0</v>
      </c>
      <c r="E1562" s="17">
        <v>6</v>
      </c>
      <c r="F1562" s="26" t="str">
        <f>CADASTROS!$E$1332</f>
        <v>Cx. Econômica</v>
      </c>
      <c r="G1562" s="24">
        <f>CADASTROS!$F$1332</f>
        <v>147</v>
      </c>
      <c r="H1562" s="26">
        <f>CADASTROS!$G$1332</f>
        <v>13</v>
      </c>
      <c r="I1562" s="16" t="str">
        <f>CADASTROS!$H$1332</f>
        <v>00025062-9</v>
      </c>
      <c r="J1562" s="18">
        <f t="shared" si="73"/>
        <v>0</v>
      </c>
    </row>
    <row r="1563" spans="1:10" ht="15.75" x14ac:dyDescent="0.25">
      <c r="A1563" s="24">
        <f>CADASTROS!$B$1333</f>
        <v>1331</v>
      </c>
      <c r="B1563" s="15" t="str">
        <f>CADASTROS!$C$1333</f>
        <v>Marilene do Rosário da Conceição</v>
      </c>
      <c r="C1563" s="25"/>
      <c r="D1563" s="35">
        <f>PLANILHA_COLHEITA_DIÁRIA!$I$2037</f>
        <v>53</v>
      </c>
      <c r="E1563" s="17">
        <v>6</v>
      </c>
      <c r="F1563" s="26" t="str">
        <f>CADASTROS!$E$1333</f>
        <v>Bradesco</v>
      </c>
      <c r="G1563" s="24" t="str">
        <f>CADASTROS!$F$1333</f>
        <v>3801-6</v>
      </c>
      <c r="H1563" s="26" t="str">
        <f>CADASTROS!$G$1333</f>
        <v>c/corr</v>
      </c>
      <c r="I1563" s="16" t="str">
        <f>CADASTROS!$H$1333</f>
        <v>0001442-7</v>
      </c>
      <c r="J1563" s="18">
        <f t="shared" si="73"/>
        <v>318</v>
      </c>
    </row>
    <row r="1564" spans="1:10" ht="15.75" x14ac:dyDescent="0.25">
      <c r="A1564" s="24">
        <f>CADASTROS!$B$1334</f>
        <v>1332</v>
      </c>
      <c r="B1564" s="15" t="str">
        <f>CADASTROS!$C$1334</f>
        <v>Milton Rosa de Souza</v>
      </c>
      <c r="C1564" s="25"/>
      <c r="D1564" s="35">
        <f>PLANILHA_COLHEITA_DIÁRIA!$I$2038</f>
        <v>0</v>
      </c>
      <c r="E1564" s="17">
        <v>6</v>
      </c>
      <c r="F1564" s="26" t="str">
        <f>CADASTROS!$E$1334</f>
        <v>Cx. Econômica</v>
      </c>
      <c r="G1564" s="24">
        <f>CADASTROS!$F$1334</f>
        <v>4825</v>
      </c>
      <c r="H1564" s="26">
        <f>CADASTROS!$G$1334</f>
        <v>13</v>
      </c>
      <c r="I1564" s="16" t="str">
        <f>CADASTROS!$H$1334</f>
        <v>00022628-7</v>
      </c>
      <c r="J1564" s="18">
        <f t="shared" si="73"/>
        <v>0</v>
      </c>
    </row>
    <row r="1565" spans="1:10" ht="15.75" x14ac:dyDescent="0.25">
      <c r="A1565" s="24">
        <f>CADASTROS!$B$1335</f>
        <v>1333</v>
      </c>
      <c r="B1565" s="15" t="str">
        <f>CADASTROS!$C$1335</f>
        <v>Natália Ribeiro de Souza</v>
      </c>
      <c r="C1565" s="25"/>
      <c r="D1565" s="35">
        <f>PLANILHA_COLHEITA_DIÁRIA!$I$2039</f>
        <v>0</v>
      </c>
      <c r="E1565" s="17">
        <v>6</v>
      </c>
      <c r="F1565" s="26" t="str">
        <f>CADASTROS!$E$1335</f>
        <v>Bradesco</v>
      </c>
      <c r="G1565" s="24" t="str">
        <f>CADASTROS!$F$1335</f>
        <v>3801-6</v>
      </c>
      <c r="H1565" s="26" t="str">
        <f>CADASTROS!$G$1335</f>
        <v>poup</v>
      </c>
      <c r="I1565" s="16" t="str">
        <f>CADASTROS!$H$1335</f>
        <v>0006950-7</v>
      </c>
      <c r="J1565" s="18">
        <f t="shared" si="73"/>
        <v>0</v>
      </c>
    </row>
    <row r="1566" spans="1:10" ht="15.75" x14ac:dyDescent="0.25">
      <c r="A1566" s="24">
        <f>CADASTROS!$B$1336</f>
        <v>1334</v>
      </c>
      <c r="B1566" s="15" t="str">
        <f>CADASTROS!$C$1336</f>
        <v>Edicleide Barbosa de Oliveira</v>
      </c>
      <c r="C1566" s="25"/>
      <c r="D1566" s="53">
        <f>PLANILHA_COLHEITA_DIÁRIA!$I$2040</f>
        <v>0</v>
      </c>
      <c r="E1566" s="17">
        <v>6</v>
      </c>
      <c r="F1566" s="26" t="str">
        <f>CADASTROS!$E$1336</f>
        <v>Bradesco</v>
      </c>
      <c r="G1566" s="24" t="str">
        <f>CADASTROS!$F$1336</f>
        <v>3616-1</v>
      </c>
      <c r="H1566" s="26" t="str">
        <f>CADASTROS!$G$1336</f>
        <v>c/corr</v>
      </c>
      <c r="I1566" s="16" t="str">
        <f>CADASTROS!$H$1336</f>
        <v>0005310-4</v>
      </c>
      <c r="J1566" s="18">
        <f t="shared" si="73"/>
        <v>0</v>
      </c>
    </row>
    <row r="1567" spans="1:10" ht="15.75" x14ac:dyDescent="0.25">
      <c r="A1567" s="24">
        <f>CADASTROS!$B$1337</f>
        <v>1335</v>
      </c>
      <c r="B1567" s="15" t="str">
        <f>CADASTROS!$C$1337</f>
        <v>Dionei J. dos Anjos</v>
      </c>
      <c r="C1567" s="25"/>
      <c r="D1567" s="35">
        <f>PLANILHA_COLHEITA_DIÁRIA!$I$2041</f>
        <v>26</v>
      </c>
      <c r="E1567" s="17">
        <v>6</v>
      </c>
      <c r="F1567" s="26" t="str">
        <f>CADASTROS!$E$1337</f>
        <v>Cx. Econômica</v>
      </c>
      <c r="G1567" s="24">
        <f>CADASTROS!$F$1337</f>
        <v>949</v>
      </c>
      <c r="H1567" s="26">
        <f>CADASTROS!$G$1337</f>
        <v>13</v>
      </c>
      <c r="I1567" s="16" t="str">
        <f>CADASTROS!$H$1337</f>
        <v>00070601-0</v>
      </c>
      <c r="J1567" s="18">
        <f t="shared" si="73"/>
        <v>156</v>
      </c>
    </row>
    <row r="1568" spans="1:10" ht="15.75" x14ac:dyDescent="0.25">
      <c r="A1568" s="24">
        <f>CADASTROS!$B$1338</f>
        <v>1336</v>
      </c>
      <c r="B1568" s="15" t="str">
        <f>CADASTROS!$C$1338</f>
        <v>Gabriel Sa Teles de Sousa</v>
      </c>
      <c r="C1568" s="25"/>
      <c r="D1568" s="42">
        <f>PLANILHA_COLHEITA_DIÁRIA!$I$2042</f>
        <v>0</v>
      </c>
      <c r="E1568" s="17">
        <v>6</v>
      </c>
      <c r="F1568" s="26" t="str">
        <f>CADASTROS!$E$1338</f>
        <v>Cx. Econômica</v>
      </c>
      <c r="G1568" s="24">
        <f>CADASTROS!$F$1338</f>
        <v>4818</v>
      </c>
      <c r="H1568" s="26">
        <f>CADASTROS!$G$1338</f>
        <v>13</v>
      </c>
      <c r="I1568" s="16" t="str">
        <f>CADASTROS!$H$1338</f>
        <v>00006062-3</v>
      </c>
      <c r="J1568" s="18">
        <f t="shared" si="73"/>
        <v>0</v>
      </c>
    </row>
    <row r="1569" spans="1:10" ht="15.75" x14ac:dyDescent="0.25">
      <c r="A1569" s="24">
        <f>CADASTROS!$B$1339</f>
        <v>1337</v>
      </c>
      <c r="B1569" s="15" t="str">
        <f>CADASTROS!$C$1339</f>
        <v>Jildecir Martins Sampaio</v>
      </c>
      <c r="C1569" s="25"/>
      <c r="D1569" s="53">
        <f>PLANILHA_COLHEITA_DIÁRIA!$I$2043</f>
        <v>190</v>
      </c>
      <c r="E1569" s="17">
        <v>6</v>
      </c>
      <c r="F1569" s="26" t="str">
        <f>CADASTROS!$E$1339</f>
        <v>Bradesco</v>
      </c>
      <c r="G1569" s="24" t="str">
        <f>CADASTROS!$F$1339</f>
        <v>3616-1</v>
      </c>
      <c r="H1569" s="26" t="str">
        <f>CADASTROS!$G$1339</f>
        <v>poup</v>
      </c>
      <c r="I1569" s="16" t="str">
        <f>CADASTROS!$H$1339</f>
        <v>1001140-0</v>
      </c>
      <c r="J1569" s="18">
        <f t="shared" si="73"/>
        <v>1140</v>
      </c>
    </row>
    <row r="1570" spans="1:10" ht="15.75" x14ac:dyDescent="0.25">
      <c r="A1570" s="24">
        <f>CADASTROS!$B$1340</f>
        <v>1338</v>
      </c>
      <c r="B1570" s="15" t="str">
        <f>CADASTROS!$C$1340</f>
        <v>Antônio Carlos Peixoto</v>
      </c>
      <c r="C1570" s="25"/>
      <c r="D1570" s="53">
        <f>PLANILHA_COLHEITA_DIÁRIA!$I$2044</f>
        <v>185</v>
      </c>
      <c r="E1570" s="17">
        <v>6</v>
      </c>
      <c r="F1570" s="26" t="str">
        <f>CADASTROS!$E$1340</f>
        <v>Cx. Econômica</v>
      </c>
      <c r="G1570" s="24">
        <f>CADASTROS!$F$1340</f>
        <v>780</v>
      </c>
      <c r="H1570" s="26">
        <f>CADASTROS!$G$1340</f>
        <v>0</v>
      </c>
      <c r="I1570" s="16" t="str">
        <f>CADASTROS!$H$1340</f>
        <v>000799729978-6</v>
      </c>
      <c r="J1570" s="18">
        <f t="shared" si="73"/>
        <v>1110</v>
      </c>
    </row>
    <row r="1571" spans="1:10" ht="15.75" x14ac:dyDescent="0.25">
      <c r="A1571" s="24">
        <f>CADASTROS!$B$1341</f>
        <v>1339</v>
      </c>
      <c r="B1571" s="15" t="str">
        <f>CADASTROS!$C$1341</f>
        <v>Edison Brito da Silva</v>
      </c>
      <c r="C1571" s="25"/>
      <c r="D1571" s="35">
        <f>PLANILHA_COLHEITA_DIÁRIA!$I$2045</f>
        <v>9</v>
      </c>
      <c r="E1571" s="17">
        <v>6</v>
      </c>
      <c r="F1571" s="26" t="str">
        <f>CADASTROS!$E$1341</f>
        <v>Cx. Econômica</v>
      </c>
      <c r="G1571" s="24">
        <f>CADASTROS!$F$1341</f>
        <v>4825</v>
      </c>
      <c r="H1571" s="26">
        <f>CADASTROS!$G$1341</f>
        <v>13</v>
      </c>
      <c r="I1571" s="16" t="str">
        <f>CADASTROS!$H$1341</f>
        <v>00014812-0</v>
      </c>
      <c r="J1571" s="18">
        <f t="shared" si="73"/>
        <v>54</v>
      </c>
    </row>
    <row r="1572" spans="1:10" ht="15.75" x14ac:dyDescent="0.25">
      <c r="A1572" s="24">
        <f>CADASTROS!$B$1342</f>
        <v>1340</v>
      </c>
      <c r="B1572" s="15" t="str">
        <f>CADASTROS!$C$1342</f>
        <v>Gilmar Ferreira de Plinio</v>
      </c>
      <c r="C1572" s="25"/>
      <c r="D1572" s="42">
        <f>PLANILHA_COLHEITA_DIÁRIA!$I$2046</f>
        <v>43</v>
      </c>
      <c r="E1572" s="17">
        <v>6</v>
      </c>
      <c r="F1572" s="26" t="str">
        <f>CADASTROS!$E$1342</f>
        <v>Bradesco</v>
      </c>
      <c r="G1572" s="24" t="str">
        <f>CADASTROS!$F$1342</f>
        <v>3616-1</v>
      </c>
      <c r="H1572" s="26" t="str">
        <f>CADASTROS!$G$1342</f>
        <v>poup</v>
      </c>
      <c r="I1572" s="16" t="str">
        <f>CADASTROS!$H$1342</f>
        <v>1000721-6</v>
      </c>
      <c r="J1572" s="18">
        <f t="shared" si="73"/>
        <v>258</v>
      </c>
    </row>
    <row r="1573" spans="1:10" ht="15.75" x14ac:dyDescent="0.25">
      <c r="A1573" s="24">
        <f>CADASTROS!$B$1343</f>
        <v>1341</v>
      </c>
      <c r="B1573" s="15" t="str">
        <f>CADASTROS!$C$1343</f>
        <v>Mariana Silva Nunes</v>
      </c>
      <c r="C1573" s="25"/>
      <c r="D1573" s="35">
        <f>PLANILHA_COLHEITA_DIÁRIA!$I$2047</f>
        <v>0</v>
      </c>
      <c r="E1573" s="17">
        <v>6</v>
      </c>
      <c r="F1573" s="26" t="str">
        <f>CADASTROS!$E$1343</f>
        <v>Bradesco</v>
      </c>
      <c r="G1573" s="24" t="str">
        <f>CADASTROS!$F$1343</f>
        <v>3801-6</v>
      </c>
      <c r="H1573" s="26" t="str">
        <f>CADASTROS!$G$1343</f>
        <v>c/corr</v>
      </c>
      <c r="I1573" s="16" t="str">
        <f>CADASTROS!$H$1343</f>
        <v>0003446-0</v>
      </c>
      <c r="J1573" s="18">
        <f t="shared" si="73"/>
        <v>0</v>
      </c>
    </row>
    <row r="1574" spans="1:10" ht="15.75" x14ac:dyDescent="0.25">
      <c r="A1574" s="24">
        <f>CADASTROS!$B$1344</f>
        <v>1342</v>
      </c>
      <c r="B1574" s="15" t="str">
        <f>CADASTROS!$C$1344</f>
        <v>Celene Alves M de Matos</v>
      </c>
      <c r="C1574" s="25"/>
      <c r="D1574" s="53">
        <f>PLANILHA_COLHEITA_DIÁRIA!$I$2048</f>
        <v>0</v>
      </c>
      <c r="E1574" s="17">
        <v>6</v>
      </c>
      <c r="F1574" s="26" t="str">
        <f>CADASTROS!$E$1344</f>
        <v>Cx. Econômica</v>
      </c>
      <c r="G1574" s="24">
        <f>CADASTROS!$F$1344</f>
        <v>4825</v>
      </c>
      <c r="H1574" s="26">
        <f>CADASTROS!$G$1344</f>
        <v>13</v>
      </c>
      <c r="I1574" s="16" t="str">
        <f>CADASTROS!$H$1344</f>
        <v>00012993-1</v>
      </c>
      <c r="J1574" s="18">
        <f t="shared" si="73"/>
        <v>0</v>
      </c>
    </row>
    <row r="1575" spans="1:10" ht="15.75" x14ac:dyDescent="0.25">
      <c r="A1575" s="24">
        <f>CADASTROS!$B$1345</f>
        <v>1343</v>
      </c>
      <c r="B1575" s="15" t="str">
        <f>CADASTROS!$C$1345</f>
        <v>Jerferson Andrade de Lima</v>
      </c>
      <c r="C1575" s="25"/>
      <c r="D1575" s="53">
        <f>PLANILHA_COLHEITA_DIÁRIA!$I$2049</f>
        <v>0</v>
      </c>
      <c r="E1575" s="17">
        <v>6</v>
      </c>
      <c r="F1575" s="26" t="str">
        <f>CADASTROS!$E$1345</f>
        <v>Cx. Econômica</v>
      </c>
      <c r="G1575" s="24">
        <f>CADASTROS!$F$1345</f>
        <v>4825</v>
      </c>
      <c r="H1575" s="26">
        <f>CADASTROS!$G$1345</f>
        <v>13</v>
      </c>
      <c r="I1575" s="16" t="str">
        <f>CADASTROS!$H$1345</f>
        <v>00004561-4</v>
      </c>
      <c r="J1575" s="18">
        <f t="shared" si="73"/>
        <v>0</v>
      </c>
    </row>
    <row r="1576" spans="1:10" ht="15.75" x14ac:dyDescent="0.25">
      <c r="A1576" s="24">
        <f>CADASTROS!$B$1346</f>
        <v>1344</v>
      </c>
      <c r="B1576" s="15" t="str">
        <f>CADASTROS!$C$1346</f>
        <v>Ediene Lima Soares</v>
      </c>
      <c r="C1576" s="25"/>
      <c r="D1576" s="35">
        <f>PLANILHA_COLHEITA_DIÁRIA!$I$2050</f>
        <v>158</v>
      </c>
      <c r="E1576" s="17">
        <v>6</v>
      </c>
      <c r="F1576" s="26" t="str">
        <f>CADASTROS!$E$1346</f>
        <v>Cx. Econômica</v>
      </c>
      <c r="G1576" s="24">
        <f>CADASTROS!$F$1346</f>
        <v>4825</v>
      </c>
      <c r="H1576" s="26">
        <f>CADASTROS!$G$1346</f>
        <v>13</v>
      </c>
      <c r="I1576" s="16" t="str">
        <f>CADASTROS!$H$1346</f>
        <v>00009264-7</v>
      </c>
      <c r="J1576" s="18">
        <f t="shared" si="73"/>
        <v>948</v>
      </c>
    </row>
    <row r="1577" spans="1:10" ht="15.75" x14ac:dyDescent="0.25">
      <c r="A1577" s="24">
        <f>CADASTROS!$B$1347</f>
        <v>1345</v>
      </c>
      <c r="B1577" s="15" t="str">
        <f>CADASTROS!$C$1347</f>
        <v>Lucineide de Souza Santos</v>
      </c>
      <c r="C1577" s="25"/>
      <c r="D1577" s="35">
        <f>PLANILHA_COLHEITA_DIÁRIA!$I$2062</f>
        <v>102</v>
      </c>
      <c r="E1577" s="17">
        <v>6</v>
      </c>
      <c r="F1577" s="26" t="str">
        <f>CADASTROS!$E$1347</f>
        <v>Cx. Econômica</v>
      </c>
      <c r="G1577" s="24">
        <f>CADASTROS!$F$1347</f>
        <v>3204</v>
      </c>
      <c r="H1577" s="26">
        <f>CADASTROS!$G$1347</f>
        <v>13</v>
      </c>
      <c r="I1577" s="16" t="str">
        <f>CADASTROS!$H$1347</f>
        <v>00011119-7</v>
      </c>
      <c r="J1577" s="18">
        <f t="shared" si="73"/>
        <v>612</v>
      </c>
    </row>
    <row r="1578" spans="1:10" ht="15.75" x14ac:dyDescent="0.25">
      <c r="A1578" s="24">
        <f>CADASTROS!$B$1348</f>
        <v>1346</v>
      </c>
      <c r="B1578" s="15" t="str">
        <f>CADASTROS!$C$1348</f>
        <v>Terezinha S. Santos</v>
      </c>
      <c r="C1578" s="25"/>
      <c r="D1578" s="35">
        <f>PLANILHA_COLHEITA_DIÁRIA!$I$2063</f>
        <v>69</v>
      </c>
      <c r="E1578" s="17">
        <v>6</v>
      </c>
      <c r="F1578" s="26" t="str">
        <f>CADASTROS!$E$1348</f>
        <v>Banco do Brasil</v>
      </c>
      <c r="G1578" s="24" t="str">
        <f>CADASTROS!$F$1348</f>
        <v>2760-X</v>
      </c>
      <c r="H1578" s="26" t="str">
        <f>CADASTROS!$G$1348</f>
        <v>poup</v>
      </c>
      <c r="I1578" s="16" t="str">
        <f>CADASTROS!$H$1348</f>
        <v>12.775-2</v>
      </c>
      <c r="J1578" s="18">
        <f t="shared" si="73"/>
        <v>414</v>
      </c>
    </row>
    <row r="1579" spans="1:10" ht="15.75" x14ac:dyDescent="0.25">
      <c r="A1579" s="24">
        <f>CADASTROS!$B$1349</f>
        <v>1347</v>
      </c>
      <c r="B1579" s="15" t="str">
        <f>CADASTROS!$C$1349</f>
        <v>Poliana Nunes dos Santos</v>
      </c>
      <c r="C1579" s="25"/>
      <c r="D1579" s="53">
        <f>PLANILHA_COLHEITA_DIÁRIA!$I$2064</f>
        <v>61</v>
      </c>
      <c r="E1579" s="17">
        <v>6</v>
      </c>
      <c r="F1579" s="26" t="str">
        <f>CADASTROS!$E$1349</f>
        <v>Cx. Econômica</v>
      </c>
      <c r="G1579" s="24">
        <f>CADASTROS!$F$1349</f>
        <v>4825</v>
      </c>
      <c r="H1579" s="26">
        <f>CADASTROS!$G$1349</f>
        <v>13</v>
      </c>
      <c r="I1579" s="16" t="str">
        <f>CADASTROS!$H$1349</f>
        <v>00023900-1</v>
      </c>
      <c r="J1579" s="18">
        <f t="shared" si="73"/>
        <v>366</v>
      </c>
    </row>
    <row r="1580" spans="1:10" ht="15.75" x14ac:dyDescent="0.25">
      <c r="A1580" s="24">
        <f>CADASTROS!$B$1350</f>
        <v>1348</v>
      </c>
      <c r="B1580" s="15" t="str">
        <f>CADASTROS!$C$1350</f>
        <v>Jose Nilton P. dos Santos</v>
      </c>
      <c r="C1580" s="25"/>
      <c r="D1580" s="35">
        <f>PLANILHA_COLHEITA_DIÁRIA!$I$2065</f>
        <v>24</v>
      </c>
      <c r="E1580" s="17">
        <v>6</v>
      </c>
      <c r="F1580" s="26" t="str">
        <f>CADASTROS!$E$1350</f>
        <v>Cx. Econômica</v>
      </c>
      <c r="G1580" s="24">
        <f>CADASTROS!$F$1350</f>
        <v>4825</v>
      </c>
      <c r="H1580" s="26">
        <f>CADASTROS!$G$1350</f>
        <v>13</v>
      </c>
      <c r="I1580" s="16" t="str">
        <f>CADASTROS!$H$1350</f>
        <v>00023729-7</v>
      </c>
      <c r="J1580" s="18">
        <f t="shared" si="73"/>
        <v>144</v>
      </c>
    </row>
    <row r="1581" spans="1:10" ht="15.75" x14ac:dyDescent="0.25">
      <c r="A1581" s="24">
        <f>CADASTROS!$B$1351</f>
        <v>1349</v>
      </c>
      <c r="B1581" s="15" t="str">
        <f>CADASTROS!$C$1351</f>
        <v>Antônio Selmo N. Marques</v>
      </c>
      <c r="C1581" s="25"/>
      <c r="D1581" s="35">
        <f>PLANILHA_COLHEITA_DIÁRIA!$I$2066</f>
        <v>41</v>
      </c>
      <c r="E1581" s="17">
        <v>6</v>
      </c>
      <c r="F1581" s="26" t="str">
        <f>CADASTROS!$E$1351</f>
        <v>Cx. Econômica</v>
      </c>
      <c r="G1581" s="24">
        <f>CADASTROS!$F$1351</f>
        <v>566</v>
      </c>
      <c r="H1581" s="26">
        <f>CADASTROS!$G$1351</f>
        <v>13</v>
      </c>
      <c r="I1581" s="16" t="str">
        <f>CADASTROS!$H$1351</f>
        <v>00133614-2</v>
      </c>
      <c r="J1581" s="18">
        <f t="shared" si="73"/>
        <v>246</v>
      </c>
    </row>
    <row r="1582" spans="1:10" ht="15.75" x14ac:dyDescent="0.25">
      <c r="B1582" s="159"/>
      <c r="C1582" s="159"/>
      <c r="D1582" s="12">
        <f>SUM(D1537:D1581)</f>
        <v>1161</v>
      </c>
      <c r="E1582" s="12"/>
      <c r="F1582" s="162"/>
      <c r="G1582" s="163"/>
      <c r="H1582" s="163"/>
      <c r="I1582" s="164"/>
      <c r="J1582" s="14">
        <f>SUM(J1537:J1581)</f>
        <v>6966</v>
      </c>
    </row>
    <row r="1584" spans="1:10" ht="15.75" x14ac:dyDescent="0.25">
      <c r="A1584" s="213" t="s">
        <v>4816</v>
      </c>
      <c r="B1584" s="213"/>
      <c r="C1584" s="213"/>
      <c r="D1584" s="213"/>
      <c r="E1584" s="213"/>
      <c r="F1584" s="213"/>
      <c r="G1584" s="213"/>
      <c r="H1584" s="213"/>
      <c r="I1584" s="213"/>
      <c r="J1584" s="213"/>
    </row>
    <row r="1585" spans="1:10" ht="16.5" thickBot="1" x14ac:dyDescent="0.3">
      <c r="A1585" s="214" t="s">
        <v>4843</v>
      </c>
      <c r="B1585" s="214"/>
      <c r="C1585" s="214"/>
      <c r="D1585" s="214"/>
      <c r="E1585" s="214"/>
      <c r="F1585" s="214"/>
      <c r="G1585" s="214"/>
      <c r="H1585" s="214"/>
      <c r="I1585" s="214"/>
      <c r="J1585" s="214"/>
    </row>
    <row r="1586" spans="1:10" ht="17.25" thickTop="1" thickBot="1" x14ac:dyDescent="0.3">
      <c r="A1586" s="215" t="s">
        <v>4844</v>
      </c>
      <c r="B1586" s="215"/>
      <c r="C1586" s="215"/>
      <c r="D1586" s="215"/>
      <c r="E1586" s="215"/>
      <c r="F1586" s="215"/>
      <c r="G1586" s="215"/>
      <c r="H1586" s="215"/>
      <c r="I1586" s="215"/>
      <c r="J1586" s="215"/>
    </row>
    <row r="1587" spans="1:10" ht="17.100000000000001" customHeight="1" x14ac:dyDescent="0.25">
      <c r="A1587" s="19" t="s">
        <v>4846</v>
      </c>
      <c r="B1587" s="216" t="s">
        <v>1</v>
      </c>
      <c r="C1587" s="216" t="s">
        <v>2</v>
      </c>
      <c r="D1587" s="160" t="s">
        <v>4847</v>
      </c>
      <c r="E1587" s="20" t="s">
        <v>4848</v>
      </c>
      <c r="F1587" s="157" t="s">
        <v>3</v>
      </c>
      <c r="G1587" s="157" t="s">
        <v>4</v>
      </c>
      <c r="H1587" s="157" t="s">
        <v>5</v>
      </c>
      <c r="I1587" s="157" t="s">
        <v>6</v>
      </c>
      <c r="J1587" s="218" t="s">
        <v>4849</v>
      </c>
    </row>
    <row r="1588" spans="1:10" ht="18.600000000000001" customHeight="1" thickBot="1" x14ac:dyDescent="0.3">
      <c r="A1588" s="21" t="s">
        <v>4850</v>
      </c>
      <c r="B1588" s="217"/>
      <c r="C1588" s="217"/>
      <c r="D1588" s="161"/>
      <c r="E1588" s="161" t="s">
        <v>4851</v>
      </c>
      <c r="F1588" s="158"/>
      <c r="G1588" s="158"/>
      <c r="H1588" s="158"/>
      <c r="I1588" s="158"/>
      <c r="J1588" s="219"/>
    </row>
    <row r="1589" spans="1:10" ht="15.75" x14ac:dyDescent="0.25">
      <c r="A1589" s="24">
        <f>CADASTROS!$B$1352</f>
        <v>1350</v>
      </c>
      <c r="B1589" s="15" t="str">
        <f>CADASTROS!$C$1352</f>
        <v>Edilson Ribeiro</v>
      </c>
      <c r="C1589" s="25"/>
      <c r="D1589" s="35">
        <f>PLANILHA_COLHEITA_DIÁRIA!$I$2067</f>
        <v>0</v>
      </c>
      <c r="E1589" s="17">
        <v>6</v>
      </c>
      <c r="F1589" s="26" t="str">
        <f>CADASTROS!$E$1352</f>
        <v>Cx. Econômica</v>
      </c>
      <c r="G1589" s="24">
        <f>CADASTROS!$F$1352</f>
        <v>4825</v>
      </c>
      <c r="H1589" s="26">
        <f>CADASTROS!$G$1352</f>
        <v>13</v>
      </c>
      <c r="I1589" s="16" t="str">
        <f>CADASTROS!$H$1352</f>
        <v>00022187-0</v>
      </c>
      <c r="J1589" s="18">
        <f t="shared" ref="J1589:J1598" si="74">D1589*E1589</f>
        <v>0</v>
      </c>
    </row>
    <row r="1590" spans="1:10" ht="15.75" x14ac:dyDescent="0.25">
      <c r="A1590" s="24">
        <f>CADASTROS!$B$1353</f>
        <v>1351</v>
      </c>
      <c r="B1590" s="15" t="str">
        <f>CADASTROS!$C$1353</f>
        <v>Ivonete Euzébio dos Anjos</v>
      </c>
      <c r="C1590" s="25"/>
      <c r="D1590" s="42">
        <f>PLANILHA_COLHEITA_DIÁRIA!$I$2068</f>
        <v>0</v>
      </c>
      <c r="E1590" s="17">
        <v>6</v>
      </c>
      <c r="F1590" s="26" t="str">
        <f>CADASTROS!$E$1353</f>
        <v>Bradesco</v>
      </c>
      <c r="G1590" s="24" t="str">
        <f>CADASTROS!$F$1353</f>
        <v>3801-6</v>
      </c>
      <c r="H1590" s="26" t="str">
        <f>CADASTROS!$G$1353</f>
        <v>c/corr</v>
      </c>
      <c r="I1590" s="16" t="str">
        <f>CADASTROS!$H$1353</f>
        <v>0001042-1</v>
      </c>
      <c r="J1590" s="18">
        <f t="shared" si="74"/>
        <v>0</v>
      </c>
    </row>
    <row r="1591" spans="1:10" ht="15.75" x14ac:dyDescent="0.25">
      <c r="A1591" s="24">
        <f>CADASTROS!$B$1354</f>
        <v>1352</v>
      </c>
      <c r="B1591" s="15" t="str">
        <f>CADASTROS!$C$1354</f>
        <v>Fernando Sá Teles Santana</v>
      </c>
      <c r="C1591" s="25"/>
      <c r="D1591" s="35">
        <f>PLANILHA_COLHEITA_DIÁRIA!$I$2069</f>
        <v>0</v>
      </c>
      <c r="E1591" s="17">
        <v>6</v>
      </c>
      <c r="F1591" s="26" t="str">
        <f>CADASTROS!$E$1354</f>
        <v>Cx. Econômica</v>
      </c>
      <c r="G1591" s="24">
        <f>CADASTROS!$F$1354</f>
        <v>4825</v>
      </c>
      <c r="H1591" s="26">
        <f>CADASTROS!$G$1354</f>
        <v>13</v>
      </c>
      <c r="I1591" s="16" t="str">
        <f>CADASTROS!$H$1354</f>
        <v>00011398-9</v>
      </c>
      <c r="J1591" s="18">
        <f t="shared" si="74"/>
        <v>0</v>
      </c>
    </row>
    <row r="1592" spans="1:10" ht="15.75" x14ac:dyDescent="0.25">
      <c r="A1592" s="24">
        <f>CADASTROS!$B$1355</f>
        <v>1353</v>
      </c>
      <c r="B1592" s="15" t="str">
        <f>CADASTROS!$C$1355</f>
        <v>Laisa Mendes Araújo</v>
      </c>
      <c r="C1592" s="25"/>
      <c r="D1592" s="53">
        <f>PLANILHA_COLHEITA_DIÁRIA!$I$2070</f>
        <v>0</v>
      </c>
      <c r="E1592" s="17">
        <v>6</v>
      </c>
      <c r="F1592" s="26" t="str">
        <f>CADASTROS!$E$1355</f>
        <v>Bradesco</v>
      </c>
      <c r="G1592" s="24" t="str">
        <f>CADASTROS!$F$1355</f>
        <v>3801-6</v>
      </c>
      <c r="H1592" s="26" t="str">
        <f>CADASTROS!$G$1355</f>
        <v>c/corr</v>
      </c>
      <c r="I1592" s="16" t="str">
        <f>CADASTROS!$H$1355</f>
        <v>350353-4</v>
      </c>
      <c r="J1592" s="18">
        <f t="shared" si="74"/>
        <v>0</v>
      </c>
    </row>
    <row r="1593" spans="1:10" ht="15.75" x14ac:dyDescent="0.25">
      <c r="A1593" s="24">
        <f>CADASTROS!$B$1356</f>
        <v>1354</v>
      </c>
      <c r="B1593" s="15" t="str">
        <f>CADASTROS!$C$1356</f>
        <v>Gilderlandia Maria de Oliveira</v>
      </c>
      <c r="C1593" s="25"/>
      <c r="D1593" s="35">
        <f>PLANILHA_COLHEITA_DIÁRIA!$I$2071</f>
        <v>0</v>
      </c>
      <c r="E1593" s="17">
        <v>6</v>
      </c>
      <c r="F1593" s="26" t="str">
        <f>CADASTROS!$E$1356</f>
        <v>Cx. Econômica</v>
      </c>
      <c r="G1593" s="24">
        <f>CADASTROS!$F$1356</f>
        <v>780</v>
      </c>
      <c r="H1593" s="26">
        <f>CADASTROS!$G$1356</f>
        <v>0</v>
      </c>
      <c r="I1593" s="16" t="str">
        <f>CADASTROS!$H$1356</f>
        <v>835383776-3</v>
      </c>
      <c r="J1593" s="18">
        <f t="shared" si="74"/>
        <v>0</v>
      </c>
    </row>
    <row r="1594" spans="1:10" ht="15.75" x14ac:dyDescent="0.25">
      <c r="A1594" s="24">
        <f>CADASTROS!$B$1357</f>
        <v>1355</v>
      </c>
      <c r="B1594" s="15" t="str">
        <f>CADASTROS!$C$1357</f>
        <v>Marineide de Jesus Moreira</v>
      </c>
      <c r="C1594" s="25"/>
      <c r="D1594" s="42">
        <f>PLANILHA_COLHEITA_DIÁRIA!$I$2072</f>
        <v>0</v>
      </c>
      <c r="E1594" s="17">
        <v>6</v>
      </c>
      <c r="F1594" s="26" t="str">
        <f>CADASTROS!$E$1357</f>
        <v>Cx. Econômica</v>
      </c>
      <c r="G1594" s="24">
        <f>CADASTROS!$F$1357</f>
        <v>780</v>
      </c>
      <c r="H1594" s="26">
        <f>CADASTROS!$G$1357</f>
        <v>13</v>
      </c>
      <c r="I1594" s="16" t="str">
        <f>CADASTROS!$H$1357</f>
        <v>00000371-2</v>
      </c>
      <c r="J1594" s="18">
        <f t="shared" si="74"/>
        <v>0</v>
      </c>
    </row>
    <row r="1595" spans="1:10" ht="15.75" x14ac:dyDescent="0.25">
      <c r="A1595" s="24">
        <f>CADASTROS!$B$1358</f>
        <v>1356</v>
      </c>
      <c r="B1595" s="15" t="str">
        <f>CADASTROS!$C$1358</f>
        <v>Marineide Cristina Alves</v>
      </c>
      <c r="C1595" s="25"/>
      <c r="D1595" s="53">
        <f>PLANILHA_COLHEITA_DIÁRIA!$I$2073</f>
        <v>0</v>
      </c>
      <c r="E1595" s="17">
        <v>6</v>
      </c>
      <c r="F1595" s="26" t="str">
        <f>CADASTROS!$E$1358</f>
        <v>Cx. Econômica</v>
      </c>
      <c r="G1595" s="24">
        <f>CADASTROS!$F$1358</f>
        <v>780</v>
      </c>
      <c r="H1595" s="26">
        <f>CADASTROS!$G$1358</f>
        <v>13</v>
      </c>
      <c r="I1595" s="16" t="str">
        <f>CADASTROS!$H$1358</f>
        <v>00007479-0</v>
      </c>
      <c r="J1595" s="18">
        <f t="shared" si="74"/>
        <v>0</v>
      </c>
    </row>
    <row r="1596" spans="1:10" ht="15.75" x14ac:dyDescent="0.25">
      <c r="A1596" s="24">
        <f>CADASTROS!$B$1359</f>
        <v>1357</v>
      </c>
      <c r="B1596" s="15" t="str">
        <f>CADASTROS!$C$1359</f>
        <v>Wellington N. Ferreira</v>
      </c>
      <c r="C1596" s="25"/>
      <c r="D1596" s="35">
        <f>PLANILHA_COLHEITA_DIÁRIA!$I$2074</f>
        <v>0</v>
      </c>
      <c r="E1596" s="17">
        <v>6</v>
      </c>
      <c r="F1596" s="26" t="str">
        <f>CADASTROS!$E$1359</f>
        <v>Cx. Econômica</v>
      </c>
      <c r="G1596" s="24">
        <f>CADASTROS!$F$1359</f>
        <v>2734</v>
      </c>
      <c r="H1596" s="26">
        <f>CADASTROS!$G$1359</f>
        <v>13</v>
      </c>
      <c r="I1596" s="16" t="str">
        <f>CADASTROS!$H$1359</f>
        <v>00039924-6</v>
      </c>
      <c r="J1596" s="18">
        <f t="shared" si="74"/>
        <v>0</v>
      </c>
    </row>
    <row r="1597" spans="1:10" ht="15.75" x14ac:dyDescent="0.25">
      <c r="A1597" s="24">
        <f>CADASTROS!$B$1360</f>
        <v>1358</v>
      </c>
      <c r="B1597" s="15" t="str">
        <f>CADASTROS!$C$1360</f>
        <v>Adriana Evangelica</v>
      </c>
      <c r="C1597" s="25"/>
      <c r="D1597" s="35">
        <f>PLANILHA_COLHEITA_DIÁRIA!$I$2075</f>
        <v>7</v>
      </c>
      <c r="E1597" s="17">
        <v>6</v>
      </c>
      <c r="F1597" s="26" t="str">
        <f>CADASTROS!$E$1360</f>
        <v>Cx. Econômica</v>
      </c>
      <c r="G1597" s="24">
        <f>CADASTROS!$F$1360</f>
        <v>4825</v>
      </c>
      <c r="H1597" s="26">
        <f>CADASTROS!$G$1360</f>
        <v>13</v>
      </c>
      <c r="I1597" s="16" t="str">
        <f>CADASTROS!$H$1360</f>
        <v>00001063-2</v>
      </c>
      <c r="J1597" s="18">
        <f t="shared" si="74"/>
        <v>42</v>
      </c>
    </row>
    <row r="1598" spans="1:10" ht="15.75" x14ac:dyDescent="0.25">
      <c r="A1598" s="24">
        <f>CADASTROS!$B$1361</f>
        <v>1359</v>
      </c>
      <c r="B1598" s="15" t="str">
        <f>CADASTROS!$C$1361</f>
        <v>Joana F. da Conceição</v>
      </c>
      <c r="C1598" s="25"/>
      <c r="D1598" s="35">
        <f>PLANILHA_COLHEITA_DIÁRIA!$I$2076</f>
        <v>0</v>
      </c>
      <c r="E1598" s="17">
        <v>6</v>
      </c>
      <c r="F1598" s="26" t="str">
        <f>CADASTROS!$E$1361</f>
        <v>Banco do Brasil</v>
      </c>
      <c r="G1598" s="24" t="str">
        <f>CADASTROS!$F$1361</f>
        <v>1696-9</v>
      </c>
      <c r="H1598" s="26" t="str">
        <f>CADASTROS!$G$1361</f>
        <v>poup</v>
      </c>
      <c r="I1598" s="16" t="str">
        <f>CADASTROS!$H$1361</f>
        <v>16.396-1</v>
      </c>
      <c r="J1598" s="18">
        <f t="shared" si="74"/>
        <v>0</v>
      </c>
    </row>
    <row r="1599" spans="1:10" ht="15.75" x14ac:dyDescent="0.25">
      <c r="A1599" s="24">
        <f>CADASTROS!$B$1362</f>
        <v>1360</v>
      </c>
      <c r="B1599" s="15" t="str">
        <f>CADASTROS!$C$1362</f>
        <v>Mario Sergio Reis da Silva</v>
      </c>
      <c r="C1599" s="25"/>
      <c r="D1599" s="35">
        <f>PLANILHA_COLHEITA_DIÁRIA!$I$2077</f>
        <v>13</v>
      </c>
      <c r="E1599" s="17">
        <v>6</v>
      </c>
      <c r="F1599" s="26" t="str">
        <f>CADASTROS!$E$1362</f>
        <v>Cx. Econômica</v>
      </c>
      <c r="G1599" s="24">
        <f>CADASTROS!$F$1362</f>
        <v>674</v>
      </c>
      <c r="H1599" s="26">
        <f>CADASTROS!$G$1362</f>
        <v>13</v>
      </c>
      <c r="I1599" s="16" t="str">
        <f>CADASTROS!$H$1362</f>
        <v>00029029-4</v>
      </c>
      <c r="J1599" s="18">
        <f>D1599*E1599</f>
        <v>78</v>
      </c>
    </row>
    <row r="1600" spans="1:10" ht="15.75" x14ac:dyDescent="0.25">
      <c r="A1600" s="24">
        <f>CADASTROS!$B$1363</f>
        <v>1361</v>
      </c>
      <c r="B1600" s="15" t="str">
        <f>CADASTROS!$C$1363</f>
        <v>Adelmo Pinto Santana</v>
      </c>
      <c r="C1600" s="25"/>
      <c r="D1600" s="53">
        <f>PLANILHA_COLHEITA_DIÁRIA!$I$2078</f>
        <v>13</v>
      </c>
      <c r="E1600" s="17">
        <v>6</v>
      </c>
      <c r="F1600" s="26" t="str">
        <f>CADASTROS!$E$1363</f>
        <v>Cx. Econômica</v>
      </c>
      <c r="G1600" s="24">
        <f>CADASTROS!$F$1363</f>
        <v>4818</v>
      </c>
      <c r="H1600" s="26">
        <f>CADASTROS!$G$1363</f>
        <v>13</v>
      </c>
      <c r="I1600" s="16" t="str">
        <f>CADASTROS!$H$1363</f>
        <v>00004817-8</v>
      </c>
      <c r="J1600" s="18">
        <f t="shared" ref="J1600" si="75">D1600*E1600</f>
        <v>78</v>
      </c>
    </row>
    <row r="1601" spans="1:10" ht="15.75" x14ac:dyDescent="0.25">
      <c r="A1601" s="24">
        <f>CADASTROS!$B$1364</f>
        <v>1362</v>
      </c>
      <c r="B1601" s="15" t="str">
        <f>CADASTROS!$C$1364</f>
        <v>Priscila Oliveira de Jesus</v>
      </c>
      <c r="C1601" s="25"/>
      <c r="D1601" s="35">
        <f>PLANILHA_COLHEITA_DIÁRIA!$I$2079</f>
        <v>0</v>
      </c>
      <c r="E1601" s="17">
        <v>6</v>
      </c>
      <c r="F1601" s="26" t="str">
        <f>CADASTROS!$E$1364</f>
        <v>Bradesco</v>
      </c>
      <c r="G1601" s="24">
        <f>CADASTROS!$F$1364</f>
        <v>3650</v>
      </c>
      <c r="H1601" s="26" t="str">
        <f>CADASTROS!$G$1364</f>
        <v>c/corr</v>
      </c>
      <c r="I1601" s="16" t="str">
        <f>CADASTROS!$H$1364</f>
        <v>028373-8</v>
      </c>
      <c r="J1601" s="18">
        <f>D1601*E1601</f>
        <v>0</v>
      </c>
    </row>
    <row r="1602" spans="1:10" ht="15.75" x14ac:dyDescent="0.25">
      <c r="A1602" s="24">
        <f>CADASTROS!$B$1365</f>
        <v>1363</v>
      </c>
      <c r="B1602" s="15" t="str">
        <f>CADASTROS!$C$1365</f>
        <v>Jaelson Miranda de Souza</v>
      </c>
      <c r="C1602" s="25"/>
      <c r="D1602" s="35">
        <f>PLANILHA_COLHEITA_DIÁRIA!$I$2080</f>
        <v>0</v>
      </c>
      <c r="E1602" s="17">
        <v>6</v>
      </c>
      <c r="F1602" s="26" t="str">
        <f>CADASTROS!$E$1365</f>
        <v>Cx. Econômica</v>
      </c>
      <c r="G1602" s="24">
        <f>CADASTROS!$F$1365</f>
        <v>4825</v>
      </c>
      <c r="H1602" s="26">
        <f>CADASTROS!$G$1365</f>
        <v>0</v>
      </c>
      <c r="I1602" s="16" t="str">
        <f>CADASTROS!$H$1365</f>
        <v>000802529751-7</v>
      </c>
      <c r="J1602" s="18">
        <f t="shared" ref="J1602:J1633" si="76">D1602*E1602</f>
        <v>0</v>
      </c>
    </row>
    <row r="1603" spans="1:10" ht="15.75" x14ac:dyDescent="0.25">
      <c r="A1603" s="24">
        <f>CADASTROS!$B$1366</f>
        <v>1364</v>
      </c>
      <c r="B1603" s="15" t="str">
        <f>CADASTROS!$C$1366</f>
        <v>Jailton Souza de Jesus</v>
      </c>
      <c r="C1603" s="25"/>
      <c r="D1603" s="42">
        <f>PLANILHA_COLHEITA_DIÁRIA!$I$2081</f>
        <v>0</v>
      </c>
      <c r="E1603" s="17">
        <v>6</v>
      </c>
      <c r="F1603" s="26" t="str">
        <f>CADASTROS!$E$1366</f>
        <v>Cx. Econômica</v>
      </c>
      <c r="G1603" s="24">
        <f>CADASTROS!$F$1366</f>
        <v>4825</v>
      </c>
      <c r="H1603" s="26">
        <f>CADASTROS!$G$1366</f>
        <v>13</v>
      </c>
      <c r="I1603" s="16" t="str">
        <f>CADASTROS!$H$1366</f>
        <v>00016334-0</v>
      </c>
      <c r="J1603" s="18">
        <f t="shared" si="76"/>
        <v>0</v>
      </c>
    </row>
    <row r="1604" spans="1:10" ht="15.75" x14ac:dyDescent="0.25">
      <c r="A1604" s="24">
        <f>CADASTROS!$B$1367</f>
        <v>1365</v>
      </c>
      <c r="B1604" s="15" t="str">
        <f>CADASTROS!$C$1367</f>
        <v>Rafael O. Alves</v>
      </c>
      <c r="C1604" s="25"/>
      <c r="D1604" s="42">
        <f>PLANILHA_COLHEITA_DIÁRIA!$I$2082</f>
        <v>70</v>
      </c>
      <c r="E1604" s="17">
        <v>6</v>
      </c>
      <c r="F1604" s="26" t="str">
        <f>CADASTROS!$E$1367</f>
        <v>Cx. Econômica</v>
      </c>
      <c r="G1604" s="24">
        <f>CADASTROS!$F$1367</f>
        <v>4601</v>
      </c>
      <c r="H1604" s="26">
        <f>CADASTROS!$G$1367</f>
        <v>1288</v>
      </c>
      <c r="I1604" s="16" t="str">
        <f>CADASTROS!$H$1367</f>
        <v>803779744-7</v>
      </c>
      <c r="J1604" s="18">
        <f t="shared" si="76"/>
        <v>420</v>
      </c>
    </row>
    <row r="1605" spans="1:10" ht="15.75" x14ac:dyDescent="0.25">
      <c r="A1605" s="24">
        <f>CADASTROS!$B$1368</f>
        <v>1366</v>
      </c>
      <c r="B1605" s="15" t="str">
        <f>CADASTROS!$C$1368</f>
        <v>Crislaine Andrade Martins</v>
      </c>
      <c r="C1605" s="25"/>
      <c r="D1605" s="35">
        <f>PLANILHA_COLHEITA_DIÁRIA!$I$2083</f>
        <v>10</v>
      </c>
      <c r="E1605" s="17">
        <v>6</v>
      </c>
      <c r="F1605" s="26" t="str">
        <f>CADASTROS!$E$1368</f>
        <v>Cx. Econômica</v>
      </c>
      <c r="G1605" s="24">
        <f>CADASTROS!$F$1368</f>
        <v>3089</v>
      </c>
      <c r="H1605" s="26">
        <f>CADASTROS!$G$1368</f>
        <v>13</v>
      </c>
      <c r="I1605" s="16" t="str">
        <f>CADASTROS!$H$1368</f>
        <v>00019576-1</v>
      </c>
      <c r="J1605" s="18">
        <f t="shared" si="76"/>
        <v>60</v>
      </c>
    </row>
    <row r="1606" spans="1:10" ht="15.75" x14ac:dyDescent="0.25">
      <c r="A1606" s="24">
        <f>CADASTROS!$B$1369</f>
        <v>1367</v>
      </c>
      <c r="B1606" s="15" t="str">
        <f>CADASTROS!$C$1369</f>
        <v>Marineide Santos Santana</v>
      </c>
      <c r="C1606" s="25"/>
      <c r="D1606" s="35">
        <f>PLANILHA_COLHEITA_DIÁRIA!$I$2084</f>
        <v>0</v>
      </c>
      <c r="E1606" s="17">
        <v>6</v>
      </c>
      <c r="F1606" s="26" t="str">
        <f>CADASTROS!$E$1369</f>
        <v>Cx. Econômica</v>
      </c>
      <c r="G1606" s="24">
        <f>CADASTROS!$F$1369</f>
        <v>4825</v>
      </c>
      <c r="H1606" s="26">
        <f>CADASTROS!$G$1369</f>
        <v>13</v>
      </c>
      <c r="I1606" s="16" t="str">
        <f>CADASTROS!$H$1369</f>
        <v>00015696-3</v>
      </c>
      <c r="J1606" s="18">
        <f t="shared" si="76"/>
        <v>0</v>
      </c>
    </row>
    <row r="1607" spans="1:10" ht="15.75" x14ac:dyDescent="0.25">
      <c r="A1607" s="24">
        <f>CADASTROS!$B$1370</f>
        <v>1368</v>
      </c>
      <c r="B1607" s="15" t="str">
        <f>CADASTROS!$C$1370</f>
        <v>Valtonio Alves da Silva</v>
      </c>
      <c r="C1607" s="25"/>
      <c r="D1607" s="35">
        <f>PLANILHA_COLHEITA_DIÁRIA!$I$2085</f>
        <v>48.5</v>
      </c>
      <c r="E1607" s="17">
        <v>6</v>
      </c>
      <c r="F1607" s="26" t="str">
        <f>CADASTROS!$E$1370</f>
        <v>Cx. Econômica</v>
      </c>
      <c r="G1607" s="24">
        <f>CADASTROS!$F$1370</f>
        <v>4825</v>
      </c>
      <c r="H1607" s="26">
        <f>CADASTROS!$G$1370</f>
        <v>13</v>
      </c>
      <c r="I1607" s="16" t="str">
        <f>CADASTROS!$H$1370</f>
        <v>00005173-8</v>
      </c>
      <c r="J1607" s="18">
        <f t="shared" si="76"/>
        <v>291</v>
      </c>
    </row>
    <row r="1608" spans="1:10" ht="15.75" x14ac:dyDescent="0.25">
      <c r="A1608" s="24">
        <f>CADASTROS!$B$1371</f>
        <v>1369</v>
      </c>
      <c r="B1608" s="15" t="str">
        <f>CADASTROS!$C$1371</f>
        <v>Silvanete Antonio de Souza</v>
      </c>
      <c r="C1608" s="25"/>
      <c r="D1608" s="35">
        <f>PLANILHA_COLHEITA_DIÁRIA!$I$2086</f>
        <v>133</v>
      </c>
      <c r="E1608" s="17">
        <v>6</v>
      </c>
      <c r="F1608" s="26" t="str">
        <f>CADASTROS!$E$1371</f>
        <v>Cx. Econômica</v>
      </c>
      <c r="G1608" s="24">
        <f>CADASTROS!$F$1371</f>
        <v>780</v>
      </c>
      <c r="H1608" s="26">
        <f>CADASTROS!$G$1371</f>
        <v>13</v>
      </c>
      <c r="I1608" s="16" t="str">
        <f>CADASTROS!$H$1371</f>
        <v>00010115-0</v>
      </c>
      <c r="J1608" s="18">
        <f t="shared" si="76"/>
        <v>798</v>
      </c>
    </row>
    <row r="1609" spans="1:10" ht="15.75" x14ac:dyDescent="0.25">
      <c r="A1609" s="24">
        <f>CADASTROS!$B$1372</f>
        <v>1370</v>
      </c>
      <c r="B1609" s="15" t="str">
        <f>CADASTROS!$C$1372</f>
        <v>Natália Meira de Jesus</v>
      </c>
      <c r="C1609" s="25"/>
      <c r="D1609" s="42">
        <f>PLANILHA_COLHEITA_DIÁRIA!$I$2087</f>
        <v>12</v>
      </c>
      <c r="E1609" s="17">
        <v>6</v>
      </c>
      <c r="F1609" s="26" t="str">
        <f>CADASTROS!$E$1372</f>
        <v>Cx. Econômica</v>
      </c>
      <c r="G1609" s="24">
        <f>CADASTROS!$F$1372</f>
        <v>4601</v>
      </c>
      <c r="H1609" s="26">
        <f>CADASTROS!$G$1372</f>
        <v>0</v>
      </c>
      <c r="I1609" s="16" t="str">
        <f>CADASTROS!$H$1372</f>
        <v>000745327817-2</v>
      </c>
      <c r="J1609" s="18">
        <f t="shared" si="76"/>
        <v>72</v>
      </c>
    </row>
    <row r="1610" spans="1:10" ht="15.75" x14ac:dyDescent="0.25">
      <c r="A1610" s="24">
        <f>CADASTROS!$B$1373</f>
        <v>1371</v>
      </c>
      <c r="B1610" s="15" t="str">
        <f>CADASTROS!$C$1373</f>
        <v>Jacson de Jesus Moreira</v>
      </c>
      <c r="C1610" s="25"/>
      <c r="D1610" s="42">
        <f>PLANILHA_COLHEITA_DIÁRIA!$I$2088</f>
        <v>42.5</v>
      </c>
      <c r="E1610" s="17">
        <v>6</v>
      </c>
      <c r="F1610" s="26" t="str">
        <f>CADASTROS!$E$1373</f>
        <v>Cx. Econômica</v>
      </c>
      <c r="G1610" s="24">
        <f>CADASTROS!$F$1373</f>
        <v>4825</v>
      </c>
      <c r="H1610" s="26">
        <f>CADASTROS!$G$1373</f>
        <v>13</v>
      </c>
      <c r="I1610" s="16" t="str">
        <f>CADASTROS!$H$1373</f>
        <v>00021532-3</v>
      </c>
      <c r="J1610" s="18">
        <f t="shared" si="76"/>
        <v>255</v>
      </c>
    </row>
    <row r="1611" spans="1:10" ht="15.75" x14ac:dyDescent="0.25">
      <c r="A1611" s="24">
        <f>CADASTROS!$B$1374</f>
        <v>1372</v>
      </c>
      <c r="B1611" s="15" t="str">
        <f>CADASTROS!$C$1374</f>
        <v>Vanderlucia Santana Souza</v>
      </c>
      <c r="C1611" s="25"/>
      <c r="D1611" s="35">
        <f>PLANILHA_COLHEITA_DIÁRIA!$I$2100</f>
        <v>0</v>
      </c>
      <c r="E1611" s="17">
        <v>6</v>
      </c>
      <c r="F1611" s="26" t="str">
        <f>CADASTROS!$E$1374</f>
        <v>Cx. Econômica</v>
      </c>
      <c r="G1611" s="24">
        <f>CADASTROS!$F$1374</f>
        <v>4825</v>
      </c>
      <c r="H1611" s="26">
        <f>CADASTROS!$G$1374</f>
        <v>13</v>
      </c>
      <c r="I1611" s="16" t="str">
        <f>CADASTROS!$H$1374</f>
        <v>00003511-2</v>
      </c>
      <c r="J1611" s="18">
        <f t="shared" si="76"/>
        <v>0</v>
      </c>
    </row>
    <row r="1612" spans="1:10" ht="15.75" x14ac:dyDescent="0.25">
      <c r="A1612" s="24">
        <f>CADASTROS!$B$1375</f>
        <v>1373</v>
      </c>
      <c r="B1612" s="15" t="str">
        <f>CADASTROS!$C$1375</f>
        <v>Robério Silva Oliveira</v>
      </c>
      <c r="C1612" s="25"/>
      <c r="D1612" s="35">
        <f>PLANILHA_COLHEITA_DIÁRIA!$I$2101</f>
        <v>62</v>
      </c>
      <c r="E1612" s="17">
        <v>6</v>
      </c>
      <c r="F1612" s="26" t="str">
        <f>CADASTROS!$E$1375</f>
        <v>Bradesco</v>
      </c>
      <c r="G1612" s="24" t="str">
        <f>CADASTROS!$F$1375</f>
        <v>3801-6</v>
      </c>
      <c r="H1612" s="26" t="str">
        <f>CADASTROS!$G$1375</f>
        <v>c/corr</v>
      </c>
      <c r="I1612" s="16" t="str">
        <f>CADASTROS!$H$1375</f>
        <v>0350542-1</v>
      </c>
      <c r="J1612" s="18">
        <f t="shared" si="76"/>
        <v>372</v>
      </c>
    </row>
    <row r="1613" spans="1:10" ht="15.75" x14ac:dyDescent="0.25">
      <c r="A1613" s="24">
        <f>CADASTROS!$B$1376</f>
        <v>1374</v>
      </c>
      <c r="B1613" s="15" t="str">
        <f>CADASTROS!$C$1376</f>
        <v>Laede Andrade Reis</v>
      </c>
      <c r="C1613" s="25"/>
      <c r="D1613" s="35">
        <f>PLANILHA_COLHEITA_DIÁRIA!$I$2102</f>
        <v>107</v>
      </c>
      <c r="E1613" s="17">
        <v>6</v>
      </c>
      <c r="F1613" s="26" t="str">
        <f>CADASTROS!$E$1376</f>
        <v>Cx. Econômica</v>
      </c>
      <c r="G1613" s="24">
        <f>CADASTROS!$F$1376</f>
        <v>4818</v>
      </c>
      <c r="H1613" s="26">
        <f>CADASTROS!$G$1376</f>
        <v>13</v>
      </c>
      <c r="I1613" s="16" t="str">
        <f>CADASTROS!$H$1376</f>
        <v>00014963-2</v>
      </c>
      <c r="J1613" s="18">
        <f t="shared" si="76"/>
        <v>642</v>
      </c>
    </row>
    <row r="1614" spans="1:10" ht="15.75" x14ac:dyDescent="0.25">
      <c r="A1614" s="24">
        <f>CADASTROS!$B$1377</f>
        <v>1375</v>
      </c>
      <c r="B1614" s="15" t="str">
        <f>CADASTROS!$C$1377</f>
        <v>Edineusa Maria de Brito</v>
      </c>
      <c r="C1614" s="25"/>
      <c r="D1614" s="35">
        <f>PLANILHA_COLHEITA_DIÁRIA!$I$2103</f>
        <v>0</v>
      </c>
      <c r="E1614" s="17">
        <v>6</v>
      </c>
      <c r="F1614" s="26" t="str">
        <f>CADASTROS!$E$1377</f>
        <v>Cx. Econômica</v>
      </c>
      <c r="G1614" s="24">
        <f>CADASTROS!$F$1377</f>
        <v>949</v>
      </c>
      <c r="H1614" s="26">
        <f>CADASTROS!$G$1377</f>
        <v>23</v>
      </c>
      <c r="I1614" s="16" t="str">
        <f>CADASTROS!$H$1377</f>
        <v>00006733-3</v>
      </c>
      <c r="J1614" s="18">
        <f t="shared" si="76"/>
        <v>0</v>
      </c>
    </row>
    <row r="1615" spans="1:10" ht="15.75" x14ac:dyDescent="0.25">
      <c r="A1615" s="24">
        <f>CADASTROS!$B$1378</f>
        <v>1376</v>
      </c>
      <c r="B1615" s="15" t="str">
        <f>CADASTROS!$C$1378</f>
        <v>Célia dos Santos Souza</v>
      </c>
      <c r="C1615" s="25"/>
      <c r="D1615" s="35">
        <f>PLANILHA_COLHEITA_DIÁRIA!$I$2104</f>
        <v>21.5</v>
      </c>
      <c r="E1615" s="17">
        <v>6</v>
      </c>
      <c r="F1615" s="26" t="str">
        <f>CADASTROS!$E$1378</f>
        <v>Cx. Econômica</v>
      </c>
      <c r="G1615" s="24">
        <f>CADASTROS!$F$1378</f>
        <v>4818</v>
      </c>
      <c r="H1615" s="26">
        <f>CADASTROS!$G$1378</f>
        <v>13</v>
      </c>
      <c r="I1615" s="16" t="str">
        <f>CADASTROS!$H$1378</f>
        <v>00014972-1</v>
      </c>
      <c r="J1615" s="18">
        <f t="shared" si="76"/>
        <v>129</v>
      </c>
    </row>
    <row r="1616" spans="1:10" ht="15.75" x14ac:dyDescent="0.25">
      <c r="A1616" s="24">
        <f>CADASTROS!$B$1379</f>
        <v>1377</v>
      </c>
      <c r="B1616" s="15" t="str">
        <f>CADASTROS!$C$1379</f>
        <v>Abenailton Oliveira Costa</v>
      </c>
      <c r="C1616" s="25"/>
      <c r="D1616" s="35">
        <f>PLANILHA_COLHEITA_DIÁRIA!$I$2105</f>
        <v>78</v>
      </c>
      <c r="E1616" s="17">
        <v>6</v>
      </c>
      <c r="F1616" s="26" t="str">
        <f>CADASTROS!$E$1379</f>
        <v>Bradesco</v>
      </c>
      <c r="G1616" s="24">
        <f>CADASTROS!$F$1379</f>
        <v>3737</v>
      </c>
      <c r="H1616" s="26">
        <f>CADASTROS!$G$1379</f>
        <v>0</v>
      </c>
      <c r="I1616" s="16" t="str">
        <f>CADASTROS!$H$1379</f>
        <v>192854-6</v>
      </c>
      <c r="J1616" s="18">
        <f t="shared" si="76"/>
        <v>468</v>
      </c>
    </row>
    <row r="1617" spans="1:10" ht="15.75" x14ac:dyDescent="0.25">
      <c r="A1617" s="24">
        <f>CADASTROS!$B$1380</f>
        <v>1378</v>
      </c>
      <c r="B1617" s="15" t="str">
        <f>CADASTROS!$C$1380</f>
        <v>Genival Gomes Carmo</v>
      </c>
      <c r="C1617" s="25"/>
      <c r="D1617" s="42">
        <f>PLANILHA_COLHEITA_DIÁRIA!$I$2106</f>
        <v>0</v>
      </c>
      <c r="E1617" s="17">
        <v>6</v>
      </c>
      <c r="F1617" s="26" t="str">
        <f>CADASTROS!$E$1380</f>
        <v>Cx. Econômica</v>
      </c>
      <c r="G1617" s="24">
        <f>CADASTROS!$F$1380</f>
        <v>3777</v>
      </c>
      <c r="H1617" s="26">
        <f>CADASTROS!$G$1380</f>
        <v>13</v>
      </c>
      <c r="I1617" s="16" t="str">
        <f>CADASTROS!$H$1380</f>
        <v>00003183-1</v>
      </c>
      <c r="J1617" s="18">
        <f t="shared" si="76"/>
        <v>0</v>
      </c>
    </row>
    <row r="1618" spans="1:10" ht="15.75" x14ac:dyDescent="0.25">
      <c r="A1618" s="24">
        <f>CADASTROS!$B$1381</f>
        <v>1379</v>
      </c>
      <c r="B1618" s="15" t="str">
        <f>CADASTROS!$C$1381</f>
        <v>Iolanda Oliveira Ribeiro</v>
      </c>
      <c r="C1618" s="25"/>
      <c r="D1618" s="35">
        <f>PLANILHA_COLHEITA_DIÁRIA!$I$2107</f>
        <v>0</v>
      </c>
      <c r="E1618" s="17">
        <v>6</v>
      </c>
      <c r="F1618" s="26" t="str">
        <f>CADASTROS!$E$1381</f>
        <v>Cx. Econômica</v>
      </c>
      <c r="G1618" s="24">
        <f>CADASTROS!$F$1381</f>
        <v>780</v>
      </c>
      <c r="H1618" s="26">
        <f>CADASTROS!$G$1381</f>
        <v>23</v>
      </c>
      <c r="I1618" s="16" t="str">
        <f>CADASTROS!$H$1381</f>
        <v>00024125-4</v>
      </c>
      <c r="J1618" s="18">
        <f t="shared" si="76"/>
        <v>0</v>
      </c>
    </row>
    <row r="1619" spans="1:10" ht="15.75" x14ac:dyDescent="0.25">
      <c r="A1619" s="24">
        <f>CADASTROS!$B$1382</f>
        <v>1380</v>
      </c>
      <c r="B1619" s="15" t="str">
        <f>CADASTROS!$C$1382</f>
        <v>Leonardo Louginho Souza</v>
      </c>
      <c r="C1619" s="25"/>
      <c r="D1619" s="35">
        <f>PLANILHA_COLHEITA_DIÁRIA!$I$2108</f>
        <v>33.5</v>
      </c>
      <c r="E1619" s="17">
        <v>6</v>
      </c>
      <c r="F1619" s="26" t="str">
        <f>CADASTROS!$E$1382</f>
        <v>Cx. Econômica</v>
      </c>
      <c r="G1619" s="24">
        <f>CADASTROS!$F$1382</f>
        <v>4825</v>
      </c>
      <c r="H1619" s="26">
        <f>CADASTROS!$G$1382</f>
        <v>13</v>
      </c>
      <c r="I1619" s="16" t="str">
        <f>CADASTROS!$H$1382</f>
        <v>00006331-0</v>
      </c>
      <c r="J1619" s="18">
        <f t="shared" si="76"/>
        <v>201</v>
      </c>
    </row>
    <row r="1620" spans="1:10" ht="15.75" x14ac:dyDescent="0.25">
      <c r="A1620" s="24">
        <f>CADASTROS!$B$1383</f>
        <v>1381</v>
      </c>
      <c r="B1620" s="15" t="str">
        <f>CADASTROS!$C$1383</f>
        <v>Tiago Silva de Oliveira</v>
      </c>
      <c r="C1620" s="25"/>
      <c r="D1620" s="35">
        <f>PLANILHA_COLHEITA_DIÁRIA!$I$2109</f>
        <v>0</v>
      </c>
      <c r="E1620" s="17">
        <v>6</v>
      </c>
      <c r="F1620" s="26" t="str">
        <f>CADASTROS!$E$1383</f>
        <v>Bradesco</v>
      </c>
      <c r="G1620" s="24" t="str">
        <f>CADASTROS!$F$1383</f>
        <v>3801-6</v>
      </c>
      <c r="H1620" s="26" t="str">
        <f>CADASTROS!$G$1383</f>
        <v>c/corr</v>
      </c>
      <c r="I1620" s="16" t="str">
        <f>CADASTROS!$H$1383</f>
        <v>0001782-5</v>
      </c>
      <c r="J1620" s="18">
        <f t="shared" si="76"/>
        <v>0</v>
      </c>
    </row>
    <row r="1621" spans="1:10" ht="15.75" x14ac:dyDescent="0.25">
      <c r="A1621" s="24">
        <f>CADASTROS!$B$1384</f>
        <v>1382</v>
      </c>
      <c r="B1621" s="15" t="str">
        <f>CADASTROS!$C$1384</f>
        <v>Genesson A. de Souza</v>
      </c>
      <c r="C1621" s="25"/>
      <c r="D1621" s="35">
        <f>PLANILHA_COLHEITA_DIÁRIA!$I$2110</f>
        <v>0</v>
      </c>
      <c r="E1621" s="17">
        <v>6</v>
      </c>
      <c r="F1621" s="26" t="str">
        <f>CADASTROS!$E$1384</f>
        <v>Cx. Econômica</v>
      </c>
      <c r="G1621" s="24">
        <f>CADASTROS!$F$1384</f>
        <v>4825</v>
      </c>
      <c r="H1621" s="26">
        <f>CADASTROS!$G$1384</f>
        <v>13</v>
      </c>
      <c r="I1621" s="16" t="str">
        <f>CADASTROS!$H$1384</f>
        <v>00023022-5</v>
      </c>
      <c r="J1621" s="18">
        <f t="shared" si="76"/>
        <v>0</v>
      </c>
    </row>
    <row r="1622" spans="1:10" ht="15.75" x14ac:dyDescent="0.25">
      <c r="A1622" s="24">
        <f>CADASTROS!$B$1385</f>
        <v>1383</v>
      </c>
      <c r="B1622" s="15" t="str">
        <f>CADASTROS!$C$1385</f>
        <v>Geniclevia Ferreira da Silva</v>
      </c>
      <c r="C1622" s="25"/>
      <c r="D1622" s="35">
        <f>PLANILHA_COLHEITA_DIÁRIA!$I$2111</f>
        <v>57.5</v>
      </c>
      <c r="E1622" s="17">
        <v>6</v>
      </c>
      <c r="F1622" s="26" t="str">
        <f>CADASTROS!$E$1385</f>
        <v>Cx. Econômica</v>
      </c>
      <c r="G1622" s="24">
        <f>CADASTROS!$F$1385</f>
        <v>4825</v>
      </c>
      <c r="H1622" s="26">
        <f>CADASTROS!$G$1385</f>
        <v>0</v>
      </c>
      <c r="I1622" s="16" t="str">
        <f>CADASTROS!$H$1385</f>
        <v>000856456041-9</v>
      </c>
      <c r="J1622" s="18">
        <f t="shared" si="76"/>
        <v>345</v>
      </c>
    </row>
    <row r="1623" spans="1:10" ht="15.75" x14ac:dyDescent="0.25">
      <c r="A1623" s="24">
        <f>CADASTROS!$B$1386</f>
        <v>1384</v>
      </c>
      <c r="B1623" s="15" t="str">
        <f>CADASTROS!$C$1386</f>
        <v>Janice Santana dos Santos</v>
      </c>
      <c r="C1623" s="25"/>
      <c r="D1623" s="35">
        <f>PLANILHA_COLHEITA_DIÁRIA!$I$2112</f>
        <v>174</v>
      </c>
      <c r="E1623" s="17">
        <v>6</v>
      </c>
      <c r="F1623" s="26" t="str">
        <f>CADASTROS!$E$1386</f>
        <v>Bradesco</v>
      </c>
      <c r="G1623" s="24" t="str">
        <f>CADASTROS!$F$1386</f>
        <v>3616-1</v>
      </c>
      <c r="H1623" s="26" t="str">
        <f>CADASTROS!$G$1386</f>
        <v>poup</v>
      </c>
      <c r="I1623" s="16" t="str">
        <f>CADASTROS!$H$1386</f>
        <v>1001717-3</v>
      </c>
      <c r="J1623" s="18">
        <f t="shared" si="76"/>
        <v>1044</v>
      </c>
    </row>
    <row r="1624" spans="1:10" ht="15.75" x14ac:dyDescent="0.25">
      <c r="A1624" s="24">
        <f>CADASTROS!$B$1387</f>
        <v>1385</v>
      </c>
      <c r="B1624" s="15" t="str">
        <f>CADASTROS!$C$1387</f>
        <v>Jessica Soares Oliveira</v>
      </c>
      <c r="C1624" s="25"/>
      <c r="D1624" s="35">
        <f>PLANILHA_COLHEITA_DIÁRIA!$I$2113</f>
        <v>0</v>
      </c>
      <c r="E1624" s="17">
        <v>6</v>
      </c>
      <c r="F1624" s="26" t="str">
        <f>CADASTROS!$E$1387</f>
        <v>Cx. Econômica</v>
      </c>
      <c r="G1624" s="24">
        <f>CADASTROS!$F$1387</f>
        <v>949</v>
      </c>
      <c r="H1624" s="26">
        <f>CADASTROS!$G$1387</f>
        <v>13</v>
      </c>
      <c r="I1624" s="16" t="str">
        <f>CADASTROS!$H$1387</f>
        <v>00084300-0</v>
      </c>
      <c r="J1624" s="18">
        <f t="shared" si="76"/>
        <v>0</v>
      </c>
    </row>
    <row r="1625" spans="1:10" ht="15.75" x14ac:dyDescent="0.25">
      <c r="A1625" s="24">
        <f>CADASTROS!$B$1388</f>
        <v>1386</v>
      </c>
      <c r="B1625" s="15" t="str">
        <f>CADASTROS!$C$1388</f>
        <v>Valdir Ferreira Pinto</v>
      </c>
      <c r="C1625" s="25"/>
      <c r="D1625" s="35">
        <f>PLANILHA_COLHEITA_DIÁRIA!$I$2114</f>
        <v>26.5</v>
      </c>
      <c r="E1625" s="17">
        <v>6</v>
      </c>
      <c r="F1625" s="26" t="str">
        <f>CADASTROS!$E$1388</f>
        <v>Cx. Econômica</v>
      </c>
      <c r="G1625" s="24">
        <f>CADASTROS!$F$1388</f>
        <v>2734</v>
      </c>
      <c r="H1625" s="26">
        <f>CADASTROS!$G$1388</f>
        <v>0</v>
      </c>
      <c r="I1625" s="16" t="str">
        <f>CADASTROS!$H$1388</f>
        <v>000854346366-0</v>
      </c>
      <c r="J1625" s="18">
        <f t="shared" si="76"/>
        <v>159</v>
      </c>
    </row>
    <row r="1626" spans="1:10" ht="15.75" x14ac:dyDescent="0.25">
      <c r="A1626" s="24">
        <f>CADASTROS!$B$1389</f>
        <v>1387</v>
      </c>
      <c r="B1626" s="15" t="str">
        <f>CADASTROS!$C$1389</f>
        <v>Daelcio Oliveira</v>
      </c>
      <c r="C1626" s="25"/>
      <c r="D1626" s="35">
        <f>PLANILHA_COLHEITA_DIÁRIA!$I$2115</f>
        <v>93</v>
      </c>
      <c r="E1626" s="17">
        <v>6</v>
      </c>
      <c r="F1626" s="26" t="str">
        <f>CADASTROS!$E$1389</f>
        <v>Cx. Econômica</v>
      </c>
      <c r="G1626" s="24">
        <f>CADASTROS!$F$1389</f>
        <v>4825</v>
      </c>
      <c r="H1626" s="26">
        <f>CADASTROS!$G$1389</f>
        <v>13</v>
      </c>
      <c r="I1626" s="16" t="str">
        <f>CADASTROS!$H$1389</f>
        <v>00023179-5</v>
      </c>
      <c r="J1626" s="18">
        <f t="shared" si="76"/>
        <v>558</v>
      </c>
    </row>
    <row r="1627" spans="1:10" ht="15.75" x14ac:dyDescent="0.25">
      <c r="A1627" s="24">
        <f>CADASTROS!$B$1390</f>
        <v>1388</v>
      </c>
      <c r="B1627" s="15" t="str">
        <f>CADASTROS!$C$1390</f>
        <v>Gleito E. S. Souza</v>
      </c>
      <c r="C1627" s="25"/>
      <c r="D1627" s="35">
        <f>PLANILHA_COLHEITA_DIÁRIA!$I$2116</f>
        <v>93</v>
      </c>
      <c r="E1627" s="17">
        <v>6</v>
      </c>
      <c r="F1627" s="26" t="str">
        <f>CADASTROS!$E$1390</f>
        <v>Cx. Econômica</v>
      </c>
      <c r="G1627" s="24">
        <f>CADASTROS!$F$1390</f>
        <v>4535</v>
      </c>
      <c r="H1627" s="26">
        <f>CADASTROS!$G$1390</f>
        <v>13</v>
      </c>
      <c r="I1627" s="16" t="str">
        <f>CADASTROS!$H$1390</f>
        <v>00007215-1</v>
      </c>
      <c r="J1627" s="18">
        <f t="shared" si="76"/>
        <v>558</v>
      </c>
    </row>
    <row r="1628" spans="1:10" ht="15.75" x14ac:dyDescent="0.25">
      <c r="A1628" s="24">
        <f>CADASTROS!$B$1391</f>
        <v>1389</v>
      </c>
      <c r="B1628" s="15" t="str">
        <f>CADASTROS!$C$1391</f>
        <v>Ana N. Santos Soares</v>
      </c>
      <c r="C1628" s="25"/>
      <c r="D1628" s="42">
        <f>PLANILHA_COLHEITA_DIÁRIA!$I$2117</f>
        <v>164</v>
      </c>
      <c r="E1628" s="17">
        <v>6</v>
      </c>
      <c r="F1628" s="26" t="str">
        <f>CADASTROS!$E$1391</f>
        <v>Banco do Brasil</v>
      </c>
      <c r="G1628" s="24" t="str">
        <f>CADASTROS!$F$1391</f>
        <v>2760-X</v>
      </c>
      <c r="H1628" s="26" t="str">
        <f>CADASTROS!$G$1391</f>
        <v>poup</v>
      </c>
      <c r="I1628" s="16" t="str">
        <f>CADASTROS!$H$1391</f>
        <v>15.629-9</v>
      </c>
      <c r="J1628" s="18">
        <f t="shared" si="76"/>
        <v>984</v>
      </c>
    </row>
    <row r="1629" spans="1:10" ht="15.75" x14ac:dyDescent="0.25">
      <c r="A1629" s="24">
        <f>CADASTROS!$B$1392</f>
        <v>1390</v>
      </c>
      <c r="B1629" s="15" t="str">
        <f>CADASTROS!$C$1392</f>
        <v>Dermivania de Souza Cedro</v>
      </c>
      <c r="C1629" s="25"/>
      <c r="D1629" s="35">
        <f>PLANILHA_COLHEITA_DIÁRIA!$I$2118</f>
        <v>0</v>
      </c>
      <c r="E1629" s="17">
        <v>6</v>
      </c>
      <c r="F1629" s="26" t="str">
        <f>CADASTROS!$E$1392</f>
        <v>Cx. Econômica</v>
      </c>
      <c r="G1629" s="24">
        <f>CADASTROS!$F$1392</f>
        <v>780</v>
      </c>
      <c r="H1629" s="26">
        <f>CADASTROS!$G$1392</f>
        <v>23</v>
      </c>
      <c r="I1629" s="16" t="str">
        <f>CADASTROS!$H$1392</f>
        <v>00020339-5</v>
      </c>
      <c r="J1629" s="18">
        <f t="shared" si="76"/>
        <v>0</v>
      </c>
    </row>
    <row r="1630" spans="1:10" ht="15.75" x14ac:dyDescent="0.25">
      <c r="A1630" s="24">
        <f>CADASTROS!$B$1393</f>
        <v>1391</v>
      </c>
      <c r="B1630" s="15" t="str">
        <f>CADASTROS!$C$1393</f>
        <v>Elisangela Marciana de Souza</v>
      </c>
      <c r="C1630" s="25"/>
      <c r="D1630" s="42">
        <f>PLANILHA_COLHEITA_DIÁRIA!$I$2119</f>
        <v>21</v>
      </c>
      <c r="E1630" s="17">
        <v>6</v>
      </c>
      <c r="F1630" s="26" t="str">
        <f>CADASTROS!$E$1393</f>
        <v>Cx. Econômica</v>
      </c>
      <c r="G1630" s="24">
        <f>CADASTROS!$F$1393</f>
        <v>780</v>
      </c>
      <c r="H1630" s="26">
        <f>CADASTROS!$G$1393</f>
        <v>0</v>
      </c>
      <c r="I1630" s="16" t="str">
        <f>CADASTROS!$H$1393</f>
        <v>000804541823-9</v>
      </c>
      <c r="J1630" s="18">
        <f t="shared" si="76"/>
        <v>126</v>
      </c>
    </row>
    <row r="1631" spans="1:10" ht="15.75" x14ac:dyDescent="0.25">
      <c r="A1631" s="24">
        <f>CADASTROS!$B$1394</f>
        <v>1392</v>
      </c>
      <c r="B1631" s="15" t="str">
        <f>CADASTROS!$C$1394</f>
        <v>Manelito Silva A. Souza</v>
      </c>
      <c r="C1631" s="25"/>
      <c r="D1631" s="35">
        <f>PLANILHA_COLHEITA_DIÁRIA!$I$2120</f>
        <v>28</v>
      </c>
      <c r="E1631" s="17">
        <v>6</v>
      </c>
      <c r="F1631" s="26" t="str">
        <f>CADASTROS!$E$1394</f>
        <v>Cx. Econômica</v>
      </c>
      <c r="G1631" s="24">
        <f>CADASTROS!$F$1394</f>
        <v>4818</v>
      </c>
      <c r="H1631" s="26">
        <f>CADASTROS!$G$1394</f>
        <v>13</v>
      </c>
      <c r="I1631" s="16" t="str">
        <f>CADASTROS!$H$1394</f>
        <v>00007921-9</v>
      </c>
      <c r="J1631" s="18">
        <f t="shared" si="76"/>
        <v>168</v>
      </c>
    </row>
    <row r="1632" spans="1:10" ht="15.75" x14ac:dyDescent="0.25">
      <c r="A1632" s="24">
        <f>CADASTROS!$B$1395</f>
        <v>1393</v>
      </c>
      <c r="B1632" s="15" t="str">
        <f>CADASTROS!$C$1395</f>
        <v>Lívia Sousa Gonçalves</v>
      </c>
      <c r="C1632" s="25"/>
      <c r="D1632" s="35">
        <f>PLANILHA_COLHEITA_DIÁRIA!$I$2121</f>
        <v>40.5</v>
      </c>
      <c r="E1632" s="17">
        <v>6</v>
      </c>
      <c r="F1632" s="26" t="str">
        <f>CADASTROS!$E$1395</f>
        <v>Bradesco</v>
      </c>
      <c r="G1632" s="24" t="str">
        <f>CADASTROS!$F$1395</f>
        <v>3801-6</v>
      </c>
      <c r="H1632" s="26" t="str">
        <f>CADASTROS!$G$1395</f>
        <v>poup</v>
      </c>
      <c r="I1632" s="16" t="str">
        <f>CADASTROS!$H$1395</f>
        <v>0004280-3</v>
      </c>
      <c r="J1632" s="18">
        <f t="shared" si="76"/>
        <v>243</v>
      </c>
    </row>
    <row r="1633" spans="1:10" ht="15.75" x14ac:dyDescent="0.25">
      <c r="A1633" s="24">
        <f>CADASTROS!$B$1396</f>
        <v>1394</v>
      </c>
      <c r="B1633" s="15" t="str">
        <f>CADASTROS!$C$1396</f>
        <v>Poliana Nunes dos Santos</v>
      </c>
      <c r="C1633" s="25"/>
      <c r="D1633" s="35">
        <f>PLANILHA_COLHEITA_DIÁRIA!$I$2122</f>
        <v>0</v>
      </c>
      <c r="E1633" s="17">
        <v>6</v>
      </c>
      <c r="F1633" s="26" t="str">
        <f>CADASTROS!$E$1396</f>
        <v>Cx. Econômica</v>
      </c>
      <c r="G1633" s="24">
        <f>CADASTROS!$F$1396</f>
        <v>4825</v>
      </c>
      <c r="H1633" s="26">
        <f>CADASTROS!$G$1396</f>
        <v>13</v>
      </c>
      <c r="I1633" s="16" t="str">
        <f>CADASTROS!$H$1396</f>
        <v>00023900-1</v>
      </c>
      <c r="J1633" s="18">
        <f t="shared" si="76"/>
        <v>0</v>
      </c>
    </row>
    <row r="1634" spans="1:10" ht="15.75" x14ac:dyDescent="0.25">
      <c r="B1634" s="159"/>
      <c r="C1634" s="159"/>
      <c r="D1634" s="12">
        <f>SUM(D1589:D1633)</f>
        <v>1348.5</v>
      </c>
      <c r="E1634" s="12"/>
      <c r="F1634" s="162"/>
      <c r="G1634" s="163"/>
      <c r="H1634" s="163"/>
      <c r="I1634" s="164"/>
      <c r="J1634" s="14">
        <f>SUM(J1589:J1633)</f>
        <v>8091</v>
      </c>
    </row>
    <row r="1636" spans="1:10" ht="15.75" x14ac:dyDescent="0.25">
      <c r="A1636" s="213" t="s">
        <v>4816</v>
      </c>
      <c r="B1636" s="213"/>
      <c r="C1636" s="213"/>
      <c r="D1636" s="213"/>
      <c r="E1636" s="213"/>
      <c r="F1636" s="213"/>
      <c r="G1636" s="213"/>
      <c r="H1636" s="213"/>
      <c r="I1636" s="213"/>
      <c r="J1636" s="213"/>
    </row>
    <row r="1637" spans="1:10" ht="16.5" thickBot="1" x14ac:dyDescent="0.3">
      <c r="A1637" s="214" t="s">
        <v>4843</v>
      </c>
      <c r="B1637" s="214"/>
      <c r="C1637" s="214"/>
      <c r="D1637" s="214"/>
      <c r="E1637" s="214"/>
      <c r="F1637" s="214"/>
      <c r="G1637" s="214"/>
      <c r="H1637" s="214"/>
      <c r="I1637" s="214"/>
      <c r="J1637" s="214"/>
    </row>
    <row r="1638" spans="1:10" ht="17.25" thickTop="1" thickBot="1" x14ac:dyDescent="0.3">
      <c r="A1638" s="215" t="s">
        <v>4844</v>
      </c>
      <c r="B1638" s="215"/>
      <c r="C1638" s="215"/>
      <c r="D1638" s="215"/>
      <c r="E1638" s="215"/>
      <c r="F1638" s="215"/>
      <c r="G1638" s="215"/>
      <c r="H1638" s="215"/>
      <c r="I1638" s="215"/>
      <c r="J1638" s="215"/>
    </row>
    <row r="1639" spans="1:10" ht="16.5" customHeight="1" x14ac:dyDescent="0.25">
      <c r="A1639" s="19" t="s">
        <v>4846</v>
      </c>
      <c r="B1639" s="216" t="s">
        <v>1</v>
      </c>
      <c r="C1639" s="216" t="s">
        <v>2</v>
      </c>
      <c r="D1639" s="160" t="s">
        <v>4847</v>
      </c>
      <c r="E1639" s="20" t="s">
        <v>4848</v>
      </c>
      <c r="F1639" s="157" t="s">
        <v>3</v>
      </c>
      <c r="G1639" s="157" t="s">
        <v>4</v>
      </c>
      <c r="H1639" s="157" t="s">
        <v>5</v>
      </c>
      <c r="I1639" s="157" t="s">
        <v>6</v>
      </c>
      <c r="J1639" s="218" t="s">
        <v>4849</v>
      </c>
    </row>
    <row r="1640" spans="1:10" ht="17.45" customHeight="1" thickBot="1" x14ac:dyDescent="0.3">
      <c r="A1640" s="21" t="s">
        <v>4850</v>
      </c>
      <c r="B1640" s="217"/>
      <c r="C1640" s="217"/>
      <c r="D1640" s="161"/>
      <c r="E1640" s="161" t="s">
        <v>4851</v>
      </c>
      <c r="F1640" s="158"/>
      <c r="G1640" s="158"/>
      <c r="H1640" s="158"/>
      <c r="I1640" s="158"/>
      <c r="J1640" s="219"/>
    </row>
    <row r="1641" spans="1:10" ht="15.75" x14ac:dyDescent="0.25">
      <c r="A1641" s="24">
        <f>CADASTROS!$B$1397</f>
        <v>1395</v>
      </c>
      <c r="B1641" s="15" t="str">
        <f>CADASTROS!$C$1397</f>
        <v>Ivonaldo Sousa Silva</v>
      </c>
      <c r="C1641" s="25"/>
      <c r="D1641" s="35">
        <f>PLANILHA_COLHEITA_DIÁRIA!$I$2123</f>
        <v>60</v>
      </c>
      <c r="E1641" s="17">
        <v>6</v>
      </c>
      <c r="F1641" s="26" t="str">
        <f>CADASTROS!$E$1397</f>
        <v>Cx. Econômica</v>
      </c>
      <c r="G1641" s="24">
        <f>CADASTROS!$F$1397</f>
        <v>4825</v>
      </c>
      <c r="H1641" s="26">
        <f>CADASTROS!$G$1397</f>
        <v>13</v>
      </c>
      <c r="I1641" s="16" t="str">
        <f>CADASTROS!$H$1397</f>
        <v>00004638-6</v>
      </c>
      <c r="J1641" s="18">
        <f t="shared" ref="J1641:J1650" si="77">D1641*E1641</f>
        <v>360</v>
      </c>
    </row>
    <row r="1642" spans="1:10" ht="15.75" x14ac:dyDescent="0.25">
      <c r="A1642" s="24">
        <f>CADASTROS!$B$1398</f>
        <v>1396</v>
      </c>
      <c r="B1642" s="15" t="str">
        <f>CADASTROS!$C$1398</f>
        <v>Anderson de Sousa Pereira</v>
      </c>
      <c r="C1642" s="25"/>
      <c r="D1642" s="35">
        <f>PLANILHA_COLHEITA_DIÁRIA!$I$2124</f>
        <v>27</v>
      </c>
      <c r="E1642" s="17">
        <v>6</v>
      </c>
      <c r="F1642" s="26" t="str">
        <f>CADASTROS!$E$1398</f>
        <v>Cx. Econômica</v>
      </c>
      <c r="G1642" s="24">
        <f>CADASTROS!$F$1398</f>
        <v>4825</v>
      </c>
      <c r="H1642" s="26">
        <f>CADASTROS!$G$1398</f>
        <v>13</v>
      </c>
      <c r="I1642" s="16" t="str">
        <f>CADASTROS!$H$1398</f>
        <v>00020105-5</v>
      </c>
      <c r="J1642" s="18">
        <f t="shared" si="77"/>
        <v>162</v>
      </c>
    </row>
    <row r="1643" spans="1:10" ht="15.75" x14ac:dyDescent="0.25">
      <c r="A1643" s="24">
        <f>CADASTROS!$B$1399</f>
        <v>1397</v>
      </c>
      <c r="B1643" s="15" t="str">
        <f>CADASTROS!$C$1399</f>
        <v>Flávia de S. Cedro</v>
      </c>
      <c r="C1643" s="25"/>
      <c r="D1643" s="35">
        <f>PLANILHA_COLHEITA_DIÁRIA!$I$2125</f>
        <v>0</v>
      </c>
      <c r="E1643" s="17">
        <v>6</v>
      </c>
      <c r="F1643" s="26" t="str">
        <f>CADASTROS!$E$1399</f>
        <v>Cx. Econômica</v>
      </c>
      <c r="G1643" s="24">
        <f>CADASTROS!$F$1399</f>
        <v>4535</v>
      </c>
      <c r="H1643" s="26">
        <f>CADASTROS!$G$1399</f>
        <v>13</v>
      </c>
      <c r="I1643" s="16" t="str">
        <f>CADASTROS!$H$1399</f>
        <v>00005981-3</v>
      </c>
      <c r="J1643" s="18">
        <f t="shared" si="77"/>
        <v>0</v>
      </c>
    </row>
    <row r="1644" spans="1:10" ht="15.75" x14ac:dyDescent="0.25">
      <c r="A1644" s="24">
        <f>CADASTROS!$B$1400</f>
        <v>1398</v>
      </c>
      <c r="B1644" s="15" t="str">
        <f>CADASTROS!$C$1400</f>
        <v>Mª de Lourdes M. Oliveira</v>
      </c>
      <c r="C1644" s="25"/>
      <c r="D1644" s="53">
        <f>PLANILHA_COLHEITA_DIÁRIA!$I$2126</f>
        <v>50.5</v>
      </c>
      <c r="E1644" s="17">
        <v>6</v>
      </c>
      <c r="F1644" s="26" t="str">
        <f>CADASTROS!$E$1400</f>
        <v>Cx. Econômica</v>
      </c>
      <c r="G1644" s="24">
        <f>CADASTROS!$F$1400</f>
        <v>4825</v>
      </c>
      <c r="H1644" s="26">
        <f>CADASTROS!$G$1400</f>
        <v>13</v>
      </c>
      <c r="I1644" s="16" t="str">
        <f>CADASTROS!$H$1400</f>
        <v>00008694-9</v>
      </c>
      <c r="J1644" s="18">
        <f t="shared" si="77"/>
        <v>303</v>
      </c>
    </row>
    <row r="1645" spans="1:10" ht="15.75" x14ac:dyDescent="0.25">
      <c r="A1645" s="24">
        <f>CADASTROS!$B$1401</f>
        <v>1399</v>
      </c>
      <c r="B1645" s="15" t="str">
        <f>CADASTROS!$C$1401</f>
        <v>Leidiane Souza dos Santos</v>
      </c>
      <c r="C1645" s="25"/>
      <c r="D1645" s="53">
        <f>PLANILHA_COLHEITA_DIÁRIA!$I$2138</f>
        <v>0</v>
      </c>
      <c r="E1645" s="17">
        <v>6</v>
      </c>
      <c r="F1645" s="26" t="str">
        <f>CADASTROS!$E$1401</f>
        <v>Cx. Econômica</v>
      </c>
      <c r="G1645" s="24">
        <f>CADASTROS!$F$1401</f>
        <v>4825</v>
      </c>
      <c r="H1645" s="26">
        <f>CADASTROS!$G$1401</f>
        <v>0</v>
      </c>
      <c r="I1645" s="16" t="str">
        <f>CADASTROS!$H$1401</f>
        <v>000858060391-7</v>
      </c>
      <c r="J1645" s="18">
        <f t="shared" si="77"/>
        <v>0</v>
      </c>
    </row>
    <row r="1646" spans="1:10" ht="15.75" x14ac:dyDescent="0.25">
      <c r="A1646" s="24">
        <f>CADASTROS!$B$1402</f>
        <v>1400</v>
      </c>
      <c r="B1646" s="15" t="str">
        <f>CADASTROS!$C$1402</f>
        <v>Janilson Francisco dos Santos</v>
      </c>
      <c r="C1646" s="25"/>
      <c r="D1646" s="53">
        <f>PLANILHA_COLHEITA_DIÁRIA!$I$2139</f>
        <v>0</v>
      </c>
      <c r="E1646" s="17">
        <v>6</v>
      </c>
      <c r="F1646" s="26" t="str">
        <f>CADASTROS!$E$1402</f>
        <v>Cx. Econômica</v>
      </c>
      <c r="G1646" s="24">
        <f>CADASTROS!$F$1402</f>
        <v>3204</v>
      </c>
      <c r="H1646" s="26">
        <f>CADASTROS!$G$1402</f>
        <v>13</v>
      </c>
      <c r="I1646" s="16" t="str">
        <f>CADASTROS!$H$1402</f>
        <v>00016531-9</v>
      </c>
      <c r="J1646" s="18">
        <f t="shared" si="77"/>
        <v>0</v>
      </c>
    </row>
    <row r="1647" spans="1:10" ht="15.75" x14ac:dyDescent="0.25">
      <c r="A1647" s="24">
        <f>CADASTROS!$B$1403</f>
        <v>1401</v>
      </c>
      <c r="B1647" s="15" t="str">
        <f>CADASTROS!$C$1403</f>
        <v>Marivania Teles Oliveira</v>
      </c>
      <c r="C1647" s="25"/>
      <c r="D1647" s="35">
        <f>PLANILHA_COLHEITA_DIÁRIA!$I$2140</f>
        <v>0</v>
      </c>
      <c r="E1647" s="17">
        <v>6</v>
      </c>
      <c r="F1647" s="26" t="str">
        <f>CADASTROS!$E$1403</f>
        <v>Cx. Econômica</v>
      </c>
      <c r="G1647" s="24">
        <f>CADASTROS!$F$1403</f>
        <v>780</v>
      </c>
      <c r="H1647" s="26">
        <f>CADASTROS!$G$1403</f>
        <v>23</v>
      </c>
      <c r="I1647" s="16" t="str">
        <f>CADASTROS!$H$1403</f>
        <v>00011412-0</v>
      </c>
      <c r="J1647" s="18">
        <f t="shared" si="77"/>
        <v>0</v>
      </c>
    </row>
    <row r="1648" spans="1:10" ht="15.75" x14ac:dyDescent="0.25">
      <c r="A1648" s="24">
        <f>CADASTROS!$B$1404</f>
        <v>1402</v>
      </c>
      <c r="B1648" s="15" t="str">
        <f>CADASTROS!$C$1404</f>
        <v>Roseli Lima de Oliveira</v>
      </c>
      <c r="C1648" s="25"/>
      <c r="D1648" s="35">
        <f>PLANILHA_COLHEITA_DIÁRIA!$I$2141</f>
        <v>44.5</v>
      </c>
      <c r="E1648" s="17">
        <v>6</v>
      </c>
      <c r="F1648" s="26" t="str">
        <f>CADASTROS!$E$1404</f>
        <v>Bradesco</v>
      </c>
      <c r="G1648" s="24" t="str">
        <f>CADASTROS!$F$1404</f>
        <v>3538-6</v>
      </c>
      <c r="H1648" s="26" t="str">
        <f>CADASTROS!$G$1404</f>
        <v>poup</v>
      </c>
      <c r="I1648" s="16" t="str">
        <f>CADASTROS!$H$1404</f>
        <v>0005253-1</v>
      </c>
      <c r="J1648" s="18">
        <f t="shared" si="77"/>
        <v>267</v>
      </c>
    </row>
    <row r="1649" spans="1:10" ht="15.75" x14ac:dyDescent="0.25">
      <c r="A1649" s="24">
        <f>CADASTROS!$B$1405</f>
        <v>1403</v>
      </c>
      <c r="B1649" s="15" t="str">
        <f>CADASTROS!$C$1405</f>
        <v>Lindinalva Rosa dos Santos</v>
      </c>
      <c r="C1649" s="25"/>
      <c r="D1649" s="35">
        <f>PLANILHA_COLHEITA_DIÁRIA!$I$2142</f>
        <v>28.5</v>
      </c>
      <c r="E1649" s="17">
        <v>6</v>
      </c>
      <c r="F1649" s="26" t="str">
        <f>CADASTROS!$E$1405</f>
        <v>Cx. Econômica</v>
      </c>
      <c r="G1649" s="24">
        <f>CADASTROS!$F$1405</f>
        <v>4825</v>
      </c>
      <c r="H1649" s="26">
        <f>CADASTROS!$G$1405</f>
        <v>0</v>
      </c>
      <c r="I1649" s="16" t="str">
        <f>CADASTROS!$H$1405</f>
        <v>000800125575-0</v>
      </c>
      <c r="J1649" s="18">
        <f t="shared" si="77"/>
        <v>171</v>
      </c>
    </row>
    <row r="1650" spans="1:10" ht="15.75" x14ac:dyDescent="0.25">
      <c r="A1650" s="24">
        <f>CADASTROS!$B$1406</f>
        <v>1404</v>
      </c>
      <c r="B1650" s="15" t="str">
        <f>CADASTROS!$C$1406</f>
        <v>Juliana Silva da Conceição</v>
      </c>
      <c r="C1650" s="25"/>
      <c r="D1650" s="53">
        <f>PLANILHA_COLHEITA_DIÁRIA!$I$2143</f>
        <v>0</v>
      </c>
      <c r="E1650" s="17">
        <v>6</v>
      </c>
      <c r="F1650" s="26" t="str">
        <f>CADASTROS!$E$1406</f>
        <v>Cx. Econômica</v>
      </c>
      <c r="G1650" s="24">
        <f>CADASTROS!$F$1406</f>
        <v>4825</v>
      </c>
      <c r="H1650" s="26">
        <f>CADASTROS!$G$1406</f>
        <v>13</v>
      </c>
      <c r="I1650" s="16" t="str">
        <f>CADASTROS!$H$1406</f>
        <v>00015507-0</v>
      </c>
      <c r="J1650" s="18">
        <f t="shared" si="77"/>
        <v>0</v>
      </c>
    </row>
    <row r="1651" spans="1:10" ht="15.75" x14ac:dyDescent="0.25">
      <c r="A1651" s="24">
        <f>CADASTROS!$B$1407</f>
        <v>1405</v>
      </c>
      <c r="B1651" s="15" t="str">
        <f>CADASTROS!$C$1407</f>
        <v>Célia Pereira dos Santos</v>
      </c>
      <c r="C1651" s="25"/>
      <c r="D1651" s="35">
        <f>PLANILHA_COLHEITA_DIÁRIA!$I$2144</f>
        <v>0</v>
      </c>
      <c r="E1651" s="17">
        <v>6</v>
      </c>
      <c r="F1651" s="26" t="str">
        <f>CADASTROS!$E$1407</f>
        <v>Cx. Econômica</v>
      </c>
      <c r="G1651" s="24">
        <f>CADASTROS!$F$1407</f>
        <v>4825</v>
      </c>
      <c r="H1651" s="26">
        <f>CADASTROS!$G$1407</f>
        <v>13</v>
      </c>
      <c r="I1651" s="16" t="str">
        <f>CADASTROS!$H$1407</f>
        <v>00002507-9</v>
      </c>
      <c r="J1651" s="18">
        <f>D1651*E1651</f>
        <v>0</v>
      </c>
    </row>
    <row r="1652" spans="1:10" ht="15.75" x14ac:dyDescent="0.25">
      <c r="A1652" s="24">
        <f>CADASTROS!$B$1408</f>
        <v>1406</v>
      </c>
      <c r="B1652" s="15" t="str">
        <f>CADASTROS!$C$1408</f>
        <v>Eloisa Santana Guimarães</v>
      </c>
      <c r="C1652" s="25"/>
      <c r="D1652" s="35">
        <f>PLANILHA_COLHEITA_DIÁRIA!$I$2145</f>
        <v>46</v>
      </c>
      <c r="E1652" s="17">
        <v>6</v>
      </c>
      <c r="F1652" s="26" t="str">
        <f>CADASTROS!$E$1408</f>
        <v>Bradesco</v>
      </c>
      <c r="G1652" s="24" t="str">
        <f>CADASTROS!$F$1408</f>
        <v>3801-6</v>
      </c>
      <c r="H1652" s="26" t="str">
        <f>CADASTROS!$G$1408</f>
        <v>poup</v>
      </c>
      <c r="I1652" s="16" t="str">
        <f>CADASTROS!$H$1408</f>
        <v>0521931-0</v>
      </c>
      <c r="J1652" s="18">
        <f t="shared" ref="J1652" si="78">D1652*E1652</f>
        <v>276</v>
      </c>
    </row>
    <row r="1653" spans="1:10" ht="15.75" x14ac:dyDescent="0.25">
      <c r="A1653" s="24">
        <f>CADASTROS!$B$1409</f>
        <v>1407</v>
      </c>
      <c r="B1653" s="15" t="str">
        <f>CADASTROS!$C$1409</f>
        <v>Luana Conceição Santos</v>
      </c>
      <c r="C1653" s="25"/>
      <c r="D1653" s="53">
        <f>PLANILHA_COLHEITA_DIÁRIA!$I$2146</f>
        <v>0</v>
      </c>
      <c r="E1653" s="17">
        <v>6</v>
      </c>
      <c r="F1653" s="26" t="str">
        <f>CADASTROS!$E$1409</f>
        <v>Bradesco</v>
      </c>
      <c r="G1653" s="24" t="str">
        <f>CADASTROS!$F$1409</f>
        <v>0294-1</v>
      </c>
      <c r="H1653" s="26" t="str">
        <f>CADASTROS!$G$1409</f>
        <v>poup</v>
      </c>
      <c r="I1653" s="16" t="str">
        <f>CADASTROS!$H$1409</f>
        <v>1014181-8</v>
      </c>
      <c r="J1653" s="18">
        <f>D1653*E1653</f>
        <v>0</v>
      </c>
    </row>
    <row r="1654" spans="1:10" ht="15.75" x14ac:dyDescent="0.25">
      <c r="A1654" s="24">
        <f>CADASTROS!$B$1410</f>
        <v>1408</v>
      </c>
      <c r="B1654" s="15" t="str">
        <f>CADASTROS!$C$1410</f>
        <v>Euciléia Santos</v>
      </c>
      <c r="C1654" s="25"/>
      <c r="D1654" s="35">
        <f>PLANILHA_COLHEITA_DIÁRIA!$I$2147</f>
        <v>0</v>
      </c>
      <c r="E1654" s="17">
        <v>6</v>
      </c>
      <c r="F1654" s="26" t="str">
        <f>CADASTROS!$E$1410</f>
        <v>Cx. Econômica</v>
      </c>
      <c r="G1654" s="24">
        <f>CADASTROS!$F$1410</f>
        <v>4825</v>
      </c>
      <c r="H1654" s="26">
        <f>CADASTROS!$G$1410</f>
        <v>13</v>
      </c>
      <c r="I1654" s="16" t="str">
        <f>CADASTROS!$H$1410</f>
        <v>00020018-0</v>
      </c>
      <c r="J1654" s="18">
        <f t="shared" ref="J1654:J1685" si="79">D1654*E1654</f>
        <v>0</v>
      </c>
    </row>
    <row r="1655" spans="1:10" ht="15.75" x14ac:dyDescent="0.25">
      <c r="A1655" s="24">
        <f>CADASTROS!$B$1411</f>
        <v>1409</v>
      </c>
      <c r="B1655" s="15" t="str">
        <f>CADASTROS!$C$1411</f>
        <v>Carine Souza de Jesus</v>
      </c>
      <c r="C1655" s="25"/>
      <c r="D1655" s="35">
        <f>PLANILHA_COLHEITA_DIÁRIA!$I$2148</f>
        <v>7</v>
      </c>
      <c r="E1655" s="17">
        <v>6</v>
      </c>
      <c r="F1655" s="26" t="str">
        <f>CADASTROS!$E$1411</f>
        <v>Cx. Econômica</v>
      </c>
      <c r="G1655" s="24">
        <f>CADASTROS!$F$1411</f>
        <v>4825</v>
      </c>
      <c r="H1655" s="26">
        <f>CADASTROS!$G$1411</f>
        <v>13</v>
      </c>
      <c r="I1655" s="16" t="str">
        <f>CADASTROS!$H$1411</f>
        <v>00020099-7</v>
      </c>
      <c r="J1655" s="18">
        <f t="shared" si="79"/>
        <v>42</v>
      </c>
    </row>
    <row r="1656" spans="1:10" ht="15.75" x14ac:dyDescent="0.25">
      <c r="A1656" s="24">
        <f>CADASTROS!$B$1412</f>
        <v>1410</v>
      </c>
      <c r="B1656" s="15" t="str">
        <f>CADASTROS!$C$1412</f>
        <v>Vanilza Pereira de Souza</v>
      </c>
      <c r="C1656" s="25"/>
      <c r="D1656" s="35">
        <f>PLANILHA_COLHEITA_DIÁRIA!$I$2149</f>
        <v>69.5</v>
      </c>
      <c r="E1656" s="17">
        <v>6</v>
      </c>
      <c r="F1656" s="26" t="str">
        <f>CADASTROS!$E$1412</f>
        <v>Cx. Econômica</v>
      </c>
      <c r="G1656" s="24">
        <f>CADASTROS!$F$1412</f>
        <v>780</v>
      </c>
      <c r="H1656" s="26">
        <f>CADASTROS!$G$1412</f>
        <v>13</v>
      </c>
      <c r="I1656" s="16" t="str">
        <f>CADASTROS!$H$1412</f>
        <v>00072112-7</v>
      </c>
      <c r="J1656" s="18">
        <f t="shared" si="79"/>
        <v>417</v>
      </c>
    </row>
    <row r="1657" spans="1:10" ht="15.75" x14ac:dyDescent="0.25">
      <c r="A1657" s="24">
        <f>CADASTROS!$B$1413</f>
        <v>1411</v>
      </c>
      <c r="B1657" s="15" t="str">
        <f>CADASTROS!$C$1413</f>
        <v>Ediene Lima Soares</v>
      </c>
      <c r="C1657" s="25"/>
      <c r="D1657" s="35">
        <f>PLANILHA_COLHEITA_DIÁRIA!$I$2150</f>
        <v>0</v>
      </c>
      <c r="E1657" s="17">
        <v>6</v>
      </c>
      <c r="F1657" s="26" t="str">
        <f>CADASTROS!$E$1413</f>
        <v>Banco do Brasil</v>
      </c>
      <c r="G1657" s="24" t="str">
        <f>CADASTROS!$F$1413</f>
        <v>2760-X</v>
      </c>
      <c r="H1657" s="26" t="str">
        <f>CADASTROS!$G$1413</f>
        <v>poup</v>
      </c>
      <c r="I1657" s="16" t="str">
        <f>CADASTROS!$H$1413</f>
        <v>872-9</v>
      </c>
      <c r="J1657" s="18">
        <f t="shared" si="79"/>
        <v>0</v>
      </c>
    </row>
    <row r="1658" spans="1:10" ht="15.75" x14ac:dyDescent="0.25">
      <c r="A1658" s="24">
        <f>CADASTROS!$B$1414</f>
        <v>1412</v>
      </c>
      <c r="B1658" s="15" t="str">
        <f>CADASTROS!$C$1414</f>
        <v>Jilmaene Pereira de Souza</v>
      </c>
      <c r="C1658" s="25"/>
      <c r="D1658" s="35">
        <f>PLANILHA_COLHEITA_DIÁRIA!$I$2151</f>
        <v>0</v>
      </c>
      <c r="E1658" s="17">
        <v>6</v>
      </c>
      <c r="F1658" s="26" t="str">
        <f>CADASTROS!$E$1414</f>
        <v>Cx. Econômica</v>
      </c>
      <c r="G1658" s="24">
        <f>CADASTROS!$F$1414</f>
        <v>4825</v>
      </c>
      <c r="H1658" s="26">
        <f>CADASTROS!$G$1414</f>
        <v>13</v>
      </c>
      <c r="I1658" s="16" t="str">
        <f>CADASTROS!$H$1414</f>
        <v>854053096-0</v>
      </c>
      <c r="J1658" s="18">
        <f t="shared" si="79"/>
        <v>0</v>
      </c>
    </row>
    <row r="1659" spans="1:10" ht="15.75" x14ac:dyDescent="0.25">
      <c r="A1659" s="24">
        <f>CADASTROS!$B$1415</f>
        <v>1413</v>
      </c>
      <c r="B1659" s="15" t="str">
        <f>CADASTROS!$C$1415</f>
        <v>Valcira Araújo  de Souza</v>
      </c>
      <c r="C1659" s="25"/>
      <c r="D1659" s="35">
        <f>PLANILHA_COLHEITA_DIÁRIA!$I$2152</f>
        <v>213.5</v>
      </c>
      <c r="E1659" s="17">
        <v>6</v>
      </c>
      <c r="F1659" s="26" t="str">
        <f>CADASTROS!$E$1415</f>
        <v>Cx. Econômica</v>
      </c>
      <c r="G1659" s="24">
        <f>CADASTROS!$F$1415</f>
        <v>3183</v>
      </c>
      <c r="H1659" s="26">
        <f>CADASTROS!$G$1415</f>
        <v>13</v>
      </c>
      <c r="I1659" s="16" t="str">
        <f>CADASTROS!$H$1415</f>
        <v>00001768-6</v>
      </c>
      <c r="J1659" s="18">
        <f t="shared" si="79"/>
        <v>1281</v>
      </c>
    </row>
    <row r="1660" spans="1:10" ht="15.75" x14ac:dyDescent="0.25">
      <c r="A1660" s="24">
        <f>CADASTROS!$B$1416</f>
        <v>1414</v>
      </c>
      <c r="B1660" s="15" t="str">
        <f>CADASTROS!$C$1416</f>
        <v>José Alves de Souza</v>
      </c>
      <c r="C1660" s="25"/>
      <c r="D1660" s="42">
        <f>PLANILHA_COLHEITA_DIÁRIA!$I$2153</f>
        <v>14</v>
      </c>
      <c r="E1660" s="17">
        <v>6</v>
      </c>
      <c r="F1660" s="26" t="str">
        <f>CADASTROS!$E$1416</f>
        <v>Bradesco</v>
      </c>
      <c r="G1660" s="24" t="str">
        <f>CADASTROS!$F$1416</f>
        <v>3801-6</v>
      </c>
      <c r="H1660" s="26" t="str">
        <f>CADASTROS!$G$1416</f>
        <v>poup</v>
      </c>
      <c r="I1660" s="16" t="str">
        <f>CADASTROS!$H$1416</f>
        <v>1000397-0</v>
      </c>
      <c r="J1660" s="18">
        <f t="shared" si="79"/>
        <v>84</v>
      </c>
    </row>
    <row r="1661" spans="1:10" ht="15.75" x14ac:dyDescent="0.25">
      <c r="A1661" s="24">
        <f>CADASTROS!$B$1417</f>
        <v>1415</v>
      </c>
      <c r="B1661" s="15" t="str">
        <f>CADASTROS!$C$1417</f>
        <v>Cosme Almeida Santos</v>
      </c>
      <c r="C1661" s="25"/>
      <c r="D1661" s="35">
        <f>PLANILHA_COLHEITA_DIÁRIA!$I$2154</f>
        <v>0</v>
      </c>
      <c r="E1661" s="17">
        <v>6</v>
      </c>
      <c r="F1661" s="26" t="str">
        <f>CADASTROS!$E$1417</f>
        <v>Bradesco</v>
      </c>
      <c r="G1661" s="24" t="str">
        <f>CADASTROS!$F$1417</f>
        <v>3801-6</v>
      </c>
      <c r="H1661" s="26" t="str">
        <f>CADASTROS!$G$1417</f>
        <v>poup</v>
      </c>
      <c r="I1661" s="16" t="str">
        <f>CADASTROS!$H$1417</f>
        <v>0002530-5</v>
      </c>
      <c r="J1661" s="18">
        <f t="shared" si="79"/>
        <v>0</v>
      </c>
    </row>
    <row r="1662" spans="1:10" ht="15.75" x14ac:dyDescent="0.25">
      <c r="A1662" s="24">
        <f>CADASTROS!$B$1418</f>
        <v>1416</v>
      </c>
      <c r="B1662" s="15" t="str">
        <f>CADASTROS!$C$1418</f>
        <v>Fabiana Ribeiro Costa</v>
      </c>
      <c r="C1662" s="25"/>
      <c r="D1662" s="35">
        <f>PLANILHA_COLHEITA_DIÁRIA!$I$2155</f>
        <v>8</v>
      </c>
      <c r="E1662" s="17">
        <v>6</v>
      </c>
      <c r="F1662" s="26" t="str">
        <f>CADASTROS!$E$1418</f>
        <v>Cx. Econômica</v>
      </c>
      <c r="G1662" s="24">
        <f>CADASTROS!$F$1418</f>
        <v>780</v>
      </c>
      <c r="H1662" s="26">
        <f>CADASTROS!$G$1418</f>
        <v>23</v>
      </c>
      <c r="I1662" s="16" t="str">
        <f>CADASTROS!$H$1418</f>
        <v>00025581-6</v>
      </c>
      <c r="J1662" s="18">
        <f t="shared" si="79"/>
        <v>48</v>
      </c>
    </row>
    <row r="1663" spans="1:10" ht="15.75" x14ac:dyDescent="0.25">
      <c r="A1663" s="24">
        <f>CADASTROS!$B$1419</f>
        <v>1417</v>
      </c>
      <c r="B1663" s="15" t="str">
        <f>CADASTROS!$C$1419</f>
        <v>Jaciara Santos Nascimento</v>
      </c>
      <c r="C1663" s="25"/>
      <c r="D1663" s="35">
        <f>PLANILHA_COLHEITA_DIÁRIA!$I$2156</f>
        <v>30</v>
      </c>
      <c r="E1663" s="17">
        <v>6</v>
      </c>
      <c r="F1663" s="26" t="str">
        <f>CADASTROS!$E$1419</f>
        <v>Cx. Econômica</v>
      </c>
      <c r="G1663" s="24">
        <f>CADASTROS!$F$1419</f>
        <v>4773</v>
      </c>
      <c r="H1663" s="26">
        <f>CADASTROS!$G$1419</f>
        <v>23</v>
      </c>
      <c r="I1663" s="16" t="str">
        <f>CADASTROS!$H$1419</f>
        <v>00000604-5</v>
      </c>
      <c r="J1663" s="18">
        <f t="shared" si="79"/>
        <v>180</v>
      </c>
    </row>
    <row r="1664" spans="1:10" ht="15.75" x14ac:dyDescent="0.25">
      <c r="A1664" s="24">
        <f>CADASTROS!$B$1420</f>
        <v>1418</v>
      </c>
      <c r="B1664" s="15" t="str">
        <f>CADASTROS!$C$1420</f>
        <v>Jeane Silva dos Santos</v>
      </c>
      <c r="C1664" s="25"/>
      <c r="D1664" s="35">
        <f>PLANILHA_COLHEITA_DIÁRIA!$I$2157</f>
        <v>51.5</v>
      </c>
      <c r="E1664" s="17">
        <v>6</v>
      </c>
      <c r="F1664" s="26" t="str">
        <f>CADASTROS!$E$1420</f>
        <v>Cx. Econômica</v>
      </c>
      <c r="G1664" s="24">
        <f>CADASTROS!$F$1420</f>
        <v>4825</v>
      </c>
      <c r="H1664" s="26">
        <f>CADASTROS!$G$1420</f>
        <v>13</v>
      </c>
      <c r="I1664" s="16" t="str">
        <f>CADASTROS!$H$1420</f>
        <v>00012163-9</v>
      </c>
      <c r="J1664" s="18">
        <f t="shared" si="79"/>
        <v>309</v>
      </c>
    </row>
    <row r="1665" spans="1:10" ht="15.75" x14ac:dyDescent="0.25">
      <c r="A1665" s="24">
        <f>CADASTROS!$B$1421</f>
        <v>1419</v>
      </c>
      <c r="B1665" s="15" t="str">
        <f>CADASTROS!$C$1421</f>
        <v>Gilmar dos Santos Alves</v>
      </c>
      <c r="C1665" s="25"/>
      <c r="D1665" s="41">
        <f>PLANILHA_COLHEITA_DIÁRIA!$I$2158</f>
        <v>25</v>
      </c>
      <c r="E1665" s="17">
        <v>6</v>
      </c>
      <c r="F1665" s="26" t="str">
        <f>CADASTROS!$E$1421</f>
        <v>Bradesco</v>
      </c>
      <c r="G1665" s="24" t="str">
        <f>CADASTROS!$F$1421</f>
        <v>3801-6</v>
      </c>
      <c r="H1665" s="26" t="str">
        <f>CADASTROS!$G$1421</f>
        <v>poup</v>
      </c>
      <c r="I1665" s="16" t="str">
        <f>CADASTROS!$H$1421</f>
        <v>0004264-1</v>
      </c>
      <c r="J1665" s="18">
        <f t="shared" si="79"/>
        <v>150</v>
      </c>
    </row>
    <row r="1666" spans="1:10" ht="15.75" x14ac:dyDescent="0.25">
      <c r="A1666" s="24">
        <f>CADASTROS!$B$1422</f>
        <v>1420</v>
      </c>
      <c r="B1666" s="15" t="str">
        <f>CADASTROS!$C$1422</f>
        <v>Anaclecia Santos Lopes</v>
      </c>
      <c r="C1666" s="25"/>
      <c r="D1666" s="35">
        <f>PLANILHA_COLHEITA_DIÁRIA!$I$2159</f>
        <v>58</v>
      </c>
      <c r="E1666" s="17">
        <v>6</v>
      </c>
      <c r="F1666" s="26" t="str">
        <f>CADASTROS!$E$1422</f>
        <v>Cx. Econômica</v>
      </c>
      <c r="G1666" s="24">
        <f>CADASTROS!$F$1422</f>
        <v>780</v>
      </c>
      <c r="H1666" s="26">
        <f>CADASTROS!$G$1422</f>
        <v>13</v>
      </c>
      <c r="I1666" s="16" t="str">
        <f>CADASTROS!$H$1422</f>
        <v>00033941-9</v>
      </c>
      <c r="J1666" s="18">
        <f t="shared" si="79"/>
        <v>348</v>
      </c>
    </row>
    <row r="1667" spans="1:10" ht="15.75" x14ac:dyDescent="0.25">
      <c r="A1667" s="24">
        <f>CADASTROS!$B$1423</f>
        <v>1421</v>
      </c>
      <c r="B1667" s="15" t="str">
        <f>CADASTROS!$C$1423</f>
        <v>Edriana Costa dos Santos</v>
      </c>
      <c r="C1667" s="25"/>
      <c r="D1667" s="35">
        <f>PLANILHA_COLHEITA_DIÁRIA!$I$2160</f>
        <v>0</v>
      </c>
      <c r="E1667" s="17">
        <v>6</v>
      </c>
      <c r="F1667" s="26" t="str">
        <f>CADASTROS!$E$1423</f>
        <v>Cx. Econômica</v>
      </c>
      <c r="G1667" s="24">
        <f>CADASTROS!$F$1423</f>
        <v>4825</v>
      </c>
      <c r="H1667" s="26">
        <f>CADASTROS!$G$1423</f>
        <v>13</v>
      </c>
      <c r="I1667" s="16" t="str">
        <f>CADASTROS!$H$1423</f>
        <v>00015143-0</v>
      </c>
      <c r="J1667" s="18">
        <f t="shared" si="79"/>
        <v>0</v>
      </c>
    </row>
    <row r="1668" spans="1:10" ht="15.75" x14ac:dyDescent="0.25">
      <c r="A1668" s="24">
        <f>CADASTROS!$B$1424</f>
        <v>1422</v>
      </c>
      <c r="B1668" s="15" t="str">
        <f>CADASTROS!$C$1424</f>
        <v>Lúcio de Jesus Souza</v>
      </c>
      <c r="C1668" s="25"/>
      <c r="D1668" s="35">
        <f>PLANILHA_COLHEITA_DIÁRIA!$I$2161</f>
        <v>0</v>
      </c>
      <c r="E1668" s="17">
        <v>6</v>
      </c>
      <c r="F1668" s="26" t="str">
        <f>CADASTROS!$E$1424</f>
        <v>Cx. Econômica</v>
      </c>
      <c r="G1668" s="24">
        <f>CADASTROS!$F$1424</f>
        <v>4825</v>
      </c>
      <c r="H1668" s="26">
        <f>CADASTROS!$G$1424</f>
        <v>13</v>
      </c>
      <c r="I1668" s="16" t="str">
        <f>CADASTROS!$H$1424</f>
        <v>00005495-8</v>
      </c>
      <c r="J1668" s="18">
        <f t="shared" si="79"/>
        <v>0</v>
      </c>
    </row>
    <row r="1669" spans="1:10" ht="15.75" x14ac:dyDescent="0.25">
      <c r="A1669" s="24">
        <f>CADASTROS!$B$1425</f>
        <v>1423</v>
      </c>
      <c r="B1669" s="15" t="str">
        <f>CADASTROS!$C$1425</f>
        <v>Robenilson da Cruz Silva</v>
      </c>
      <c r="C1669" s="25"/>
      <c r="D1669" s="42">
        <f>PLANILHA_COLHEITA_DIÁRIA!$I$2162</f>
        <v>9</v>
      </c>
      <c r="E1669" s="17">
        <v>6</v>
      </c>
      <c r="F1669" s="26" t="str">
        <f>CADASTROS!$E$1425</f>
        <v>Cx. Econômica</v>
      </c>
      <c r="G1669" s="24">
        <f>CADASTROS!$F$1425</f>
        <v>147</v>
      </c>
      <c r="H1669" s="26">
        <f>CADASTROS!$G$1425</f>
        <v>13</v>
      </c>
      <c r="I1669" s="16" t="str">
        <f>CADASTROS!$H$1425</f>
        <v>00025062-9</v>
      </c>
      <c r="J1669" s="18">
        <f t="shared" si="79"/>
        <v>54</v>
      </c>
    </row>
    <row r="1670" spans="1:10" ht="15.75" x14ac:dyDescent="0.25">
      <c r="A1670" s="24">
        <f>CADASTROS!$B$1426</f>
        <v>1424</v>
      </c>
      <c r="B1670" s="15" t="str">
        <f>CADASTROS!$C$1426</f>
        <v>Jovania Santos da Cruz</v>
      </c>
      <c r="C1670" s="25"/>
      <c r="D1670" s="35">
        <f>PLANILHA_COLHEITA_DIÁRIA!$I$2163</f>
        <v>0</v>
      </c>
      <c r="E1670" s="17">
        <v>6</v>
      </c>
      <c r="F1670" s="26" t="str">
        <f>CADASTROS!$E$1426</f>
        <v>Bradesco</v>
      </c>
      <c r="G1670" s="24">
        <f>CADASTROS!$F$1426</f>
        <v>7802</v>
      </c>
      <c r="H1670" s="26" t="str">
        <f>CADASTROS!$G$1426</f>
        <v>c/corr</v>
      </c>
      <c r="I1670" s="16" t="str">
        <f>CADASTROS!$H$1426</f>
        <v>530094-0</v>
      </c>
      <c r="J1670" s="18">
        <f t="shared" si="79"/>
        <v>0</v>
      </c>
    </row>
    <row r="1671" spans="1:10" ht="15.75" x14ac:dyDescent="0.25">
      <c r="A1671" s="24">
        <f>CADASTROS!$B$1427</f>
        <v>1425</v>
      </c>
      <c r="B1671" s="15" t="str">
        <f>CADASTROS!$C$1427</f>
        <v>Almir de Jesus Carvalho</v>
      </c>
      <c r="C1671" s="25"/>
      <c r="D1671" s="35">
        <f>PLANILHA_COLHEITA_DIÁRIA!$I$2164</f>
        <v>3</v>
      </c>
      <c r="E1671" s="17">
        <v>6</v>
      </c>
      <c r="F1671" s="26" t="str">
        <f>CADASTROS!$E$1427</f>
        <v>Cx. Econômica</v>
      </c>
      <c r="G1671" s="24">
        <f>CADASTROS!$F$1427</f>
        <v>2734</v>
      </c>
      <c r="H1671" s="26">
        <f>CADASTROS!$G$1427</f>
        <v>13</v>
      </c>
      <c r="I1671" s="16" t="str">
        <f>CADASTROS!$H$1427</f>
        <v>00023222-8</v>
      </c>
      <c r="J1671" s="18">
        <f t="shared" si="79"/>
        <v>18</v>
      </c>
    </row>
    <row r="1672" spans="1:10" ht="15.75" x14ac:dyDescent="0.25">
      <c r="A1672" s="24">
        <f>CADASTROS!$B$1428</f>
        <v>1426</v>
      </c>
      <c r="B1672" s="15" t="str">
        <f>CADASTROS!$C$1428</f>
        <v>Luciana dos Anjos Costa</v>
      </c>
      <c r="C1672" s="25"/>
      <c r="D1672" s="35">
        <f>PLANILHA_COLHEITA_DIÁRIA!$I$2176</f>
        <v>0</v>
      </c>
      <c r="E1672" s="17">
        <v>6</v>
      </c>
      <c r="F1672" s="26" t="str">
        <f>CADASTROS!$E$1428</f>
        <v>Cx. Econômica</v>
      </c>
      <c r="G1672" s="24">
        <f>CADASTROS!$F$1428</f>
        <v>4825</v>
      </c>
      <c r="H1672" s="26">
        <f>CADASTROS!$G$1428</f>
        <v>13</v>
      </c>
      <c r="I1672" s="16" t="str">
        <f>CADASTROS!$H$1428</f>
        <v>855654528-7</v>
      </c>
      <c r="J1672" s="18">
        <f t="shared" si="79"/>
        <v>0</v>
      </c>
    </row>
    <row r="1673" spans="1:10" ht="15.75" x14ac:dyDescent="0.25">
      <c r="A1673" s="24">
        <f>CADASTROS!$B$1429</f>
        <v>1427</v>
      </c>
      <c r="B1673" s="15" t="str">
        <f>CADASTROS!$C$1429</f>
        <v>Domingas Betania de Souza</v>
      </c>
      <c r="C1673" s="25"/>
      <c r="D1673" s="35">
        <f>PLANILHA_COLHEITA_DIÁRIA!$I$2177</f>
        <v>42.5</v>
      </c>
      <c r="E1673" s="17">
        <v>6</v>
      </c>
      <c r="F1673" s="26" t="str">
        <f>CADASTROS!$E$1429</f>
        <v>Bradesco</v>
      </c>
      <c r="G1673" s="24" t="str">
        <f>CADASTROS!$F$1429</f>
        <v>3801-6</v>
      </c>
      <c r="H1673" s="26" t="str">
        <f>CADASTROS!$G$1429</f>
        <v>poup</v>
      </c>
      <c r="I1673" s="16">
        <f>CADASTROS!$H$1429</f>
        <v>41505</v>
      </c>
      <c r="J1673" s="18">
        <f t="shared" si="79"/>
        <v>255</v>
      </c>
    </row>
    <row r="1674" spans="1:10" ht="15.75" x14ac:dyDescent="0.25">
      <c r="A1674" s="24">
        <f>CADASTROS!$B$1430</f>
        <v>1428</v>
      </c>
      <c r="B1674" s="15" t="str">
        <f>CADASTROS!$C$1430</f>
        <v>Gilson Alves Ribeiro</v>
      </c>
      <c r="C1674" s="25"/>
      <c r="D1674" s="35">
        <f>PLANILHA_COLHEITA_DIÁRIA!$I$2178</f>
        <v>25.5</v>
      </c>
      <c r="E1674" s="17">
        <v>6</v>
      </c>
      <c r="F1674" s="26" t="str">
        <f>CADASTROS!$E$1430</f>
        <v>Bradesco</v>
      </c>
      <c r="G1674" s="24" t="str">
        <f>CADASTROS!$F$1430</f>
        <v>3801-6</v>
      </c>
      <c r="H1674" s="26" t="str">
        <f>CADASTROS!$G$1430</f>
        <v>poup</v>
      </c>
      <c r="I1674" s="16">
        <f>CADASTROS!$H$1430</f>
        <v>3502503</v>
      </c>
      <c r="J1674" s="18">
        <f t="shared" si="79"/>
        <v>153</v>
      </c>
    </row>
    <row r="1675" spans="1:10" ht="15.75" x14ac:dyDescent="0.25">
      <c r="A1675" s="24">
        <f>CADASTROS!$B$1431</f>
        <v>1429</v>
      </c>
      <c r="B1675" s="15" t="str">
        <f>CADASTROS!$C$1431</f>
        <v>Ana Lucia Sena Meira</v>
      </c>
      <c r="C1675" s="25"/>
      <c r="D1675" s="42">
        <f>PLANILHA_COLHEITA_DIÁRIA!$I$2179</f>
        <v>14</v>
      </c>
      <c r="E1675" s="17">
        <v>6</v>
      </c>
      <c r="F1675" s="26" t="str">
        <f>CADASTROS!$E$1431</f>
        <v>Cx. Econômica</v>
      </c>
      <c r="G1675" s="24">
        <f>CADASTROS!$F$1431</f>
        <v>4601</v>
      </c>
      <c r="H1675" s="26">
        <f>CADASTROS!$G$1431</f>
        <v>0</v>
      </c>
      <c r="I1675" s="16" t="str">
        <f>CADASTROS!$H$1431</f>
        <v>000793734757-1</v>
      </c>
      <c r="J1675" s="18">
        <f t="shared" si="79"/>
        <v>84</v>
      </c>
    </row>
    <row r="1676" spans="1:10" ht="15.75" x14ac:dyDescent="0.25">
      <c r="A1676" s="24">
        <f>CADASTROS!$B$1432</f>
        <v>1430</v>
      </c>
      <c r="B1676" s="15" t="str">
        <f>CADASTROS!$C$1432</f>
        <v>Nivaldo Antônio Magno</v>
      </c>
      <c r="C1676" s="25"/>
      <c r="D1676" s="35">
        <f>PLANILHA_COLHEITA_DIÁRIA!$I$2180</f>
        <v>80.5</v>
      </c>
      <c r="E1676" s="17">
        <v>6</v>
      </c>
      <c r="F1676" s="26" t="str">
        <f>CADASTROS!$E$1432</f>
        <v>Bradesco</v>
      </c>
      <c r="G1676" s="24" t="str">
        <f>CADASTROS!$F$1432</f>
        <v>3616-1</v>
      </c>
      <c r="H1676" s="26" t="str">
        <f>CADASTROS!$G$1432</f>
        <v>c/corr</v>
      </c>
      <c r="I1676" s="16" t="str">
        <f>CADASTROS!$H$1432</f>
        <v>0600602-7</v>
      </c>
      <c r="J1676" s="18">
        <f t="shared" si="79"/>
        <v>483</v>
      </c>
    </row>
    <row r="1677" spans="1:10" ht="15.75" x14ac:dyDescent="0.25">
      <c r="A1677" s="24">
        <f>CADASTROS!$B$1433</f>
        <v>1431</v>
      </c>
      <c r="B1677" s="15" t="str">
        <f>CADASTROS!$C$1433</f>
        <v>Ana Cedro Alves Santos</v>
      </c>
      <c r="C1677" s="25"/>
      <c r="D1677" s="42">
        <f>PLANILHA_COLHEITA_DIÁRIA!$I$2181</f>
        <v>0</v>
      </c>
      <c r="E1677" s="17">
        <v>6</v>
      </c>
      <c r="F1677" s="26" t="str">
        <f>CADASTROS!$E$1433</f>
        <v>Banco do Brasil</v>
      </c>
      <c r="G1677" s="24" t="str">
        <f>CADASTROS!$F$1433</f>
        <v>2760-X</v>
      </c>
      <c r="H1677" s="26" t="str">
        <f>CADASTROS!$G$1433</f>
        <v>poup</v>
      </c>
      <c r="I1677" s="16" t="str">
        <f>CADASTROS!$H$1433</f>
        <v>10.936-3</v>
      </c>
      <c r="J1677" s="18">
        <f t="shared" si="79"/>
        <v>0</v>
      </c>
    </row>
    <row r="1678" spans="1:10" ht="15.75" x14ac:dyDescent="0.25">
      <c r="A1678" s="24">
        <f>CADASTROS!$B$1434</f>
        <v>1432</v>
      </c>
      <c r="B1678" s="15" t="str">
        <f>CADASTROS!$C$1434</f>
        <v>Paulo Santos Oliveira</v>
      </c>
      <c r="C1678" s="25"/>
      <c r="D1678" s="42">
        <f>PLANILHA_COLHEITA_DIÁRIA!$I$2182</f>
        <v>0</v>
      </c>
      <c r="E1678" s="17">
        <v>6</v>
      </c>
      <c r="F1678" s="26" t="str">
        <f>CADASTROS!$E$1434</f>
        <v>Cx. Econômica</v>
      </c>
      <c r="G1678" s="24">
        <f>CADASTROS!$F$1434</f>
        <v>4818</v>
      </c>
      <c r="H1678" s="26">
        <f>CADASTROS!$G$1434</f>
        <v>13</v>
      </c>
      <c r="I1678" s="16" t="str">
        <f>CADASTROS!$H$1434</f>
        <v>00001670-5</v>
      </c>
      <c r="J1678" s="18">
        <f t="shared" si="79"/>
        <v>0</v>
      </c>
    </row>
    <row r="1679" spans="1:10" ht="15.75" x14ac:dyDescent="0.25">
      <c r="A1679" s="24">
        <f>CADASTROS!$B$1435</f>
        <v>1433</v>
      </c>
      <c r="B1679" s="15" t="str">
        <f>CADASTROS!$C$1435</f>
        <v>Valdirene Alve Pereira</v>
      </c>
      <c r="C1679" s="25"/>
      <c r="D1679" s="35">
        <f>PLANILHA_COLHEITA_DIÁRIA!$I$2183</f>
        <v>0</v>
      </c>
      <c r="E1679" s="17">
        <v>6</v>
      </c>
      <c r="F1679" s="26" t="str">
        <f>CADASTROS!$E$1435</f>
        <v>Cx. Econômica</v>
      </c>
      <c r="G1679" s="24">
        <f>CADASTROS!$F$1435</f>
        <v>780</v>
      </c>
      <c r="H1679" s="26">
        <f>CADASTROS!$G$1435</f>
        <v>23</v>
      </c>
      <c r="I1679" s="16" t="str">
        <f>CADASTROS!$H$1435</f>
        <v>00010519-9</v>
      </c>
      <c r="J1679" s="18">
        <f t="shared" si="79"/>
        <v>0</v>
      </c>
    </row>
    <row r="1680" spans="1:10" ht="15.75" x14ac:dyDescent="0.25">
      <c r="A1680" s="24">
        <f>CADASTROS!$B$1436</f>
        <v>1434</v>
      </c>
      <c r="B1680" s="15" t="str">
        <f>CADASTROS!$C$1436</f>
        <v>Valdir Pereira S. Souza</v>
      </c>
      <c r="C1680" s="25"/>
      <c r="D1680" s="35">
        <f>PLANILHA_COLHEITA_DIÁRIA!$I$2184</f>
        <v>20.5</v>
      </c>
      <c r="E1680" s="17">
        <v>6</v>
      </c>
      <c r="F1680" s="26" t="str">
        <f>CADASTROS!$E$1436</f>
        <v>Cx. Econômica</v>
      </c>
      <c r="G1680" s="24">
        <f>CADASTROS!$F$1436</f>
        <v>4825</v>
      </c>
      <c r="H1680" s="26">
        <f>CADASTROS!$G$1436</f>
        <v>13</v>
      </c>
      <c r="I1680" s="16" t="str">
        <f>CADASTROS!$H$1436</f>
        <v>00020749-5</v>
      </c>
      <c r="J1680" s="18">
        <f t="shared" si="79"/>
        <v>123</v>
      </c>
    </row>
    <row r="1681" spans="1:10" ht="15.75" x14ac:dyDescent="0.25">
      <c r="A1681" s="24">
        <f>CADASTROS!$B$1437</f>
        <v>1435</v>
      </c>
      <c r="B1681" s="15" t="str">
        <f>CADASTROS!$C$1437</f>
        <v>Reinaldo Costa da Rocha</v>
      </c>
      <c r="C1681" s="25"/>
      <c r="D1681" s="41">
        <f>PLANILHA_COLHEITA_DIÁRIA!$I$2185</f>
        <v>0</v>
      </c>
      <c r="E1681" s="17">
        <v>6</v>
      </c>
      <c r="F1681" s="26" t="str">
        <f>CADASTROS!$E$1437</f>
        <v>Bradesco</v>
      </c>
      <c r="G1681" s="24" t="str">
        <f>CADASTROS!$F$1437</f>
        <v>3616-1</v>
      </c>
      <c r="H1681" s="26" t="str">
        <f>CADASTROS!$G$1437</f>
        <v>poup</v>
      </c>
      <c r="I1681" s="16" t="str">
        <f>CADASTROS!$H$1437</f>
        <v>1001578-2</v>
      </c>
      <c r="J1681" s="18">
        <f t="shared" si="79"/>
        <v>0</v>
      </c>
    </row>
    <row r="1682" spans="1:10" ht="15.75" x14ac:dyDescent="0.25">
      <c r="A1682" s="24">
        <f>CADASTROS!$B$1438</f>
        <v>1436</v>
      </c>
      <c r="B1682" s="15" t="str">
        <f>CADASTROS!$C$1438</f>
        <v>Jorge Elcivan Filho</v>
      </c>
      <c r="C1682" s="25"/>
      <c r="D1682" s="41">
        <f>PLANILHA_COLHEITA_DIÁRIA!$I$2186</f>
        <v>56</v>
      </c>
      <c r="E1682" s="17">
        <v>6</v>
      </c>
      <c r="F1682" s="26" t="str">
        <f>CADASTROS!$E$1438</f>
        <v>Banco do Brasil</v>
      </c>
      <c r="G1682" s="24" t="str">
        <f>CADASTROS!$F$1438</f>
        <v>2760-X</v>
      </c>
      <c r="H1682" s="26" t="str">
        <f>CADASTROS!$G$1438</f>
        <v>poup</v>
      </c>
      <c r="I1682" s="16" t="str">
        <f>CADASTROS!$H$1438</f>
        <v>8.282-1</v>
      </c>
      <c r="J1682" s="18">
        <f t="shared" si="79"/>
        <v>336</v>
      </c>
    </row>
    <row r="1683" spans="1:10" ht="15.75" x14ac:dyDescent="0.25">
      <c r="A1683" s="24">
        <f>CADASTROS!$B$1439</f>
        <v>1437</v>
      </c>
      <c r="B1683" s="15" t="str">
        <f>CADASTROS!$C$1439</f>
        <v>Aristeu Gomes de Souza</v>
      </c>
      <c r="C1683" s="25"/>
      <c r="D1683" s="35">
        <f>PLANILHA_COLHEITA_DIÁRIA!$I$2187</f>
        <v>19.5</v>
      </c>
      <c r="E1683" s="17">
        <v>6</v>
      </c>
      <c r="F1683" s="26" t="str">
        <f>CADASTROS!$E$1439</f>
        <v>Cx. Econômica</v>
      </c>
      <c r="G1683" s="24">
        <f>CADASTROS!$F$1439</f>
        <v>4818</v>
      </c>
      <c r="H1683" s="26">
        <f>CADASTROS!$G$1439</f>
        <v>13</v>
      </c>
      <c r="I1683" s="16" t="str">
        <f>CADASTROS!$H$1439</f>
        <v>00004168-8</v>
      </c>
      <c r="J1683" s="18">
        <f t="shared" si="79"/>
        <v>117</v>
      </c>
    </row>
    <row r="1684" spans="1:10" ht="15.75" x14ac:dyDescent="0.25">
      <c r="A1684" s="24">
        <f>CADASTROS!$B$1440</f>
        <v>1438</v>
      </c>
      <c r="B1684" s="15" t="str">
        <f>CADASTROS!$C$1440</f>
        <v>Maria Glória Gomes Sousa</v>
      </c>
      <c r="C1684" s="25"/>
      <c r="D1684" s="35">
        <f>PLANILHA_COLHEITA_DIÁRIA!$I$2188</f>
        <v>0</v>
      </c>
      <c r="E1684" s="17">
        <v>6</v>
      </c>
      <c r="F1684" s="26" t="str">
        <f>CADASTROS!$E$1440</f>
        <v>Banco do Brasil</v>
      </c>
      <c r="G1684" s="24" t="str">
        <f>CADASTROS!$F$1440</f>
        <v>2760-X</v>
      </c>
      <c r="H1684" s="26" t="str">
        <f>CADASTROS!$G$1440</f>
        <v>poup</v>
      </c>
      <c r="I1684" s="16" t="str">
        <f>CADASTROS!$H$1440</f>
        <v>18.352-0</v>
      </c>
      <c r="J1684" s="18">
        <f t="shared" si="79"/>
        <v>0</v>
      </c>
    </row>
    <row r="1685" spans="1:10" ht="15.75" x14ac:dyDescent="0.25">
      <c r="A1685" s="24">
        <f>CADASTROS!$B$1441</f>
        <v>1439</v>
      </c>
      <c r="B1685" s="15" t="str">
        <f>CADASTROS!$C$1441</f>
        <v>Joseval Gomes de Souza</v>
      </c>
      <c r="C1685" s="25"/>
      <c r="D1685" s="41">
        <f>PLANILHA_COLHEITA_DIÁRIA!$I$2189</f>
        <v>29</v>
      </c>
      <c r="E1685" s="17">
        <v>6</v>
      </c>
      <c r="F1685" s="26" t="str">
        <f>CADASTROS!$E$1441</f>
        <v>Cx. Econômica</v>
      </c>
      <c r="G1685" s="24">
        <f>CADASTROS!$F$1441</f>
        <v>4818</v>
      </c>
      <c r="H1685" s="26">
        <f>CADASTROS!$G$1441</f>
        <v>13</v>
      </c>
      <c r="I1685" s="16" t="str">
        <f>CADASTROS!$H$1441</f>
        <v>00008009-8</v>
      </c>
      <c r="J1685" s="18">
        <f t="shared" si="79"/>
        <v>174</v>
      </c>
    </row>
    <row r="1686" spans="1:10" ht="15.75" x14ac:dyDescent="0.25">
      <c r="B1686" s="159"/>
      <c r="C1686" s="159"/>
      <c r="D1686" s="12">
        <f>SUM(D1641:D1685)</f>
        <v>1032.5</v>
      </c>
      <c r="E1686" s="12"/>
      <c r="F1686" s="162"/>
      <c r="G1686" s="163"/>
      <c r="H1686" s="163"/>
      <c r="I1686" s="164"/>
      <c r="J1686" s="14">
        <f>SUM(J1641:J1685)</f>
        <v>6195</v>
      </c>
    </row>
    <row r="1688" spans="1:10" ht="15.75" x14ac:dyDescent="0.25">
      <c r="A1688" s="213" t="s">
        <v>4816</v>
      </c>
      <c r="B1688" s="213"/>
      <c r="C1688" s="213"/>
      <c r="D1688" s="213"/>
      <c r="E1688" s="213"/>
      <c r="F1688" s="213"/>
      <c r="G1688" s="213"/>
      <c r="H1688" s="213"/>
      <c r="I1688" s="213"/>
      <c r="J1688" s="213"/>
    </row>
    <row r="1689" spans="1:10" ht="16.5" thickBot="1" x14ac:dyDescent="0.3">
      <c r="A1689" s="214" t="s">
        <v>4843</v>
      </c>
      <c r="B1689" s="214"/>
      <c r="C1689" s="214"/>
      <c r="D1689" s="214"/>
      <c r="E1689" s="214"/>
      <c r="F1689" s="214"/>
      <c r="G1689" s="214"/>
      <c r="H1689" s="214"/>
      <c r="I1689" s="214"/>
      <c r="J1689" s="214"/>
    </row>
    <row r="1690" spans="1:10" ht="17.25" thickTop="1" thickBot="1" x14ac:dyDescent="0.3">
      <c r="A1690" s="215" t="s">
        <v>4844</v>
      </c>
      <c r="B1690" s="215"/>
      <c r="C1690" s="215"/>
      <c r="D1690" s="215"/>
      <c r="E1690" s="215"/>
      <c r="F1690" s="215"/>
      <c r="G1690" s="215"/>
      <c r="H1690" s="215"/>
      <c r="I1690" s="215"/>
      <c r="J1690" s="215"/>
    </row>
    <row r="1691" spans="1:10" ht="15.95" customHeight="1" x14ac:dyDescent="0.25">
      <c r="A1691" s="19" t="s">
        <v>4846</v>
      </c>
      <c r="B1691" s="216" t="s">
        <v>1</v>
      </c>
      <c r="C1691" s="216" t="s">
        <v>2</v>
      </c>
      <c r="D1691" s="160" t="s">
        <v>4847</v>
      </c>
      <c r="E1691" s="20" t="s">
        <v>4848</v>
      </c>
      <c r="F1691" s="157" t="s">
        <v>3</v>
      </c>
      <c r="G1691" s="157" t="s">
        <v>4</v>
      </c>
      <c r="H1691" s="157" t="s">
        <v>5</v>
      </c>
      <c r="I1691" s="157" t="s">
        <v>6</v>
      </c>
      <c r="J1691" s="218" t="s">
        <v>4849</v>
      </c>
    </row>
    <row r="1692" spans="1:10" ht="17.100000000000001" customHeight="1" thickBot="1" x14ac:dyDescent="0.3">
      <c r="A1692" s="21" t="s">
        <v>4850</v>
      </c>
      <c r="B1692" s="217"/>
      <c r="C1692" s="217"/>
      <c r="D1692" s="161"/>
      <c r="E1692" s="161" t="s">
        <v>4851</v>
      </c>
      <c r="F1692" s="158"/>
      <c r="G1692" s="158"/>
      <c r="H1692" s="158"/>
      <c r="I1692" s="158"/>
      <c r="J1692" s="219"/>
    </row>
    <row r="1693" spans="1:10" ht="15.75" x14ac:dyDescent="0.25">
      <c r="A1693" s="24">
        <f>CADASTROS!$B$1442</f>
        <v>1440</v>
      </c>
      <c r="B1693" s="15" t="str">
        <f>CADASTROS!$C$1442</f>
        <v>Darleide Oliveira Santos</v>
      </c>
      <c r="C1693" s="25"/>
      <c r="D1693" s="35">
        <f>PLANILHA_COLHEITA_DIÁRIA!$I$2190</f>
        <v>29.5</v>
      </c>
      <c r="E1693" s="17">
        <v>6</v>
      </c>
      <c r="F1693" s="26" t="str">
        <f>CADASTROS!$E$1442</f>
        <v>Cx. Econômica</v>
      </c>
      <c r="G1693" s="24">
        <f>CADASTROS!$F$1442</f>
        <v>949</v>
      </c>
      <c r="H1693" s="26">
        <f>CADASTROS!$G$1442</f>
        <v>13</v>
      </c>
      <c r="I1693" s="16" t="str">
        <f>CADASTROS!$H$1442</f>
        <v>00084963-6</v>
      </c>
      <c r="J1693" s="18">
        <f t="shared" ref="J1693:J1702" si="80">D1693*E1693</f>
        <v>177</v>
      </c>
    </row>
    <row r="1694" spans="1:10" ht="15.75" x14ac:dyDescent="0.25">
      <c r="A1694" s="24">
        <f>CADASTROS!$B$1443</f>
        <v>1441</v>
      </c>
      <c r="B1694" s="15" t="str">
        <f>CADASTROS!$C$1443</f>
        <v>Antônio Cesar dos Santos</v>
      </c>
      <c r="C1694" s="25"/>
      <c r="D1694" s="41">
        <f>PLANILHA_COLHEITA_DIÁRIA!$I$2191</f>
        <v>0</v>
      </c>
      <c r="E1694" s="17">
        <v>6</v>
      </c>
      <c r="F1694" s="26" t="str">
        <f>CADASTROS!$E$1443</f>
        <v>Banco do Brasil</v>
      </c>
      <c r="G1694" s="24" t="str">
        <f>CADASTROS!$F$1443</f>
        <v>2760-X</v>
      </c>
      <c r="H1694" s="26" t="str">
        <f>CADASTROS!$G$1443</f>
        <v>poup</v>
      </c>
      <c r="I1694" s="16" t="str">
        <f>CADASTROS!$H$1443</f>
        <v>19.611-8</v>
      </c>
      <c r="J1694" s="18">
        <f t="shared" si="80"/>
        <v>0</v>
      </c>
    </row>
    <row r="1695" spans="1:10" ht="15.75" x14ac:dyDescent="0.25">
      <c r="A1695" s="24">
        <f>CADASTROS!$B$1444</f>
        <v>1442</v>
      </c>
      <c r="B1695" s="15" t="str">
        <f>CADASTROS!$C$1444</f>
        <v>Maria Rodrigues de Souza</v>
      </c>
      <c r="C1695" s="25"/>
      <c r="D1695" s="35">
        <f>PLANILHA_COLHEITA_DIÁRIA!$I$2192</f>
        <v>19</v>
      </c>
      <c r="E1695" s="17">
        <v>6</v>
      </c>
      <c r="F1695" s="26" t="str">
        <f>CADASTROS!$E$1444</f>
        <v>Cx. Econômica</v>
      </c>
      <c r="G1695" s="24">
        <f>CADASTROS!$F$1444</f>
        <v>949</v>
      </c>
      <c r="H1695" s="26">
        <f>CADASTROS!$G$1444</f>
        <v>23</v>
      </c>
      <c r="I1695" s="16" t="str">
        <f>CADASTROS!$H$1444</f>
        <v>00006481-4</v>
      </c>
      <c r="J1695" s="18">
        <f t="shared" si="80"/>
        <v>114</v>
      </c>
    </row>
    <row r="1696" spans="1:10" ht="15.75" x14ac:dyDescent="0.25">
      <c r="A1696" s="24">
        <f>CADASTROS!$B$1445</f>
        <v>1443</v>
      </c>
      <c r="B1696" s="15" t="str">
        <f>CADASTROS!$C$1445</f>
        <v>Andrea Oliveira Moraes</v>
      </c>
      <c r="C1696" s="25"/>
      <c r="D1696" s="42">
        <f>PLANILHA_COLHEITA_DIÁRIA!$I$2193</f>
        <v>79.5</v>
      </c>
      <c r="E1696" s="17">
        <v>6</v>
      </c>
      <c r="F1696" s="26" t="str">
        <f>CADASTROS!$E$1445</f>
        <v>Cx. Econômica</v>
      </c>
      <c r="G1696" s="24">
        <f>CADASTROS!$F$1445</f>
        <v>949</v>
      </c>
      <c r="H1696" s="26">
        <f>CADASTROS!$G$1445</f>
        <v>23</v>
      </c>
      <c r="I1696" s="16" t="str">
        <f>CADASTROS!$H$1445</f>
        <v>00022919-8</v>
      </c>
      <c r="J1696" s="18">
        <f t="shared" si="80"/>
        <v>477</v>
      </c>
    </row>
    <row r="1697" spans="1:10" ht="15.75" x14ac:dyDescent="0.25">
      <c r="A1697" s="24">
        <f>CADASTROS!$B$1446</f>
        <v>1444</v>
      </c>
      <c r="B1697" s="15" t="str">
        <f>CADASTROS!$C$1446</f>
        <v>Lucas Souza Ferreira</v>
      </c>
      <c r="C1697" s="25"/>
      <c r="D1697" s="35">
        <f>PLANILHA_COLHEITA_DIÁRIA!$I$2194</f>
        <v>0</v>
      </c>
      <c r="E1697" s="17">
        <v>6</v>
      </c>
      <c r="F1697" s="26" t="str">
        <f>CADASTROS!$E$1446</f>
        <v>Cx. Econômica</v>
      </c>
      <c r="G1697" s="24">
        <f>CADASTROS!$F$1446</f>
        <v>4818</v>
      </c>
      <c r="H1697" s="26">
        <f>CADASTROS!$G$1446</f>
        <v>13</v>
      </c>
      <c r="I1697" s="16" t="str">
        <f>CADASTROS!$H$1446</f>
        <v>00006204-9</v>
      </c>
      <c r="J1697" s="18">
        <f t="shared" si="80"/>
        <v>0</v>
      </c>
    </row>
    <row r="1698" spans="1:10" ht="15.75" x14ac:dyDescent="0.25">
      <c r="A1698" s="24">
        <f>CADASTROS!$B$1447</f>
        <v>1445</v>
      </c>
      <c r="B1698" s="15" t="str">
        <f>CADASTROS!$C$1447</f>
        <v>Sidione Oliveira Medeiros</v>
      </c>
      <c r="C1698" s="25"/>
      <c r="D1698" s="35">
        <f>PLANILHA_COLHEITA_DIÁRIA!$I$2195</f>
        <v>64.5</v>
      </c>
      <c r="E1698" s="17">
        <v>6</v>
      </c>
      <c r="F1698" s="26" t="str">
        <f>CADASTROS!$E$1447</f>
        <v>Cx. Econômica</v>
      </c>
      <c r="G1698" s="24">
        <f>CADASTROS!$F$1447</f>
        <v>2734</v>
      </c>
      <c r="H1698" s="26">
        <f>CADASTROS!$G$1447</f>
        <v>13</v>
      </c>
      <c r="I1698" s="16" t="str">
        <f>CADASTROS!$H$1447</f>
        <v>00070170-8</v>
      </c>
      <c r="J1698" s="18">
        <f t="shared" si="80"/>
        <v>387</v>
      </c>
    </row>
    <row r="1699" spans="1:10" ht="15.75" x14ac:dyDescent="0.25">
      <c r="A1699" s="24">
        <f>CADASTROS!$B$1448</f>
        <v>1446</v>
      </c>
      <c r="B1699" s="15" t="str">
        <f>CADASTROS!$C$1448</f>
        <v>Lucas Cruz Carvalho</v>
      </c>
      <c r="C1699" s="25"/>
      <c r="D1699" s="35">
        <f>PLANILHA_COLHEITA_DIÁRIA!$I$2196</f>
        <v>75.5</v>
      </c>
      <c r="E1699" s="17">
        <v>6</v>
      </c>
      <c r="F1699" s="26" t="str">
        <f>CADASTROS!$E$1448</f>
        <v>Cx. Econômica</v>
      </c>
      <c r="G1699" s="24">
        <f>CADASTROS!$F$1448</f>
        <v>4825</v>
      </c>
      <c r="H1699" s="26">
        <f>CADASTROS!$G$1448</f>
        <v>13</v>
      </c>
      <c r="I1699" s="16" t="str">
        <f>CADASTROS!$H$1448</f>
        <v>00008154-8</v>
      </c>
      <c r="J1699" s="18">
        <f t="shared" si="80"/>
        <v>453</v>
      </c>
    </row>
    <row r="1700" spans="1:10" ht="15.75" x14ac:dyDescent="0.25">
      <c r="A1700" s="24">
        <f>CADASTROS!$B$1449</f>
        <v>1447</v>
      </c>
      <c r="B1700" s="15" t="str">
        <f>CADASTROS!$C$1449</f>
        <v>Daniel da Silva Santos</v>
      </c>
      <c r="C1700" s="25"/>
      <c r="D1700" s="41">
        <f>PLANILHA_COLHEITA_DIÁRIA!$I$2197</f>
        <v>0</v>
      </c>
      <c r="E1700" s="17">
        <v>6</v>
      </c>
      <c r="F1700" s="26" t="str">
        <f>CADASTROS!$E$1449</f>
        <v>Banco do Brasil</v>
      </c>
      <c r="G1700" s="24" t="str">
        <f>CADASTROS!$F$1449</f>
        <v>2760-X</v>
      </c>
      <c r="H1700" s="26" t="str">
        <f>CADASTROS!$G$1449</f>
        <v>c/poup</v>
      </c>
      <c r="I1700" s="16" t="str">
        <f>CADASTROS!$H$1449</f>
        <v>17.931-0</v>
      </c>
      <c r="J1700" s="18">
        <f t="shared" si="80"/>
        <v>0</v>
      </c>
    </row>
    <row r="1701" spans="1:10" ht="15.75" x14ac:dyDescent="0.25">
      <c r="A1701" s="24">
        <f>CADASTROS!$B$1450</f>
        <v>1448</v>
      </c>
      <c r="B1701" s="15" t="str">
        <f>CADASTROS!$C$1450</f>
        <v>Marieta Rosa da Silva</v>
      </c>
      <c r="C1701" s="25"/>
      <c r="D1701" s="35">
        <f>PLANILHA_COLHEITA_DIÁRIA!$I$2198</f>
        <v>0</v>
      </c>
      <c r="E1701" s="17">
        <v>6</v>
      </c>
      <c r="F1701" s="26" t="str">
        <f>CADASTROS!$E$1450</f>
        <v>Banco do Brasil</v>
      </c>
      <c r="G1701" s="24" t="str">
        <f>CADASTROS!$F$1450</f>
        <v>2760-X</v>
      </c>
      <c r="H1701" s="26" t="str">
        <f>CADASTROS!$G$1450</f>
        <v>poup</v>
      </c>
      <c r="I1701" s="16" t="str">
        <f>CADASTROS!$H$1450</f>
        <v>16.811-4</v>
      </c>
      <c r="J1701" s="18">
        <f t="shared" si="80"/>
        <v>0</v>
      </c>
    </row>
    <row r="1702" spans="1:10" ht="15.75" x14ac:dyDescent="0.25">
      <c r="A1702" s="24">
        <f>CADASTROS!$B$1451</f>
        <v>1449</v>
      </c>
      <c r="B1702" s="15" t="str">
        <f>CADASTROS!$C$1451</f>
        <v>Eutácio Silva de Oliveira</v>
      </c>
      <c r="C1702" s="25"/>
      <c r="D1702" s="41">
        <f>PLANILHA_COLHEITA_DIÁRIA!$I$2199</f>
        <v>59</v>
      </c>
      <c r="E1702" s="17">
        <v>6</v>
      </c>
      <c r="F1702" s="26" t="str">
        <f>CADASTROS!$E$1451</f>
        <v>Cx. Econômica</v>
      </c>
      <c r="G1702" s="24">
        <f>CADASTROS!$F$1451</f>
        <v>4825</v>
      </c>
      <c r="H1702" s="26">
        <f>CADASTROS!$G$1451</f>
        <v>13</v>
      </c>
      <c r="I1702" s="16" t="str">
        <f>CADASTROS!$H$1451</f>
        <v>00004832-0</v>
      </c>
      <c r="J1702" s="18">
        <f t="shared" si="80"/>
        <v>354</v>
      </c>
    </row>
    <row r="1703" spans="1:10" ht="15.75" x14ac:dyDescent="0.25">
      <c r="A1703" s="24">
        <f>CADASTROS!$B$1452</f>
        <v>1450</v>
      </c>
      <c r="B1703" s="15" t="str">
        <f>CADASTROS!$C$1452</f>
        <v>Luciene Silva de Oliveira</v>
      </c>
      <c r="C1703" s="25"/>
      <c r="D1703" s="35">
        <f>PLANILHA_COLHEITA_DIÁRIA!$I$2200</f>
        <v>22</v>
      </c>
      <c r="E1703" s="17">
        <v>6</v>
      </c>
      <c r="F1703" s="26" t="str">
        <f>CADASTROS!$E$1452</f>
        <v>Bradesco</v>
      </c>
      <c r="G1703" s="24" t="str">
        <f>CADASTROS!$F$1452</f>
        <v>3801-6</v>
      </c>
      <c r="H1703" s="26" t="str">
        <f>CADASTROS!$G$1452</f>
        <v>c/corr</v>
      </c>
      <c r="I1703" s="16" t="str">
        <f>CADASTROS!$H$1452</f>
        <v>0350384-4</v>
      </c>
      <c r="J1703" s="18">
        <f>D1703*E1703</f>
        <v>132</v>
      </c>
    </row>
    <row r="1704" spans="1:10" ht="15.75" x14ac:dyDescent="0.25">
      <c r="A1704" s="24">
        <f>CADASTROS!$B$1453</f>
        <v>1451</v>
      </c>
      <c r="B1704" s="15" t="str">
        <f>CADASTROS!$C$1453</f>
        <v>Fernando Pires Souza</v>
      </c>
      <c r="C1704" s="25"/>
      <c r="D1704" s="35">
        <f>PLANILHA_COLHEITA_DIÁRIA!$I$2201</f>
        <v>0</v>
      </c>
      <c r="E1704" s="17">
        <v>6</v>
      </c>
      <c r="F1704" s="26" t="str">
        <f>CADASTROS!$E$1453</f>
        <v>Banco do Brasil</v>
      </c>
      <c r="G1704" s="24" t="str">
        <f>CADASTROS!$F$1453</f>
        <v>2760-X</v>
      </c>
      <c r="H1704" s="26" t="str">
        <f>CADASTROS!$G$1453</f>
        <v>poup</v>
      </c>
      <c r="I1704" s="16" t="str">
        <f>CADASTROS!$H$1453</f>
        <v>14.077-5</v>
      </c>
      <c r="J1704" s="18">
        <f t="shared" ref="J1704" si="81">D1704*E1704</f>
        <v>0</v>
      </c>
    </row>
    <row r="1705" spans="1:10" ht="15.75" x14ac:dyDescent="0.25">
      <c r="A1705" s="24">
        <f>CADASTROS!$B$1454</f>
        <v>1452</v>
      </c>
      <c r="B1705" s="15" t="str">
        <f>CADASTROS!$C$1454</f>
        <v>Danilo Moraes dos Santos</v>
      </c>
      <c r="C1705" s="25"/>
      <c r="D1705" s="42">
        <f>PLANILHA_COLHEITA_DIÁRIA!$I$2202</f>
        <v>22.5</v>
      </c>
      <c r="E1705" s="17">
        <v>6</v>
      </c>
      <c r="F1705" s="26" t="str">
        <f>CADASTROS!$E$1454</f>
        <v>Cx. Econômica</v>
      </c>
      <c r="G1705" s="24">
        <f>CADASTROS!$F$1454</f>
        <v>949</v>
      </c>
      <c r="H1705" s="26">
        <f>CADASTROS!$G$1454</f>
        <v>13</v>
      </c>
      <c r="I1705" s="16" t="str">
        <f>CADASTROS!$H$1454</f>
        <v>00087048-1</v>
      </c>
      <c r="J1705" s="18">
        <f>D1705*E1705</f>
        <v>135</v>
      </c>
    </row>
    <row r="1706" spans="1:10" ht="15.75" x14ac:dyDescent="0.25">
      <c r="A1706" s="24">
        <f>CADASTROS!$B$1455</f>
        <v>1453</v>
      </c>
      <c r="B1706" s="15" t="str">
        <f>CADASTROS!$C$1455</f>
        <v>Luzineide Pires de Souza</v>
      </c>
      <c r="C1706" s="25"/>
      <c r="D1706" s="35">
        <f>PLANILHA_COLHEITA_DIÁRIA!$I$2214</f>
        <v>0</v>
      </c>
      <c r="E1706" s="17">
        <v>6</v>
      </c>
      <c r="F1706" s="26" t="str">
        <f>CADASTROS!$E$1455</f>
        <v>Cx. Econômica</v>
      </c>
      <c r="G1706" s="24">
        <f>CADASTROS!$F$1455</f>
        <v>949</v>
      </c>
      <c r="H1706" s="26">
        <f>CADASTROS!$G$1455</f>
        <v>23</v>
      </c>
      <c r="I1706" s="16" t="str">
        <f>CADASTROS!$H$1455</f>
        <v>00028208-0</v>
      </c>
      <c r="J1706" s="18">
        <f t="shared" ref="J1706:J1737" si="82">D1706*E1706</f>
        <v>0</v>
      </c>
    </row>
    <row r="1707" spans="1:10" ht="15.75" x14ac:dyDescent="0.25">
      <c r="A1707" s="24">
        <f>CADASTROS!$B$1456</f>
        <v>1454</v>
      </c>
      <c r="B1707" s="15" t="str">
        <f>CADASTROS!$C$1456</f>
        <v>Givanildo Oliveira Santos</v>
      </c>
      <c r="C1707" s="25"/>
      <c r="D1707" s="35">
        <f>PLANILHA_COLHEITA_DIÁRIA!$I$2215</f>
        <v>0</v>
      </c>
      <c r="E1707" s="17">
        <v>6</v>
      </c>
      <c r="F1707" s="26" t="str">
        <f>CADASTROS!$E$1456</f>
        <v>Cx. Econômica</v>
      </c>
      <c r="G1707" s="24">
        <f>CADASTROS!$F$1456</f>
        <v>4825</v>
      </c>
      <c r="H1707" s="26">
        <f>CADASTROS!$G$1456</f>
        <v>13</v>
      </c>
      <c r="I1707" s="16" t="str">
        <f>CADASTROS!$H$1456</f>
        <v>00009125-0</v>
      </c>
      <c r="J1707" s="18">
        <f t="shared" si="82"/>
        <v>0</v>
      </c>
    </row>
    <row r="1708" spans="1:10" ht="15.75" x14ac:dyDescent="0.25">
      <c r="A1708" s="24">
        <f>CADASTROS!$B$1457</f>
        <v>1455</v>
      </c>
      <c r="B1708" s="15" t="str">
        <f>CADASTROS!$C$1457</f>
        <v>Erasmo C. Alves de Souza</v>
      </c>
      <c r="C1708" s="25"/>
      <c r="D1708" s="35">
        <f>PLANILHA_COLHEITA_DIÁRIA!$I$2216</f>
        <v>18.5</v>
      </c>
      <c r="E1708" s="17">
        <v>6</v>
      </c>
      <c r="F1708" s="26" t="str">
        <f>CADASTROS!$E$1457</f>
        <v>Bradesco</v>
      </c>
      <c r="G1708" s="24" t="str">
        <f>CADASTROS!$F$1457</f>
        <v>3616-1</v>
      </c>
      <c r="H1708" s="26" t="str">
        <f>CADASTROS!$G$1457</f>
        <v>poup</v>
      </c>
      <c r="I1708" s="16" t="str">
        <f>CADASTROS!$H$1457</f>
        <v>0523740-8</v>
      </c>
      <c r="J1708" s="18">
        <f t="shared" si="82"/>
        <v>111</v>
      </c>
    </row>
    <row r="1709" spans="1:10" ht="15.75" x14ac:dyDescent="0.25">
      <c r="A1709" s="24">
        <f>CADASTROS!$B$1458</f>
        <v>1456</v>
      </c>
      <c r="B1709" s="15" t="str">
        <f>CADASTROS!$C$1458</f>
        <v>Maria Nilma Silva Oliveira</v>
      </c>
      <c r="C1709" s="25"/>
      <c r="D1709" s="35">
        <f>PLANILHA_COLHEITA_DIÁRIA!$I$2217</f>
        <v>0</v>
      </c>
      <c r="E1709" s="17">
        <v>6</v>
      </c>
      <c r="F1709" s="26" t="str">
        <f>CADASTROS!$E$1458</f>
        <v>Bradesco</v>
      </c>
      <c r="G1709" s="24" t="str">
        <f>CADASTROS!$F$1458</f>
        <v>6176-0</v>
      </c>
      <c r="H1709" s="26" t="str">
        <f>CADASTROS!$G$1458</f>
        <v>c/corr</v>
      </c>
      <c r="I1709" s="16" t="str">
        <f>CADASTROS!$H$1458</f>
        <v>0365827-9</v>
      </c>
      <c r="J1709" s="18">
        <f t="shared" si="82"/>
        <v>0</v>
      </c>
    </row>
    <row r="1710" spans="1:10" ht="15.75" x14ac:dyDescent="0.25">
      <c r="A1710" s="24">
        <f>CADASTROS!$B$1459</f>
        <v>1457</v>
      </c>
      <c r="B1710" s="15" t="str">
        <f>CADASTROS!$C$1459</f>
        <v>Samara Matos de Souza</v>
      </c>
      <c r="C1710" s="25"/>
      <c r="D1710" s="35">
        <f>PLANILHA_COLHEITA_DIÁRIA!$I$2218</f>
        <v>0</v>
      </c>
      <c r="E1710" s="17">
        <v>6</v>
      </c>
      <c r="F1710" s="26" t="str">
        <f>CADASTROS!$E$1459</f>
        <v>Cx. Econômica</v>
      </c>
      <c r="G1710" s="24">
        <f>CADASTROS!$F$1459</f>
        <v>4825</v>
      </c>
      <c r="H1710" s="26">
        <f>CADASTROS!$G$1459</f>
        <v>23</v>
      </c>
      <c r="I1710" s="16" t="str">
        <f>CADASTROS!$H$1459</f>
        <v>00000076-6</v>
      </c>
      <c r="J1710" s="18">
        <f t="shared" si="82"/>
        <v>0</v>
      </c>
    </row>
    <row r="1711" spans="1:10" ht="15.75" x14ac:dyDescent="0.25">
      <c r="A1711" s="24">
        <f>CADASTROS!$B$1460</f>
        <v>1458</v>
      </c>
      <c r="B1711" s="15" t="str">
        <f>CADASTROS!$C$1460</f>
        <v>Marcos Alves da Silva</v>
      </c>
      <c r="C1711" s="25"/>
      <c r="D1711" s="35">
        <f>PLANILHA_COLHEITA_DIÁRIA!$I$2219</f>
        <v>0</v>
      </c>
      <c r="E1711" s="17">
        <v>6</v>
      </c>
      <c r="F1711" s="26" t="str">
        <f>CADASTROS!$E$1460</f>
        <v>Cx. Econômica</v>
      </c>
      <c r="G1711" s="24">
        <f>CADASTROS!$F$1460</f>
        <v>4825</v>
      </c>
      <c r="H1711" s="26">
        <f>CADASTROS!$G$1460</f>
        <v>13</v>
      </c>
      <c r="I1711" s="16" t="str">
        <f>CADASTROS!$H$1460</f>
        <v>00023966-4</v>
      </c>
      <c r="J1711" s="18">
        <f t="shared" si="82"/>
        <v>0</v>
      </c>
    </row>
    <row r="1712" spans="1:10" ht="15.75" x14ac:dyDescent="0.25">
      <c r="A1712" s="24">
        <f>CADASTROS!$B$1461</f>
        <v>1459</v>
      </c>
      <c r="B1712" s="15" t="str">
        <f>CADASTROS!$C$1461</f>
        <v>Luzia Oliveira A. Souza</v>
      </c>
      <c r="C1712" s="25"/>
      <c r="D1712" s="35">
        <f>PLANILHA_COLHEITA_DIÁRIA!$I$2220</f>
        <v>0</v>
      </c>
      <c r="E1712" s="17">
        <v>6</v>
      </c>
      <c r="F1712" s="26" t="str">
        <f>CADASTROS!$E$1461</f>
        <v>Cx. Econômica</v>
      </c>
      <c r="G1712" s="24">
        <f>CADASTROS!$F$1461</f>
        <v>4818</v>
      </c>
      <c r="H1712" s="26">
        <f>CADASTROS!$G$1461</f>
        <v>23</v>
      </c>
      <c r="I1712" s="16" t="str">
        <f>CADASTROS!$H$1461</f>
        <v>00001187-5</v>
      </c>
      <c r="J1712" s="18">
        <f t="shared" si="82"/>
        <v>0</v>
      </c>
    </row>
    <row r="1713" spans="1:10" ht="15.75" x14ac:dyDescent="0.25">
      <c r="A1713" s="24">
        <f>CADASTROS!$B$1462</f>
        <v>1460</v>
      </c>
      <c r="B1713" s="15" t="str">
        <f>CADASTROS!$C$1462</f>
        <v>Flávia de Sousa Fernandes</v>
      </c>
      <c r="C1713" s="25"/>
      <c r="D1713" s="35">
        <f>PLANILHA_COLHEITA_DIÁRIA!$I$2221</f>
        <v>21</v>
      </c>
      <c r="E1713" s="17">
        <v>6</v>
      </c>
      <c r="F1713" s="26" t="str">
        <f>CADASTROS!$E$1462</f>
        <v>Banco do Brasil</v>
      </c>
      <c r="G1713" s="24" t="str">
        <f>CADASTROS!$F$1462</f>
        <v>2760-X</v>
      </c>
      <c r="H1713" s="26" t="str">
        <f>CADASTROS!$G$1462</f>
        <v>poup</v>
      </c>
      <c r="I1713" s="16" t="str">
        <f>CADASTROS!$H$1462</f>
        <v>16.319-8</v>
      </c>
      <c r="J1713" s="18">
        <f t="shared" si="82"/>
        <v>126</v>
      </c>
    </row>
    <row r="1714" spans="1:10" ht="15.75" x14ac:dyDescent="0.25">
      <c r="A1714" s="24">
        <f>CADASTROS!$B$1463</f>
        <v>1461</v>
      </c>
      <c r="B1714" s="15" t="str">
        <f>CADASTROS!$C$1463</f>
        <v>Jorge dos Santos Soares</v>
      </c>
      <c r="C1714" s="25"/>
      <c r="D1714" s="35">
        <f>PLANILHA_COLHEITA_DIÁRIA!$I$2222</f>
        <v>12.5</v>
      </c>
      <c r="E1714" s="17">
        <v>6</v>
      </c>
      <c r="F1714" s="26" t="str">
        <f>CADASTROS!$E$1463</f>
        <v>Banco do Brasil</v>
      </c>
      <c r="G1714" s="24" t="str">
        <f>CADASTROS!$F$1463</f>
        <v>2760-X</v>
      </c>
      <c r="H1714" s="26" t="str">
        <f>CADASTROS!$G$1463</f>
        <v>poup</v>
      </c>
      <c r="I1714" s="16" t="str">
        <f>CADASTROS!$H$1463</f>
        <v>12.756-6</v>
      </c>
      <c r="J1714" s="18">
        <f t="shared" si="82"/>
        <v>75</v>
      </c>
    </row>
    <row r="1715" spans="1:10" ht="15.75" x14ac:dyDescent="0.25">
      <c r="A1715" s="24">
        <f>CADASTROS!$B$1464</f>
        <v>1462</v>
      </c>
      <c r="B1715" s="15" t="str">
        <f>CADASTROS!$C$1464</f>
        <v>Luciene Lima dos Santos</v>
      </c>
      <c r="C1715" s="25"/>
      <c r="D1715" s="35">
        <f>PLANILHA_COLHEITA_DIÁRIA!$I$2223</f>
        <v>0</v>
      </c>
      <c r="E1715" s="17">
        <v>6</v>
      </c>
      <c r="F1715" s="26" t="str">
        <f>CADASTROS!$E$1464</f>
        <v>Cx. Econômica</v>
      </c>
      <c r="G1715" s="24">
        <f>CADASTROS!$F$1464</f>
        <v>4818</v>
      </c>
      <c r="H1715" s="26">
        <f>CADASTROS!$G$1464</f>
        <v>0</v>
      </c>
      <c r="I1715" s="16" t="str">
        <f>CADASTROS!$H$1464</f>
        <v>854854632-6</v>
      </c>
      <c r="J1715" s="18">
        <f t="shared" si="82"/>
        <v>0</v>
      </c>
    </row>
    <row r="1716" spans="1:10" ht="15.75" x14ac:dyDescent="0.25">
      <c r="A1716" s="24">
        <f>CADASTROS!$B$1465</f>
        <v>1463</v>
      </c>
      <c r="B1716" s="15" t="str">
        <f>CADASTROS!$C$1465</f>
        <v>Aparecida Pereira Barbosa</v>
      </c>
      <c r="C1716" s="25"/>
      <c r="D1716" s="35">
        <f>PLANILHA_COLHEITA_DIÁRIA!$I$2224</f>
        <v>88.5</v>
      </c>
      <c r="E1716" s="17">
        <v>6</v>
      </c>
      <c r="F1716" s="26" t="str">
        <f>CADASTROS!$E$1465</f>
        <v>Cx. Econômica</v>
      </c>
      <c r="G1716" s="24">
        <f>CADASTROS!$F$1465</f>
        <v>949</v>
      </c>
      <c r="H1716" s="26">
        <f>CADASTROS!$G$1465</f>
        <v>1288</v>
      </c>
      <c r="I1716" s="16" t="str">
        <f>CADASTROS!$H$1465</f>
        <v>839937376-0</v>
      </c>
      <c r="J1716" s="18">
        <f t="shared" si="82"/>
        <v>531</v>
      </c>
    </row>
    <row r="1717" spans="1:10" ht="15.75" x14ac:dyDescent="0.25">
      <c r="A1717" s="24">
        <f>CADASTROS!$B$1466</f>
        <v>1464</v>
      </c>
      <c r="B1717" s="15" t="str">
        <f>CADASTROS!$C$1466</f>
        <v>Raimunda Santana Silva</v>
      </c>
      <c r="C1717" s="25"/>
      <c r="D1717" s="35">
        <f>PLANILHA_COLHEITA_DIÁRIA!$I$2225</f>
        <v>0</v>
      </c>
      <c r="E1717" s="17">
        <v>6</v>
      </c>
      <c r="F1717" s="26" t="str">
        <f>CADASTROS!$E$1466</f>
        <v>Cx. Econômica</v>
      </c>
      <c r="G1717" s="24">
        <f>CADASTROS!$F$1466</f>
        <v>4818</v>
      </c>
      <c r="H1717" s="26">
        <f>CADASTROS!$G$1466</f>
        <v>13</v>
      </c>
      <c r="I1717" s="16" t="str">
        <f>CADASTROS!$H$1466</f>
        <v>00008977-0</v>
      </c>
      <c r="J1717" s="18">
        <f t="shared" si="82"/>
        <v>0</v>
      </c>
    </row>
    <row r="1718" spans="1:10" ht="15.75" x14ac:dyDescent="0.25">
      <c r="A1718" s="24">
        <f>CADASTROS!$B$1467</f>
        <v>1465</v>
      </c>
      <c r="B1718" s="15" t="str">
        <f>CADASTROS!$C$1467</f>
        <v>Daniel Conceiçao Silva</v>
      </c>
      <c r="C1718" s="25"/>
      <c r="D1718" s="35">
        <f>PLANILHA_COLHEITA_DIÁRIA!$I$2226</f>
        <v>12</v>
      </c>
      <c r="E1718" s="17">
        <v>6</v>
      </c>
      <c r="F1718" s="26" t="str">
        <f>CADASTROS!$E$1467</f>
        <v>Cx. Econômica</v>
      </c>
      <c r="G1718" s="24">
        <f>CADASTROS!$F$1467</f>
        <v>4694</v>
      </c>
      <c r="H1718" s="26">
        <f>CADASTROS!$G$1467</f>
        <v>13</v>
      </c>
      <c r="I1718" s="16" t="str">
        <f>CADASTROS!$H$1467</f>
        <v>00007348-0</v>
      </c>
      <c r="J1718" s="18">
        <f t="shared" si="82"/>
        <v>72</v>
      </c>
    </row>
    <row r="1719" spans="1:10" ht="15.75" x14ac:dyDescent="0.25">
      <c r="A1719" s="24">
        <f>CADASTROS!$B$1468</f>
        <v>1466</v>
      </c>
      <c r="B1719" s="15" t="str">
        <f>CADASTROS!$C$1468</f>
        <v>Rubevaldo Santos Silva</v>
      </c>
      <c r="C1719" s="25"/>
      <c r="D1719" s="35">
        <f>PLANILHA_COLHEITA_DIÁRIA!$I$2227</f>
        <v>71</v>
      </c>
      <c r="E1719" s="17">
        <v>6</v>
      </c>
      <c r="F1719" s="26" t="str">
        <f>CADASTROS!$E$1468</f>
        <v>Cx. Econômica</v>
      </c>
      <c r="G1719" s="24">
        <f>CADASTROS!$F$1468</f>
        <v>4818</v>
      </c>
      <c r="H1719" s="26">
        <f>CADASTROS!$G$1468</f>
        <v>13</v>
      </c>
      <c r="I1719" s="16" t="str">
        <f>CADASTROS!$H$1468</f>
        <v>00013323-0</v>
      </c>
      <c r="J1719" s="18">
        <f t="shared" si="82"/>
        <v>426</v>
      </c>
    </row>
    <row r="1720" spans="1:10" ht="15.75" x14ac:dyDescent="0.25">
      <c r="A1720" s="24">
        <f>CADASTROS!$B$1469</f>
        <v>1467</v>
      </c>
      <c r="B1720" s="15" t="str">
        <f>CADASTROS!$C$1469</f>
        <v>Maicon Santos de Oliveira</v>
      </c>
      <c r="C1720" s="25"/>
      <c r="D1720" s="35">
        <f>PLANILHA_COLHEITA_DIÁRIA!$I$2228</f>
        <v>0</v>
      </c>
      <c r="E1720" s="17">
        <v>6</v>
      </c>
      <c r="F1720" s="26" t="str">
        <f>CADASTROS!$E$1469</f>
        <v>Banco do Brasil</v>
      </c>
      <c r="G1720" s="24" t="str">
        <f>CADASTROS!$F$1469</f>
        <v>2760-X</v>
      </c>
      <c r="H1720" s="26" t="str">
        <f>CADASTROS!$G$1469</f>
        <v>poup</v>
      </c>
      <c r="I1720" s="16" t="str">
        <f>CADASTROS!$H$1469</f>
        <v>11.784-6</v>
      </c>
      <c r="J1720" s="18">
        <f t="shared" si="82"/>
        <v>0</v>
      </c>
    </row>
    <row r="1721" spans="1:10" ht="15.75" x14ac:dyDescent="0.25">
      <c r="A1721" s="24">
        <f>CADASTROS!$B$1470</f>
        <v>1468</v>
      </c>
      <c r="B1721" s="15" t="str">
        <f>CADASTROS!$C$1470</f>
        <v>Maria  Aparecida Inácio da Silva</v>
      </c>
      <c r="C1721" s="25"/>
      <c r="D1721" s="35">
        <f>PLANILHA_COLHEITA_DIÁRIA!$I$2229</f>
        <v>27</v>
      </c>
      <c r="E1721" s="17">
        <v>6</v>
      </c>
      <c r="F1721" s="26" t="str">
        <f>CADASTROS!$E$1470</f>
        <v>Cx. Econômica</v>
      </c>
      <c r="G1721" s="24">
        <f>CADASTROS!$F$1470</f>
        <v>4818</v>
      </c>
      <c r="H1721" s="26">
        <f>CADASTROS!$G$1470</f>
        <v>13</v>
      </c>
      <c r="I1721" s="16" t="str">
        <f>CADASTROS!$H$1470</f>
        <v>00010270-9</v>
      </c>
      <c r="J1721" s="18">
        <f t="shared" si="82"/>
        <v>162</v>
      </c>
    </row>
    <row r="1722" spans="1:10" ht="15.75" x14ac:dyDescent="0.25">
      <c r="A1722" s="24">
        <f>CADASTROS!$B$1471</f>
        <v>1469</v>
      </c>
      <c r="B1722" s="15" t="str">
        <f>CADASTROS!$C$1471</f>
        <v>Silvana Damasceno Lisboa</v>
      </c>
      <c r="C1722" s="25"/>
      <c r="D1722" s="35">
        <f>PLANILHA_COLHEITA_DIÁRIA!$I$2230</f>
        <v>16</v>
      </c>
      <c r="E1722" s="17">
        <v>6</v>
      </c>
      <c r="F1722" s="26" t="str">
        <f>CADASTROS!$E$1471</f>
        <v>Cx. Econômica</v>
      </c>
      <c r="G1722" s="24">
        <f>CADASTROS!$F$1471</f>
        <v>949</v>
      </c>
      <c r="H1722" s="26">
        <f>CADASTROS!$G$1471</f>
        <v>0</v>
      </c>
      <c r="I1722" s="16" t="str">
        <f>CADASTROS!$H$1471</f>
        <v>000803237491-2</v>
      </c>
      <c r="J1722" s="18">
        <f t="shared" si="82"/>
        <v>96</v>
      </c>
    </row>
    <row r="1723" spans="1:10" ht="15.75" x14ac:dyDescent="0.25">
      <c r="A1723" s="24">
        <f>CADASTROS!$B$1472</f>
        <v>1470</v>
      </c>
      <c r="B1723" s="15" t="str">
        <f>CADASTROS!$C$1472</f>
        <v>Silas S Santos/Marli R. de Jesus</v>
      </c>
      <c r="C1723" s="25"/>
      <c r="D1723" s="35">
        <f>PLANILHA_COLHEITA_DIÁRIA!$I$2231</f>
        <v>96</v>
      </c>
      <c r="E1723" s="17">
        <v>6</v>
      </c>
      <c r="F1723" s="26" t="str">
        <f>CADASTROS!$E$1472</f>
        <v>Cx. Econômica</v>
      </c>
      <c r="G1723" s="24">
        <f>CADASTROS!$F$1472</f>
        <v>3726</v>
      </c>
      <c r="H1723" s="26">
        <f>CADASTROS!$G$1472</f>
        <v>13</v>
      </c>
      <c r="I1723" s="16" t="str">
        <f>CADASTROS!$H$1472</f>
        <v>00007826-0</v>
      </c>
      <c r="J1723" s="18">
        <f t="shared" si="82"/>
        <v>576</v>
      </c>
    </row>
    <row r="1724" spans="1:10" ht="15.75" x14ac:dyDescent="0.25">
      <c r="A1724" s="24">
        <f>CADASTROS!$B$1473</f>
        <v>1471</v>
      </c>
      <c r="B1724" s="15" t="str">
        <f>CADASTROS!$C$1473</f>
        <v>Cristina Santos de Sousa</v>
      </c>
      <c r="C1724" s="25"/>
      <c r="D1724" s="41">
        <f>PLANILHA_COLHEITA_DIÁRIA!$I$2232</f>
        <v>109</v>
      </c>
      <c r="E1724" s="17">
        <v>6</v>
      </c>
      <c r="F1724" s="26" t="str">
        <f>CADASTROS!$E$1473</f>
        <v>Cx. Econômica</v>
      </c>
      <c r="G1724" s="24">
        <f>CADASTROS!$F$1473</f>
        <v>4818</v>
      </c>
      <c r="H1724" s="26">
        <f>CADASTROS!$G$1473</f>
        <v>13</v>
      </c>
      <c r="I1724" s="16" t="str">
        <f>CADASTROS!$H$1473</f>
        <v>00013769-3</v>
      </c>
      <c r="J1724" s="18">
        <f t="shared" si="82"/>
        <v>654</v>
      </c>
    </row>
    <row r="1725" spans="1:10" ht="15.75" x14ac:dyDescent="0.25">
      <c r="A1725" s="24">
        <f>CADASTROS!$B$1474</f>
        <v>1472</v>
      </c>
      <c r="B1725" s="15" t="str">
        <f>CADASTROS!$C$1474</f>
        <v>João Batista Souza Andrade</v>
      </c>
      <c r="C1725" s="25"/>
      <c r="D1725" s="42">
        <f>PLANILHA_COLHEITA_DIÁRIA!$I$2233</f>
        <v>0</v>
      </c>
      <c r="E1725" s="17">
        <v>6</v>
      </c>
      <c r="F1725" s="26" t="str">
        <f>CADASTROS!$E$1474</f>
        <v>Bradesco</v>
      </c>
      <c r="G1725" s="24" t="str">
        <f>CADASTROS!$F$1474</f>
        <v>3616-1</v>
      </c>
      <c r="H1725" s="26" t="str">
        <f>CADASTROS!$G$1474</f>
        <v>poup</v>
      </c>
      <c r="I1725" s="16" t="str">
        <f>CADASTROS!$H$1474</f>
        <v>0006135-2</v>
      </c>
      <c r="J1725" s="18">
        <f t="shared" si="82"/>
        <v>0</v>
      </c>
    </row>
    <row r="1726" spans="1:10" ht="15.75" x14ac:dyDescent="0.25">
      <c r="A1726" s="24">
        <f>CADASTROS!$B$1475</f>
        <v>1473</v>
      </c>
      <c r="B1726" s="15" t="str">
        <f>CADASTROS!$C$1475</f>
        <v>Robson Brito Silva Souza</v>
      </c>
      <c r="C1726" s="25"/>
      <c r="D1726" s="42">
        <f>PLANILHA_COLHEITA_DIÁRIA!$I$2234</f>
        <v>0</v>
      </c>
      <c r="E1726" s="17">
        <v>6</v>
      </c>
      <c r="F1726" s="26" t="str">
        <f>CADASTROS!$E$1475</f>
        <v>Cx. Econômica</v>
      </c>
      <c r="G1726" s="24">
        <f>CADASTROS!$F$1475</f>
        <v>780</v>
      </c>
      <c r="H1726" s="26">
        <f>CADASTROS!$G$1475</f>
        <v>13</v>
      </c>
      <c r="I1726" s="16" t="str">
        <f>CADASTROS!$H$1475</f>
        <v>00002100-1</v>
      </c>
      <c r="J1726" s="18">
        <f t="shared" si="82"/>
        <v>0</v>
      </c>
    </row>
    <row r="1727" spans="1:10" ht="15.75" x14ac:dyDescent="0.25">
      <c r="A1727" s="24">
        <f>CADASTROS!$B$1476</f>
        <v>1474</v>
      </c>
      <c r="B1727" s="15" t="str">
        <f>CADASTROS!$C$1476</f>
        <v>Manoel Messias de Jesus</v>
      </c>
      <c r="C1727" s="25"/>
      <c r="D1727" s="35">
        <f>PLANILHA_COLHEITA_DIÁRIA!$I$2235</f>
        <v>138</v>
      </c>
      <c r="E1727" s="17">
        <v>6</v>
      </c>
      <c r="F1727" s="26" t="str">
        <f>CADASTROS!$E$1476</f>
        <v>Cx. Econômica</v>
      </c>
      <c r="G1727" s="24">
        <f>CADASTROS!$F$1476</f>
        <v>4825</v>
      </c>
      <c r="H1727" s="26">
        <f>CADASTROS!$G$1476</f>
        <v>13</v>
      </c>
      <c r="I1727" s="16" t="str">
        <f>CADASTROS!$H$1476</f>
        <v>00011284-2</v>
      </c>
      <c r="J1727" s="18">
        <f t="shared" si="82"/>
        <v>828</v>
      </c>
    </row>
    <row r="1728" spans="1:10" ht="15.75" x14ac:dyDescent="0.25">
      <c r="A1728" s="24">
        <f>CADASTROS!$B$1477</f>
        <v>1475</v>
      </c>
      <c r="B1728" s="15" t="str">
        <f>CADASTROS!$C$1477</f>
        <v>Eliomarcio Henrique Sales</v>
      </c>
      <c r="C1728" s="25"/>
      <c r="D1728" s="35">
        <f>PLANILHA_COLHEITA_DIÁRIA!$I$2236</f>
        <v>56</v>
      </c>
      <c r="E1728" s="17">
        <v>6</v>
      </c>
      <c r="F1728" s="26" t="str">
        <f>CADASTROS!$E$1477</f>
        <v>Cx. Econômica</v>
      </c>
      <c r="G1728" s="24">
        <f>CADASTROS!$F$1477</f>
        <v>4825</v>
      </c>
      <c r="H1728" s="26">
        <f>CADASTROS!$G$1477</f>
        <v>1288</v>
      </c>
      <c r="I1728" s="16" t="str">
        <f>CADASTROS!$H$1477</f>
        <v>869940277-3</v>
      </c>
      <c r="J1728" s="18">
        <f t="shared" si="82"/>
        <v>336</v>
      </c>
    </row>
    <row r="1729" spans="1:10" ht="15.75" x14ac:dyDescent="0.25">
      <c r="A1729" s="24">
        <f>CADASTROS!$B$1478</f>
        <v>1476</v>
      </c>
      <c r="B1729" s="15" t="str">
        <f>CADASTROS!$C$1478</f>
        <v>Vanderleia M. da Silva</v>
      </c>
      <c r="C1729" s="25"/>
      <c r="D1729" s="53">
        <f>PLANILHA_COLHEITA_DIÁRIA!$I$2237</f>
        <v>0</v>
      </c>
      <c r="E1729" s="17">
        <v>6</v>
      </c>
      <c r="F1729" s="26" t="str">
        <f>CADASTROS!$E$1478</f>
        <v>Cx. Econômica</v>
      </c>
      <c r="G1729" s="24">
        <f>CADASTROS!$F$1478</f>
        <v>949</v>
      </c>
      <c r="H1729" s="26">
        <f>CADASTROS!$G$1478</f>
        <v>13</v>
      </c>
      <c r="I1729" s="16" t="str">
        <f>CADASTROS!$H$1478</f>
        <v>00073038-8</v>
      </c>
      <c r="J1729" s="18">
        <f t="shared" si="82"/>
        <v>0</v>
      </c>
    </row>
    <row r="1730" spans="1:10" ht="15.75" x14ac:dyDescent="0.25">
      <c r="A1730" s="24">
        <f>CADASTROS!$B$1479</f>
        <v>1477</v>
      </c>
      <c r="B1730" s="15" t="str">
        <f>CADASTROS!$C$1479</f>
        <v>Adeni Lopes do Nascimento</v>
      </c>
      <c r="C1730" s="25"/>
      <c r="D1730" s="35">
        <f>PLANILHA_COLHEITA_DIÁRIA!$I$2238</f>
        <v>57</v>
      </c>
      <c r="E1730" s="17">
        <v>6</v>
      </c>
      <c r="F1730" s="26" t="str">
        <f>CADASTROS!$E$1479</f>
        <v>Cx. Econômica</v>
      </c>
      <c r="G1730" s="24">
        <f>CADASTROS!$F$1479</f>
        <v>3369</v>
      </c>
      <c r="H1730" s="26">
        <f>CADASTROS!$G$1479</f>
        <v>13</v>
      </c>
      <c r="I1730" s="16" t="str">
        <f>CADASTROS!$H$1479</f>
        <v>00002114-5</v>
      </c>
      <c r="J1730" s="18">
        <f t="shared" si="82"/>
        <v>342</v>
      </c>
    </row>
    <row r="1731" spans="1:10" ht="15.75" x14ac:dyDescent="0.25">
      <c r="A1731" s="24">
        <f>CADASTROS!$B$1480</f>
        <v>1478</v>
      </c>
      <c r="B1731" s="15" t="str">
        <f>CADASTROS!$C$1480</f>
        <v>Fernando S. Nascimento</v>
      </c>
      <c r="C1731" s="25"/>
      <c r="D1731" s="35">
        <f>PLANILHA_COLHEITA_DIÁRIA!$I$2239</f>
        <v>225</v>
      </c>
      <c r="E1731" s="17">
        <v>6</v>
      </c>
      <c r="F1731" s="26" t="str">
        <f>CADASTROS!$E$1480</f>
        <v>Cx. Econômica</v>
      </c>
      <c r="G1731" s="24">
        <f>CADASTROS!$F$1480</f>
        <v>4818</v>
      </c>
      <c r="H1731" s="26">
        <f>CADASTROS!$G$1480</f>
        <v>13</v>
      </c>
      <c r="I1731" s="16" t="str">
        <f>CADASTROS!$H$1480</f>
        <v>00011114-7</v>
      </c>
      <c r="J1731" s="18">
        <f t="shared" si="82"/>
        <v>1350</v>
      </c>
    </row>
    <row r="1732" spans="1:10" ht="15.75" x14ac:dyDescent="0.25">
      <c r="A1732" s="24">
        <f>CADASTROS!$B$1481</f>
        <v>1479</v>
      </c>
      <c r="B1732" s="15" t="str">
        <f>CADASTROS!$C$1481</f>
        <v>Luciene Souza Brandão</v>
      </c>
      <c r="C1732" s="25"/>
      <c r="D1732" s="35">
        <f>PLANILHA_COLHEITA_DIÁRIA!$I$2240</f>
        <v>0</v>
      </c>
      <c r="E1732" s="17">
        <v>6</v>
      </c>
      <c r="F1732" s="26" t="str">
        <f>CADASTROS!$E$1481</f>
        <v>Cx. Econômica</v>
      </c>
      <c r="G1732" s="24">
        <f>CADASTROS!$F$1481</f>
        <v>949</v>
      </c>
      <c r="H1732" s="26">
        <f>CADASTROS!$G$1481</f>
        <v>13</v>
      </c>
      <c r="I1732" s="16" t="str">
        <f>CADASTROS!$H$1481</f>
        <v>00025350-4</v>
      </c>
      <c r="J1732" s="18">
        <f t="shared" si="82"/>
        <v>0</v>
      </c>
    </row>
    <row r="1733" spans="1:10" ht="15.75" x14ac:dyDescent="0.25">
      <c r="A1733" s="24">
        <f>CADASTROS!$B$1482</f>
        <v>1480</v>
      </c>
      <c r="B1733" s="15" t="str">
        <f>CADASTROS!$C$1482</f>
        <v>Viviana dos Santos Sousa</v>
      </c>
      <c r="C1733" s="25"/>
      <c r="D1733" s="35">
        <f>PLANILHA_COLHEITA_DIÁRIA!$I$2252</f>
        <v>47</v>
      </c>
      <c r="E1733" s="17">
        <v>6</v>
      </c>
      <c r="F1733" s="26" t="str">
        <f>CADASTROS!$E$1482</f>
        <v>Cx. Econômica</v>
      </c>
      <c r="G1733" s="24">
        <f>CADASTROS!$F$1482</f>
        <v>949</v>
      </c>
      <c r="H1733" s="26">
        <f>CADASTROS!$G$1482</f>
        <v>13</v>
      </c>
      <c r="I1733" s="16" t="str">
        <f>CADASTROS!$H$1482</f>
        <v>00078133-0</v>
      </c>
      <c r="J1733" s="18">
        <f t="shared" si="82"/>
        <v>282</v>
      </c>
    </row>
    <row r="1734" spans="1:10" ht="15.75" x14ac:dyDescent="0.25">
      <c r="A1734" s="24">
        <f>CADASTROS!$B$1483</f>
        <v>1481</v>
      </c>
      <c r="B1734" s="15" t="str">
        <f>CADASTROS!$C$1483</f>
        <v>Kesia Priscila C. Santos</v>
      </c>
      <c r="C1734" s="25"/>
      <c r="D1734" s="35">
        <f>PLANILHA_COLHEITA_DIÁRIA!$I$2253</f>
        <v>0</v>
      </c>
      <c r="E1734" s="17">
        <v>6</v>
      </c>
      <c r="F1734" s="26" t="str">
        <f>CADASTROS!$E$1483</f>
        <v>Cx. Econômica</v>
      </c>
      <c r="G1734" s="24">
        <f>CADASTROS!$F$1483</f>
        <v>4818</v>
      </c>
      <c r="H1734" s="26">
        <f>CADASTROS!$G$1483</f>
        <v>1288</v>
      </c>
      <c r="I1734" s="16" t="str">
        <f>CADASTROS!$H$1483</f>
        <v>849302718-7</v>
      </c>
      <c r="J1734" s="18">
        <f t="shared" si="82"/>
        <v>0</v>
      </c>
    </row>
    <row r="1735" spans="1:10" ht="15.75" x14ac:dyDescent="0.25">
      <c r="A1735" s="24">
        <f>CADASTROS!$B$1484</f>
        <v>1482</v>
      </c>
      <c r="B1735" s="15" t="str">
        <f>CADASTROS!$C$1484</f>
        <v>Melecio N. S. de Oliveira</v>
      </c>
      <c r="C1735" s="25"/>
      <c r="D1735" s="53">
        <f>PLANILHA_COLHEITA_DIÁRIA!$I$2254</f>
        <v>28</v>
      </c>
      <c r="E1735" s="17">
        <v>6</v>
      </c>
      <c r="F1735" s="26" t="str">
        <f>CADASTROS!$E$1484</f>
        <v>Cx. Econômica</v>
      </c>
      <c r="G1735" s="24">
        <f>CADASTROS!$F$1484</f>
        <v>949</v>
      </c>
      <c r="H1735" s="26">
        <f>CADASTROS!$G$1484</f>
        <v>13</v>
      </c>
      <c r="I1735" s="16" t="str">
        <f>CADASTROS!$H$1484</f>
        <v>00074069-3</v>
      </c>
      <c r="J1735" s="18">
        <f t="shared" si="82"/>
        <v>168</v>
      </c>
    </row>
    <row r="1736" spans="1:10" ht="15.75" x14ac:dyDescent="0.25">
      <c r="A1736" s="24">
        <f>CADASTROS!$B$1485</f>
        <v>1483</v>
      </c>
      <c r="B1736" s="15" t="str">
        <f>CADASTROS!$C$1485</f>
        <v>Tatiana Lima Pereira</v>
      </c>
      <c r="C1736" s="25"/>
      <c r="D1736" s="35">
        <f>PLANILHA_COLHEITA_DIÁRIA!$I$2255</f>
        <v>0</v>
      </c>
      <c r="E1736" s="17">
        <v>6</v>
      </c>
      <c r="F1736" s="26" t="str">
        <f>CADASTROS!$E$1485</f>
        <v>Cx. Econômica</v>
      </c>
      <c r="G1736" s="24">
        <f>CADASTROS!$F$1485</f>
        <v>4818</v>
      </c>
      <c r="H1736" s="26">
        <f>CADASTROS!$G$1485</f>
        <v>13</v>
      </c>
      <c r="I1736" s="16" t="str">
        <f>CADASTROS!$H$1485</f>
        <v>00013076-1</v>
      </c>
      <c r="J1736" s="18">
        <f t="shared" si="82"/>
        <v>0</v>
      </c>
    </row>
    <row r="1737" spans="1:10" ht="15.75" x14ac:dyDescent="0.25">
      <c r="A1737" s="24">
        <f>CADASTROS!$B$1486</f>
        <v>1484</v>
      </c>
      <c r="B1737" s="15" t="str">
        <f>CADASTROS!$C$1486</f>
        <v>Edclei Francisco de Souza</v>
      </c>
      <c r="C1737" s="25"/>
      <c r="D1737" s="35">
        <f>PLANILHA_COLHEITA_DIÁRIA!$I$2256</f>
        <v>104.5</v>
      </c>
      <c r="E1737" s="17">
        <v>6</v>
      </c>
      <c r="F1737" s="26" t="str">
        <f>CADASTROS!$E$1486</f>
        <v>Bradesco</v>
      </c>
      <c r="G1737" s="24" t="str">
        <f>CADASTROS!$F$1486</f>
        <v>3801-6</v>
      </c>
      <c r="H1737" s="26" t="str">
        <f>CADASTROS!$G$1486</f>
        <v>c/corr</v>
      </c>
      <c r="I1737" s="16" t="str">
        <f>CADASTROS!$H$1486</f>
        <v>0520747-9</v>
      </c>
      <c r="J1737" s="18">
        <f t="shared" si="82"/>
        <v>627</v>
      </c>
    </row>
    <row r="1738" spans="1:10" ht="15.75" x14ac:dyDescent="0.25">
      <c r="B1738" s="159"/>
      <c r="C1738" s="159"/>
      <c r="D1738" s="12">
        <f>SUM(D1693:D1737)</f>
        <v>1498.5</v>
      </c>
      <c r="E1738" s="12"/>
      <c r="F1738" s="162"/>
      <c r="G1738" s="163"/>
      <c r="H1738" s="163"/>
      <c r="I1738" s="164"/>
      <c r="J1738" s="14">
        <f>SUM(J1693:J1737)</f>
        <v>8991</v>
      </c>
    </row>
    <row r="1740" spans="1:10" ht="15.75" x14ac:dyDescent="0.25">
      <c r="A1740" s="213" t="s">
        <v>4816</v>
      </c>
      <c r="B1740" s="213"/>
      <c r="C1740" s="213"/>
      <c r="D1740" s="213"/>
      <c r="E1740" s="213"/>
      <c r="F1740" s="213"/>
      <c r="G1740" s="213"/>
      <c r="H1740" s="213"/>
      <c r="I1740" s="213"/>
      <c r="J1740" s="213"/>
    </row>
    <row r="1741" spans="1:10" ht="16.5" thickBot="1" x14ac:dyDescent="0.3">
      <c r="A1741" s="214" t="s">
        <v>4843</v>
      </c>
      <c r="B1741" s="214"/>
      <c r="C1741" s="214"/>
      <c r="D1741" s="214"/>
      <c r="E1741" s="214"/>
      <c r="F1741" s="214"/>
      <c r="G1741" s="214"/>
      <c r="H1741" s="214"/>
      <c r="I1741" s="214"/>
      <c r="J1741" s="214"/>
    </row>
    <row r="1742" spans="1:10" ht="17.25" thickTop="1" thickBot="1" x14ac:dyDescent="0.3">
      <c r="A1742" s="215" t="s">
        <v>4844</v>
      </c>
      <c r="B1742" s="215"/>
      <c r="C1742" s="215"/>
      <c r="D1742" s="215"/>
      <c r="E1742" s="215"/>
      <c r="F1742" s="215"/>
      <c r="G1742" s="215"/>
      <c r="H1742" s="215"/>
      <c r="I1742" s="215"/>
      <c r="J1742" s="215"/>
    </row>
    <row r="1743" spans="1:10" ht="15.95" customHeight="1" x14ac:dyDescent="0.25">
      <c r="A1743" s="19" t="s">
        <v>4846</v>
      </c>
      <c r="B1743" s="216" t="s">
        <v>1</v>
      </c>
      <c r="C1743" s="216" t="s">
        <v>2</v>
      </c>
      <c r="D1743" s="160" t="s">
        <v>4847</v>
      </c>
      <c r="E1743" s="20" t="s">
        <v>4848</v>
      </c>
      <c r="F1743" s="157" t="s">
        <v>3</v>
      </c>
      <c r="G1743" s="157" t="s">
        <v>4</v>
      </c>
      <c r="H1743" s="157" t="s">
        <v>5</v>
      </c>
      <c r="I1743" s="157" t="s">
        <v>6</v>
      </c>
      <c r="J1743" s="218" t="s">
        <v>4849</v>
      </c>
    </row>
    <row r="1744" spans="1:10" ht="17.100000000000001" customHeight="1" thickBot="1" x14ac:dyDescent="0.3">
      <c r="A1744" s="21" t="s">
        <v>4850</v>
      </c>
      <c r="B1744" s="217"/>
      <c r="C1744" s="217"/>
      <c r="D1744" s="161"/>
      <c r="E1744" s="161" t="s">
        <v>4851</v>
      </c>
      <c r="F1744" s="158"/>
      <c r="G1744" s="158"/>
      <c r="H1744" s="158"/>
      <c r="I1744" s="158"/>
      <c r="J1744" s="219"/>
    </row>
    <row r="1745" spans="1:22" ht="15.75" x14ac:dyDescent="0.25">
      <c r="A1745" s="24">
        <f>CADASTROS!$B$1487</f>
        <v>1485</v>
      </c>
      <c r="B1745" s="15" t="str">
        <f>CADASTROS!$C$1487</f>
        <v>Maria Nilde de Jesus</v>
      </c>
      <c r="C1745" s="25"/>
      <c r="D1745" s="35">
        <f>PLANILHA_COLHEITA_DIÁRIA!$I$2257</f>
        <v>31</v>
      </c>
      <c r="E1745" s="17">
        <v>6</v>
      </c>
      <c r="F1745" s="26" t="str">
        <f>CADASTROS!$E$1487</f>
        <v>Cx. Econômica</v>
      </c>
      <c r="G1745" s="24">
        <f>CADASTROS!$F$1487</f>
        <v>780</v>
      </c>
      <c r="H1745" s="26">
        <f>CADASTROS!$G$1487</f>
        <v>23</v>
      </c>
      <c r="I1745" s="16" t="str">
        <f>CADASTROS!$H$1487</f>
        <v>00010427-3</v>
      </c>
      <c r="J1745" s="18">
        <f t="shared" ref="J1745:J1763" si="83">D1745*E1745</f>
        <v>186</v>
      </c>
    </row>
    <row r="1746" spans="1:22" ht="15.75" x14ac:dyDescent="0.25">
      <c r="A1746" s="24">
        <f>CADASTROS!$B$1488</f>
        <v>1486</v>
      </c>
      <c r="B1746" s="15" t="str">
        <f>CADASTROS!$C$1488</f>
        <v>Laureneide Bispo Cardoso</v>
      </c>
      <c r="C1746" s="25"/>
      <c r="D1746" s="35">
        <f>PLANILHA_COLHEITA_DIÁRIA!$I$2258</f>
        <v>11.5</v>
      </c>
      <c r="E1746" s="17">
        <v>6</v>
      </c>
      <c r="F1746" s="26" t="str">
        <f>CADASTROS!$E$1488</f>
        <v>Cx. Econômica</v>
      </c>
      <c r="G1746" s="24">
        <f>CADASTROS!$F$1488</f>
        <v>4818</v>
      </c>
      <c r="H1746" s="26">
        <f>CADASTROS!$G$1488</f>
        <v>13</v>
      </c>
      <c r="I1746" s="16" t="str">
        <f>CADASTROS!$H$1488</f>
        <v>00010960-6</v>
      </c>
      <c r="J1746" s="18">
        <f t="shared" si="83"/>
        <v>69</v>
      </c>
      <c r="M1746" s="72"/>
      <c r="N1746" s="34"/>
      <c r="O1746" s="99"/>
      <c r="P1746" s="100"/>
      <c r="Q1746" s="101"/>
      <c r="R1746" s="71"/>
      <c r="S1746" s="72"/>
      <c r="T1746" s="71"/>
      <c r="U1746" s="70"/>
      <c r="V1746" s="102"/>
    </row>
    <row r="1747" spans="1:22" ht="15.75" x14ac:dyDescent="0.25">
      <c r="A1747" s="24">
        <f>CADASTROS!$B$1489</f>
        <v>1487</v>
      </c>
      <c r="B1747" s="15" t="str">
        <f>CADASTROS!$C$1489</f>
        <v>Alex Sandro L. Pereira</v>
      </c>
      <c r="C1747" s="25"/>
      <c r="D1747" s="35">
        <f>PLANILHA_COLHEITA_DIÁRIA!$I$2259</f>
        <v>0</v>
      </c>
      <c r="E1747" s="17">
        <v>6</v>
      </c>
      <c r="F1747" s="26" t="str">
        <f>CADASTROS!$E$1489</f>
        <v>Banco do Brasil</v>
      </c>
      <c r="G1747" s="24" t="str">
        <f>CADASTROS!$F$1489</f>
        <v>2760-X</v>
      </c>
      <c r="H1747" s="26" t="str">
        <f>CADASTROS!$G$1489</f>
        <v>poup</v>
      </c>
      <c r="I1747" s="16" t="str">
        <f>CADASTROS!$H$1489</f>
        <v>14.790-7</v>
      </c>
      <c r="J1747" s="18">
        <f t="shared" si="83"/>
        <v>0</v>
      </c>
      <c r="M1747" s="72"/>
      <c r="N1747" s="34"/>
      <c r="O1747" s="99"/>
      <c r="P1747" s="100"/>
      <c r="Q1747" s="101"/>
      <c r="R1747" s="71"/>
      <c r="S1747" s="72"/>
      <c r="T1747" s="71"/>
      <c r="U1747" s="70"/>
      <c r="V1747" s="102"/>
    </row>
    <row r="1748" spans="1:22" ht="15.75" x14ac:dyDescent="0.25">
      <c r="A1748" s="24">
        <f>CADASTROS!$B$1490</f>
        <v>1488</v>
      </c>
      <c r="B1748" s="15" t="str">
        <f>CADASTROS!$C$1490</f>
        <v>Antônio Salvador Souza</v>
      </c>
      <c r="C1748" s="25"/>
      <c r="D1748" s="35">
        <f>PLANILHA_COLHEITA_DIÁRIA!$I$2260</f>
        <v>34</v>
      </c>
      <c r="E1748" s="17">
        <v>6</v>
      </c>
      <c r="F1748" s="26" t="str">
        <f>CADASTROS!$E$1490</f>
        <v>Banco do Brasil</v>
      </c>
      <c r="G1748" s="24" t="str">
        <f>CADASTROS!$F$1490</f>
        <v>2760-X</v>
      </c>
      <c r="H1748" s="26" t="str">
        <f>CADASTROS!$G$1490</f>
        <v>poup</v>
      </c>
      <c r="I1748" s="16" t="str">
        <f>CADASTROS!$H$1490</f>
        <v>20.718-7</v>
      </c>
      <c r="J1748" s="18">
        <f t="shared" si="83"/>
        <v>204</v>
      </c>
      <c r="M1748" s="72"/>
      <c r="N1748" s="34"/>
      <c r="O1748" s="99"/>
      <c r="P1748" s="100"/>
      <c r="Q1748" s="101"/>
      <c r="R1748" s="71"/>
      <c r="S1748" s="72"/>
      <c r="T1748" s="71"/>
      <c r="U1748" s="70"/>
      <c r="V1748" s="102"/>
    </row>
    <row r="1749" spans="1:22" ht="15.75" x14ac:dyDescent="0.25">
      <c r="A1749" s="24">
        <f>CADASTROS!$B$1491</f>
        <v>1489</v>
      </c>
      <c r="B1749" s="15" t="str">
        <f>CADASTROS!$C$1491</f>
        <v>José Humberto da Silva</v>
      </c>
      <c r="C1749" s="25"/>
      <c r="D1749" s="35">
        <f>PLANILHA_COLHEITA_DIÁRIA!$I$2261</f>
        <v>0</v>
      </c>
      <c r="E1749" s="17">
        <v>6</v>
      </c>
      <c r="F1749" s="26" t="str">
        <f>CADASTROS!$E$1491</f>
        <v>Cx. Econômica</v>
      </c>
      <c r="G1749" s="24">
        <f>CADASTROS!$F$1491</f>
        <v>780</v>
      </c>
      <c r="H1749" s="26">
        <f>CADASTROS!$G$1491</f>
        <v>0</v>
      </c>
      <c r="I1749" s="16" t="str">
        <f>CADASTROS!$H$1491</f>
        <v>000866694039-3</v>
      </c>
      <c r="J1749" s="18">
        <f t="shared" si="83"/>
        <v>0</v>
      </c>
      <c r="M1749" s="72"/>
      <c r="N1749" s="34"/>
      <c r="O1749" s="99"/>
      <c r="P1749" s="100"/>
      <c r="Q1749" s="101"/>
      <c r="R1749" s="71"/>
      <c r="S1749" s="72"/>
      <c r="T1749" s="71"/>
      <c r="U1749" s="70"/>
      <c r="V1749" s="102"/>
    </row>
    <row r="1750" spans="1:22" ht="15.75" x14ac:dyDescent="0.25">
      <c r="A1750" s="24">
        <f>CADASTROS!$B$1492</f>
        <v>1490</v>
      </c>
      <c r="B1750" s="15" t="str">
        <f>CADASTROS!$C$1492</f>
        <v>Sabrina Silva Ribeiro</v>
      </c>
      <c r="C1750" s="25"/>
      <c r="D1750" s="41">
        <f>PLANILHA_COLHEITA_DIÁRIA!$I$2262</f>
        <v>38</v>
      </c>
      <c r="E1750" s="17">
        <v>6</v>
      </c>
      <c r="F1750" s="26" t="str">
        <f>CADASTROS!$E$1492</f>
        <v>Cx. Econômica</v>
      </c>
      <c r="G1750" s="24">
        <f>CADASTROS!$F$1492</f>
        <v>4818</v>
      </c>
      <c r="H1750" s="26">
        <f>CADASTROS!$G$1492</f>
        <v>13</v>
      </c>
      <c r="I1750" s="16" t="str">
        <f>CADASTROS!$H$1492</f>
        <v>00008966-4</v>
      </c>
      <c r="J1750" s="18">
        <f t="shared" si="83"/>
        <v>228</v>
      </c>
      <c r="M1750" s="72"/>
      <c r="N1750" s="34"/>
      <c r="O1750" s="99"/>
      <c r="P1750" s="100"/>
      <c r="Q1750" s="101"/>
      <c r="R1750" s="71"/>
      <c r="S1750" s="72"/>
      <c r="T1750" s="71"/>
      <c r="U1750" s="70"/>
      <c r="V1750" s="102"/>
    </row>
    <row r="1751" spans="1:22" ht="15.75" x14ac:dyDescent="0.25">
      <c r="A1751" s="24">
        <f>CADASTROS!$B$1493</f>
        <v>1491</v>
      </c>
      <c r="B1751" s="15" t="str">
        <f>CADASTROS!$C$1493</f>
        <v>Agnaldo dos Santos Nago</v>
      </c>
      <c r="C1751" s="25"/>
      <c r="D1751" s="41">
        <f>PLANILHA_COLHEITA_DIÁRIA!$I$2263</f>
        <v>0</v>
      </c>
      <c r="E1751" s="17">
        <v>6</v>
      </c>
      <c r="F1751" s="26" t="str">
        <f>CADASTROS!$E$1493</f>
        <v>Cx. Econômica</v>
      </c>
      <c r="G1751" s="24">
        <f>CADASTROS!$F$1493</f>
        <v>4818</v>
      </c>
      <c r="H1751" s="26">
        <f>CADASTROS!$G$1493</f>
        <v>13</v>
      </c>
      <c r="I1751" s="16" t="str">
        <f>CADASTROS!$H$1493</f>
        <v>00015119-0</v>
      </c>
      <c r="J1751" s="18">
        <f t="shared" si="83"/>
        <v>0</v>
      </c>
      <c r="M1751" s="72"/>
      <c r="N1751" s="34"/>
      <c r="O1751" s="99"/>
      <c r="P1751" s="100"/>
      <c r="Q1751" s="101"/>
      <c r="R1751" s="71"/>
      <c r="S1751" s="72"/>
      <c r="T1751" s="71"/>
      <c r="U1751" s="70"/>
      <c r="V1751" s="102"/>
    </row>
    <row r="1752" spans="1:22" ht="15.75" x14ac:dyDescent="0.25">
      <c r="A1752" s="24">
        <f>CADASTROS!$B$1494</f>
        <v>1492</v>
      </c>
      <c r="B1752" s="15" t="str">
        <f>CADASTROS!$C$1494</f>
        <v>Flávio B. Oliveira Pereira</v>
      </c>
      <c r="C1752" s="25"/>
      <c r="D1752" s="35">
        <f>PLANILHA_COLHEITA_DIÁRIA!$I$2264</f>
        <v>0</v>
      </c>
      <c r="E1752" s="17">
        <v>6</v>
      </c>
      <c r="F1752" s="26" t="str">
        <f>CADASTROS!$E$1494</f>
        <v>Bradesco</v>
      </c>
      <c r="G1752" s="24" t="str">
        <f>CADASTROS!$F$1494</f>
        <v>3801-6</v>
      </c>
      <c r="H1752" s="26" t="str">
        <f>CADASTROS!$G$1494</f>
        <v>c/corr</v>
      </c>
      <c r="I1752" s="16" t="str">
        <f>CADASTROS!$H$1494</f>
        <v>0350220-1</v>
      </c>
      <c r="J1752" s="18">
        <f t="shared" si="83"/>
        <v>0</v>
      </c>
      <c r="M1752" s="72"/>
      <c r="N1752" s="34"/>
      <c r="O1752" s="99"/>
      <c r="P1752" s="100"/>
      <c r="Q1752" s="101"/>
      <c r="R1752" s="71"/>
      <c r="S1752" s="72"/>
      <c r="T1752" s="71"/>
      <c r="U1752" s="70"/>
      <c r="V1752" s="102"/>
    </row>
    <row r="1753" spans="1:22" ht="15.75" x14ac:dyDescent="0.25">
      <c r="A1753" s="24">
        <f>CADASTROS!$B$1495</f>
        <v>1493</v>
      </c>
      <c r="B1753" s="15" t="str">
        <f>CADASTROS!$C$1495</f>
        <v>Natan Lopes dos Santos</v>
      </c>
      <c r="C1753" s="25"/>
      <c r="D1753" s="42">
        <f>PLANILHA_COLHEITA_DIÁRIA!$I$2265</f>
        <v>29</v>
      </c>
      <c r="E1753" s="17">
        <v>6</v>
      </c>
      <c r="F1753" s="26" t="str">
        <f>CADASTROS!$E$1495</f>
        <v>Cx. Econômica</v>
      </c>
      <c r="G1753" s="24">
        <f>CADASTROS!$F$1495</f>
        <v>4825</v>
      </c>
      <c r="H1753" s="26">
        <f>CADASTROS!$G$1495</f>
        <v>13</v>
      </c>
      <c r="I1753" s="16" t="str">
        <f>CADASTROS!$H$1495</f>
        <v>00023841-2</v>
      </c>
      <c r="J1753" s="18">
        <f t="shared" si="83"/>
        <v>174</v>
      </c>
      <c r="M1753" s="72"/>
      <c r="N1753" s="34"/>
      <c r="O1753" s="99"/>
      <c r="P1753" s="100"/>
      <c r="Q1753" s="101"/>
      <c r="R1753" s="71"/>
      <c r="S1753" s="72"/>
      <c r="T1753" s="71"/>
      <c r="U1753" s="70"/>
      <c r="V1753" s="102"/>
    </row>
    <row r="1754" spans="1:22" ht="15.75" x14ac:dyDescent="0.25">
      <c r="A1754" s="24">
        <f>CADASTROS!$B$1496</f>
        <v>1494</v>
      </c>
      <c r="B1754" s="15" t="str">
        <f>CADASTROS!$C$1496</f>
        <v>Elzita Maria de Souza</v>
      </c>
      <c r="C1754" s="25"/>
      <c r="D1754" s="35">
        <f>PLANILHA_COLHEITA_DIÁRIA!$I$2266</f>
        <v>123.5</v>
      </c>
      <c r="E1754" s="17">
        <v>6</v>
      </c>
      <c r="F1754" s="26" t="str">
        <f>CADASTROS!$E$1496</f>
        <v>Cx. Econômica</v>
      </c>
      <c r="G1754" s="24">
        <f>CADASTROS!$F$1496</f>
        <v>4825</v>
      </c>
      <c r="H1754" s="26">
        <f>CADASTROS!$G$1496</f>
        <v>13</v>
      </c>
      <c r="I1754" s="16" t="str">
        <f>CADASTROS!$H$1496</f>
        <v>00004923-7</v>
      </c>
      <c r="J1754" s="18">
        <f t="shared" si="83"/>
        <v>741</v>
      </c>
      <c r="M1754" s="72"/>
      <c r="N1754" s="34"/>
      <c r="O1754" s="99"/>
      <c r="P1754" s="100"/>
      <c r="Q1754" s="101"/>
      <c r="R1754" s="71"/>
      <c r="S1754" s="72"/>
      <c r="T1754" s="71"/>
      <c r="U1754" s="70"/>
      <c r="V1754" s="102"/>
    </row>
    <row r="1755" spans="1:22" ht="15.75" x14ac:dyDescent="0.25">
      <c r="A1755" s="24">
        <f>CADASTROS!$B$1497</f>
        <v>1495</v>
      </c>
      <c r="B1755" s="15" t="str">
        <f>CADASTROS!$C$1497</f>
        <v>Flamarion Sá Teles de Oliveira</v>
      </c>
      <c r="C1755" s="25"/>
      <c r="D1755" s="35">
        <f>PLANILHA_COLHEITA_DIÁRIA!$I$2267</f>
        <v>5</v>
      </c>
      <c r="E1755" s="17">
        <v>6</v>
      </c>
      <c r="F1755" s="26" t="str">
        <f>CADASTROS!$E$1497</f>
        <v>Cx. Econômica</v>
      </c>
      <c r="G1755" s="24">
        <f>CADASTROS!$F$1497</f>
        <v>4825</v>
      </c>
      <c r="H1755" s="26">
        <f>CADASTROS!$G$1497</f>
        <v>0</v>
      </c>
      <c r="I1755" s="16" t="str">
        <f>CADASTROS!$H$1497</f>
        <v>000869133162-1</v>
      </c>
      <c r="J1755" s="18">
        <f t="shared" si="83"/>
        <v>30</v>
      </c>
      <c r="M1755" s="72"/>
      <c r="N1755" s="34"/>
      <c r="O1755" s="99"/>
      <c r="P1755" s="100"/>
      <c r="Q1755" s="101"/>
      <c r="R1755" s="71"/>
      <c r="S1755" s="72"/>
      <c r="T1755" s="71"/>
      <c r="U1755" s="70"/>
      <c r="V1755" s="102"/>
    </row>
    <row r="1756" spans="1:22" ht="15.75" x14ac:dyDescent="0.25">
      <c r="A1756" s="24">
        <f>CADASTROS!$B$1498</f>
        <v>1496</v>
      </c>
      <c r="B1756" s="15" t="str">
        <f>CADASTROS!$C$1498</f>
        <v>Uenio dos Anjos Meira</v>
      </c>
      <c r="C1756" s="25"/>
      <c r="D1756" s="35">
        <f>PLANILHA_COLHEITA_DIÁRIA!$I$2268</f>
        <v>45.5</v>
      </c>
      <c r="E1756" s="17">
        <v>6</v>
      </c>
      <c r="F1756" s="26" t="str">
        <f>CADASTROS!$E$1498</f>
        <v>Cx. Econômica</v>
      </c>
      <c r="G1756" s="24">
        <f>CADASTROS!$F$1498</f>
        <v>4601</v>
      </c>
      <c r="H1756" s="26">
        <f>CADASTROS!$G$1498</f>
        <v>13</v>
      </c>
      <c r="I1756" s="16" t="str">
        <f>CADASTROS!$H$1498</f>
        <v>00008538-3</v>
      </c>
      <c r="J1756" s="18">
        <f t="shared" si="83"/>
        <v>273</v>
      </c>
      <c r="M1756" s="72"/>
      <c r="N1756" s="34"/>
      <c r="O1756" s="99"/>
      <c r="P1756" s="100"/>
      <c r="Q1756" s="101"/>
      <c r="R1756" s="71"/>
      <c r="S1756" s="72"/>
      <c r="T1756" s="71"/>
      <c r="U1756" s="70"/>
      <c r="V1756" s="102"/>
    </row>
    <row r="1757" spans="1:22" ht="15.75" x14ac:dyDescent="0.25">
      <c r="A1757" s="24">
        <f>CADASTROS!$B$1499</f>
        <v>1497</v>
      </c>
      <c r="B1757" s="15" t="str">
        <f>CADASTROS!$C$1499</f>
        <v>Genivaldo Gaspar de Souza</v>
      </c>
      <c r="C1757" s="25"/>
      <c r="D1757" s="35">
        <f>PLANILHA_COLHEITA_DIÁRIA!$I$2269</f>
        <v>52</v>
      </c>
      <c r="E1757" s="17">
        <v>6</v>
      </c>
      <c r="F1757" s="26" t="str">
        <f>CADASTROS!$E$1499</f>
        <v>Bradesco</v>
      </c>
      <c r="G1757" s="24" t="str">
        <f>CADASTROS!$F$1499</f>
        <v>3655-2</v>
      </c>
      <c r="H1757" s="26" t="str">
        <f>CADASTROS!$G$1499</f>
        <v>poup</v>
      </c>
      <c r="I1757" s="16" t="str">
        <f>CADASTROS!$H$1499</f>
        <v>1000654-6</v>
      </c>
      <c r="J1757" s="18">
        <f t="shared" si="83"/>
        <v>312</v>
      </c>
      <c r="M1757" s="72"/>
      <c r="N1757" s="34"/>
      <c r="O1757" s="99"/>
      <c r="P1757" s="100"/>
      <c r="Q1757" s="101"/>
      <c r="R1757" s="71"/>
      <c r="S1757" s="72"/>
      <c r="T1757" s="71"/>
      <c r="U1757" s="70"/>
      <c r="V1757" s="102"/>
    </row>
    <row r="1758" spans="1:22" ht="15.75" x14ac:dyDescent="0.25">
      <c r="A1758" s="24">
        <f>CADASTROS!$B$1500</f>
        <v>1498</v>
      </c>
      <c r="B1758" s="15" t="str">
        <f>CADASTROS!$C$1500</f>
        <v>Leandro dos Anjos Santos</v>
      </c>
      <c r="C1758" s="25"/>
      <c r="D1758" s="35">
        <f>PLANILHA_COLHEITA_DIÁRIA!$I$2270</f>
        <v>81.5</v>
      </c>
      <c r="E1758" s="17">
        <v>6</v>
      </c>
      <c r="F1758" s="26" t="str">
        <f>CADASTROS!$E$1500</f>
        <v>Bradesco</v>
      </c>
      <c r="G1758" s="24" t="str">
        <f>CADASTROS!$F$1500</f>
        <v>3801-6</v>
      </c>
      <c r="H1758" s="26" t="str">
        <f>CADASTROS!$G$1500</f>
        <v>poup</v>
      </c>
      <c r="I1758" s="16" t="str">
        <f>CADASTROS!$H$1500</f>
        <v>0002739-1</v>
      </c>
      <c r="J1758" s="18">
        <f t="shared" si="83"/>
        <v>489</v>
      </c>
      <c r="M1758" s="72"/>
      <c r="N1758" s="34"/>
      <c r="O1758" s="99"/>
      <c r="P1758" s="100"/>
      <c r="Q1758" s="101"/>
      <c r="R1758" s="71"/>
      <c r="S1758" s="72"/>
      <c r="T1758" s="71"/>
      <c r="U1758" s="70"/>
      <c r="V1758" s="102"/>
    </row>
    <row r="1759" spans="1:22" ht="15.75" x14ac:dyDescent="0.25">
      <c r="A1759" s="24">
        <f>CADASTROS!$B$1501</f>
        <v>1499</v>
      </c>
      <c r="B1759" s="15" t="str">
        <f>CADASTROS!$C$1501</f>
        <v>Leiliane dos Santos Nunes</v>
      </c>
      <c r="C1759" s="25"/>
      <c r="D1759" s="35">
        <f>PLANILHA_COLHEITA_DIÁRIA!$I$2271</f>
        <v>0</v>
      </c>
      <c r="E1759" s="17">
        <v>6</v>
      </c>
      <c r="F1759" s="26" t="str">
        <f>CADASTROS!$E$1501</f>
        <v>Cx. Econômica</v>
      </c>
      <c r="G1759" s="24">
        <f>CADASTROS!$F$1501</f>
        <v>4825</v>
      </c>
      <c r="H1759" s="26">
        <f>CADASTROS!$G$1501</f>
        <v>13</v>
      </c>
      <c r="I1759" s="16" t="str">
        <f>CADASTROS!$H$1501</f>
        <v>800126095-8</v>
      </c>
      <c r="J1759" s="18">
        <f t="shared" si="83"/>
        <v>0</v>
      </c>
      <c r="M1759" s="72"/>
      <c r="N1759" s="34"/>
      <c r="O1759" s="99"/>
      <c r="P1759" s="100"/>
      <c r="Q1759" s="101"/>
      <c r="R1759" s="71"/>
      <c r="S1759" s="72"/>
      <c r="T1759" s="71"/>
      <c r="U1759" s="70"/>
      <c r="V1759" s="102"/>
    </row>
    <row r="1760" spans="1:22" ht="15.75" x14ac:dyDescent="0.25">
      <c r="A1760" s="24">
        <f>CADASTROS!$B$1502</f>
        <v>1500</v>
      </c>
      <c r="B1760" s="15" t="str">
        <f>CADASTROS!$C$1502</f>
        <v>Gilmar dos Santos Alves</v>
      </c>
      <c r="C1760" s="25"/>
      <c r="D1760" s="35">
        <f>PLANILHA_COLHEITA_DIÁRIA!$I$2272</f>
        <v>8</v>
      </c>
      <c r="E1760" s="17">
        <v>6</v>
      </c>
      <c r="F1760" s="26" t="str">
        <f>CADASTROS!$E$1502</f>
        <v>Bradesco</v>
      </c>
      <c r="G1760" s="24" t="str">
        <f>CADASTROS!$F$1502</f>
        <v>3801-6</v>
      </c>
      <c r="H1760" s="26" t="str">
        <f>CADASTROS!$G$1502</f>
        <v>poup</v>
      </c>
      <c r="I1760" s="16" t="str">
        <f>CADASTROS!$H$1502</f>
        <v>0004264-1</v>
      </c>
      <c r="J1760" s="18">
        <f t="shared" si="83"/>
        <v>48</v>
      </c>
      <c r="M1760" s="72"/>
      <c r="N1760" s="34"/>
      <c r="O1760" s="99"/>
      <c r="P1760" s="100"/>
      <c r="Q1760" s="101"/>
      <c r="R1760" s="71"/>
      <c r="S1760" s="72"/>
      <c r="T1760" s="71"/>
      <c r="U1760" s="70"/>
      <c r="V1760" s="102"/>
    </row>
    <row r="1761" spans="1:22" ht="15.75" x14ac:dyDescent="0.25">
      <c r="A1761" s="24">
        <f>CADASTROS!$B$1503</f>
        <v>1501</v>
      </c>
      <c r="B1761" s="15" t="str">
        <f>CADASTROS!$C$1503</f>
        <v>Manelito da Silva Araújo</v>
      </c>
      <c r="C1761" s="25"/>
      <c r="D1761" s="35">
        <f>PLANILHA_COLHEITA_DIÁRIA!$I$2273</f>
        <v>8</v>
      </c>
      <c r="E1761" s="17">
        <v>6</v>
      </c>
      <c r="F1761" s="26" t="str">
        <f>CADASTROS!$E$1503</f>
        <v>Cx. Econômica</v>
      </c>
      <c r="G1761" s="24">
        <f>CADASTROS!$F$1503</f>
        <v>949</v>
      </c>
      <c r="H1761" s="26">
        <f>CADASTROS!$G$1503</f>
        <v>13</v>
      </c>
      <c r="I1761" s="16" t="str">
        <f>CADASTROS!$H$1503</f>
        <v>00009610-7</v>
      </c>
      <c r="J1761" s="18">
        <f t="shared" si="83"/>
        <v>48</v>
      </c>
      <c r="M1761" s="72"/>
      <c r="N1761" s="34"/>
      <c r="O1761" s="99"/>
      <c r="P1761" s="100"/>
      <c r="Q1761" s="101"/>
      <c r="R1761" s="71"/>
      <c r="S1761" s="72"/>
      <c r="T1761" s="71"/>
      <c r="U1761" s="70"/>
      <c r="V1761" s="102"/>
    </row>
    <row r="1762" spans="1:22" ht="15.75" x14ac:dyDescent="0.25">
      <c r="A1762" s="24">
        <f>CADASTROS!$B$1504</f>
        <v>1502</v>
      </c>
      <c r="B1762" s="15" t="str">
        <f>CADASTROS!$C$1504</f>
        <v>Jandira de Jesus Pires</v>
      </c>
      <c r="C1762" s="25"/>
      <c r="D1762" s="42">
        <f>PLANILHA_COLHEITA_DIÁRIA!$I$2274</f>
        <v>158</v>
      </c>
      <c r="E1762" s="17">
        <v>6</v>
      </c>
      <c r="F1762" s="26" t="str">
        <f>CADASTROS!$E$1504</f>
        <v>Cx. Econômica</v>
      </c>
      <c r="G1762" s="24">
        <f>CADASTROS!$F$1504</f>
        <v>949</v>
      </c>
      <c r="H1762" s="26">
        <f>CADASTROS!$G$1504</f>
        <v>23</v>
      </c>
      <c r="I1762" s="16" t="str">
        <f>CADASTROS!$H$1504</f>
        <v>0007361-9</v>
      </c>
      <c r="J1762" s="18">
        <f t="shared" si="83"/>
        <v>948</v>
      </c>
      <c r="M1762" s="72"/>
      <c r="N1762" s="34"/>
      <c r="O1762" s="99"/>
      <c r="P1762" s="100"/>
      <c r="Q1762" s="101"/>
      <c r="R1762" s="71"/>
      <c r="S1762" s="72"/>
      <c r="T1762" s="71"/>
      <c r="U1762" s="70"/>
      <c r="V1762" s="102"/>
    </row>
    <row r="1763" spans="1:22" ht="15.75" x14ac:dyDescent="0.25">
      <c r="A1763" s="24">
        <f>CADASTROS!$B$1505</f>
        <v>1503</v>
      </c>
      <c r="B1763" s="15" t="str">
        <f>CADASTROS!$C$1505</f>
        <v>Anailde Sousa Salvador</v>
      </c>
      <c r="C1763" s="25"/>
      <c r="D1763" s="42">
        <f>PLANILHA_COLHEITA_DIÁRIA!$I$2275</f>
        <v>140</v>
      </c>
      <c r="E1763" s="17">
        <v>6</v>
      </c>
      <c r="F1763" s="26" t="str">
        <f>CADASTROS!$E$1505</f>
        <v>Banco do Brasil</v>
      </c>
      <c r="G1763" s="24" t="str">
        <f>CADASTROS!$F$1505</f>
        <v>2760-X</v>
      </c>
      <c r="H1763" s="26" t="str">
        <f>CADASTROS!$G$1505</f>
        <v>c/corr</v>
      </c>
      <c r="I1763" s="16" t="str">
        <f>CADASTROS!$H$1505</f>
        <v>16.040-7</v>
      </c>
      <c r="J1763" s="18">
        <f t="shared" si="83"/>
        <v>840</v>
      </c>
      <c r="M1763" s="72"/>
      <c r="N1763" s="34"/>
      <c r="O1763" s="99"/>
      <c r="P1763" s="100"/>
      <c r="Q1763" s="101"/>
      <c r="R1763" s="71"/>
      <c r="S1763" s="72"/>
      <c r="T1763" s="71"/>
      <c r="U1763" s="70"/>
      <c r="V1763" s="102"/>
    </row>
    <row r="1764" spans="1:22" ht="15.75" x14ac:dyDescent="0.25">
      <c r="A1764" s="24">
        <f>CADASTROS!$B$1506</f>
        <v>1504</v>
      </c>
      <c r="B1764" s="15" t="str">
        <f>CADASTROS!$C$1506</f>
        <v>Elizabete J. Souza</v>
      </c>
      <c r="C1764" s="25"/>
      <c r="D1764" s="35">
        <f>PLANILHA_COLHEITA_DIÁRIA!$I$2276</f>
        <v>70</v>
      </c>
      <c r="E1764" s="17">
        <v>6</v>
      </c>
      <c r="F1764" s="26" t="str">
        <f>CADASTROS!$E$1506</f>
        <v>Banco do Brasil</v>
      </c>
      <c r="G1764" s="24" t="str">
        <f>CADASTROS!$F$1506</f>
        <v>2760-X</v>
      </c>
      <c r="H1764" s="26" t="str">
        <f>CADASTROS!$G$1506</f>
        <v>c/corr</v>
      </c>
      <c r="I1764" s="16" t="str">
        <f>CADASTROS!$H$1506</f>
        <v>14.888-1</v>
      </c>
      <c r="J1764" s="18">
        <f t="shared" ref="J1764:J1771" si="84">D1764*E1764</f>
        <v>420</v>
      </c>
      <c r="M1764" s="72"/>
      <c r="N1764" s="34"/>
      <c r="O1764" s="99"/>
      <c r="P1764" s="100"/>
      <c r="Q1764" s="101"/>
      <c r="R1764" s="71"/>
      <c r="S1764" s="72"/>
      <c r="T1764" s="71"/>
      <c r="U1764" s="70"/>
      <c r="V1764" s="102"/>
    </row>
    <row r="1765" spans="1:22" ht="15.75" x14ac:dyDescent="0.25">
      <c r="A1765" s="24">
        <f>CADASTROS!$B$1507</f>
        <v>1505</v>
      </c>
      <c r="B1765" s="15" t="str">
        <f>CADASTROS!$C$1507</f>
        <v>Oseias de Souza Araújo</v>
      </c>
      <c r="C1765" s="25"/>
      <c r="D1765" s="53">
        <f>PLANILHA_COLHEITA_DIÁRIA!$I$2277</f>
        <v>0</v>
      </c>
      <c r="E1765" s="17">
        <v>6</v>
      </c>
      <c r="F1765" s="26" t="str">
        <f>CADASTROS!$E$1507</f>
        <v>Cx. Econômica</v>
      </c>
      <c r="G1765" s="24">
        <f>CADASTROS!$F$1507</f>
        <v>4026</v>
      </c>
      <c r="H1765" s="26">
        <f>CADASTROS!$G$1507</f>
        <v>13</v>
      </c>
      <c r="I1765" s="16" t="str">
        <f>CADASTROS!$H$1507</f>
        <v>00050380-5</v>
      </c>
      <c r="J1765" s="18">
        <f t="shared" si="84"/>
        <v>0</v>
      </c>
      <c r="M1765" s="72"/>
      <c r="N1765" s="34"/>
      <c r="O1765" s="99"/>
      <c r="P1765" s="100"/>
      <c r="Q1765" s="101"/>
      <c r="R1765" s="71"/>
      <c r="S1765" s="72"/>
      <c r="T1765" s="71"/>
      <c r="U1765" s="70"/>
      <c r="V1765" s="102"/>
    </row>
    <row r="1766" spans="1:22" ht="15.75" x14ac:dyDescent="0.25">
      <c r="A1766" s="24">
        <f>CADASTROS!$B$1508</f>
        <v>1506</v>
      </c>
      <c r="B1766" s="15" t="str">
        <f>CADASTROS!$C$1508</f>
        <v>Messias Silva Lima</v>
      </c>
      <c r="C1766" s="25"/>
      <c r="D1766" s="35">
        <f>PLANILHA_COLHEITA_DIÁRIA!$I$2278</f>
        <v>12.5</v>
      </c>
      <c r="E1766" s="17">
        <v>6</v>
      </c>
      <c r="F1766" s="26" t="str">
        <f>CADASTROS!$E$1508</f>
        <v>Cx. Econômica</v>
      </c>
      <c r="G1766" s="24">
        <f>CADASTROS!$F$1508</f>
        <v>780</v>
      </c>
      <c r="H1766" s="26">
        <f>CADASTROS!$G$1508</f>
        <v>13</v>
      </c>
      <c r="I1766" s="16" t="str">
        <f>CADASTROS!$H$1508</f>
        <v>00072275-1</v>
      </c>
      <c r="J1766" s="18">
        <f t="shared" si="84"/>
        <v>75</v>
      </c>
      <c r="M1766" s="72"/>
      <c r="N1766" s="34"/>
      <c r="O1766" s="99"/>
      <c r="P1766" s="100"/>
      <c r="Q1766" s="101"/>
      <c r="R1766" s="71"/>
      <c r="S1766" s="72"/>
      <c r="T1766" s="71"/>
      <c r="U1766" s="70"/>
      <c r="V1766" s="102"/>
    </row>
    <row r="1767" spans="1:22" ht="15.75" x14ac:dyDescent="0.25">
      <c r="A1767" s="24">
        <f>CADASTROS!$B$1509</f>
        <v>1507</v>
      </c>
      <c r="B1767" s="15" t="str">
        <f>CADASTROS!$C$1509</f>
        <v>Aldai Souza Costa</v>
      </c>
      <c r="C1767" s="25"/>
      <c r="D1767" s="35">
        <f>PLANILHA_COLHEITA_DIÁRIA!$I$2290</f>
        <v>15</v>
      </c>
      <c r="E1767" s="17">
        <v>6</v>
      </c>
      <c r="F1767" s="26" t="str">
        <f>CADASTROS!$E$1509</f>
        <v>Cx. Econômica</v>
      </c>
      <c r="G1767" s="24">
        <f>CADASTROS!$F$1509</f>
        <v>4825</v>
      </c>
      <c r="H1767" s="26">
        <f>CADASTROS!$G$1509</f>
        <v>13</v>
      </c>
      <c r="I1767" s="16" t="str">
        <f>CADASTROS!$H$1509</f>
        <v>00006586-0</v>
      </c>
      <c r="J1767" s="18">
        <f t="shared" si="84"/>
        <v>90</v>
      </c>
      <c r="M1767" s="72"/>
      <c r="N1767" s="34"/>
      <c r="O1767" s="99"/>
      <c r="P1767" s="100"/>
      <c r="Q1767" s="101"/>
      <c r="R1767" s="71"/>
      <c r="S1767" s="72"/>
      <c r="T1767" s="71"/>
      <c r="U1767" s="70"/>
      <c r="V1767" s="102"/>
    </row>
    <row r="1768" spans="1:22" ht="15.75" x14ac:dyDescent="0.25">
      <c r="A1768" s="24">
        <f>CADASTROS!$B$1510</f>
        <v>1508</v>
      </c>
      <c r="B1768" s="15" t="str">
        <f>CADASTROS!$C$1510</f>
        <v>Gesiane Santos Pires</v>
      </c>
      <c r="C1768" s="25"/>
      <c r="D1768" s="35">
        <f>PLANILHA_COLHEITA_DIÁRIA!$I$2291</f>
        <v>0</v>
      </c>
      <c r="E1768" s="17">
        <v>6</v>
      </c>
      <c r="F1768" s="26" t="str">
        <f>CADASTROS!$E$1510</f>
        <v>Cx. Econômica</v>
      </c>
      <c r="G1768" s="24">
        <f>CADASTROS!$F$1510</f>
        <v>3880</v>
      </c>
      <c r="H1768" s="26">
        <f>CADASTROS!$G$1510</f>
        <v>1288</v>
      </c>
      <c r="I1768" s="16" t="str">
        <f>CADASTROS!$H$1510</f>
        <v>795127483-7</v>
      </c>
      <c r="J1768" s="18">
        <f t="shared" si="84"/>
        <v>0</v>
      </c>
      <c r="M1768" s="72"/>
      <c r="N1768" s="34"/>
      <c r="O1768" s="99"/>
      <c r="P1768" s="100"/>
      <c r="Q1768" s="101"/>
      <c r="R1768" s="71"/>
      <c r="S1768" s="72"/>
      <c r="T1768" s="71"/>
      <c r="U1768" s="70"/>
      <c r="V1768" s="102"/>
    </row>
    <row r="1769" spans="1:22" ht="15.75" x14ac:dyDescent="0.25">
      <c r="A1769" s="24">
        <f>CADASTROS!$B$1511</f>
        <v>1509</v>
      </c>
      <c r="B1769" s="15" t="str">
        <f>CADASTROS!$C$1511</f>
        <v>Lucineide da Silva Valeiro</v>
      </c>
      <c r="C1769" s="25"/>
      <c r="D1769" s="42">
        <f>PLANILHA_COLHEITA_DIÁRIA!$I$2292</f>
        <v>0</v>
      </c>
      <c r="E1769" s="17">
        <v>6</v>
      </c>
      <c r="F1769" s="26" t="str">
        <f>CADASTROS!$E$1511</f>
        <v>Cx. Econômica</v>
      </c>
      <c r="G1769" s="24">
        <f>CADASTROS!$F$1511</f>
        <v>4825</v>
      </c>
      <c r="H1769" s="26">
        <f>CADASTROS!$G$1511</f>
        <v>13</v>
      </c>
      <c r="I1769" s="16" t="str">
        <f>CADASTROS!$H$1511</f>
        <v>00003371-3</v>
      </c>
      <c r="J1769" s="18">
        <f t="shared" si="84"/>
        <v>0</v>
      </c>
      <c r="M1769" s="72"/>
      <c r="N1769" s="34"/>
      <c r="O1769" s="99"/>
      <c r="P1769" s="100"/>
      <c r="Q1769" s="101"/>
      <c r="R1769" s="71"/>
      <c r="S1769" s="72"/>
      <c r="T1769" s="71"/>
      <c r="U1769" s="70"/>
      <c r="V1769" s="102"/>
    </row>
    <row r="1770" spans="1:22" ht="15.75" x14ac:dyDescent="0.25">
      <c r="A1770" s="24">
        <f>CADASTROS!$B$1512</f>
        <v>1510</v>
      </c>
      <c r="B1770" s="15" t="str">
        <f>CADASTROS!$C$1512</f>
        <v>Gilvando Correia Caneiro</v>
      </c>
      <c r="C1770" s="25"/>
      <c r="D1770" s="53">
        <f>PLANILHA_COLHEITA_DIÁRIA!$I$2293</f>
        <v>0</v>
      </c>
      <c r="E1770" s="17">
        <v>6</v>
      </c>
      <c r="F1770" s="26" t="str">
        <f>CADASTROS!$E$1512</f>
        <v>Cx. Econômica</v>
      </c>
      <c r="G1770" s="24">
        <f>CADASTROS!$F$1512</f>
        <v>780</v>
      </c>
      <c r="H1770" s="26">
        <f>CADASTROS!$G$1512</f>
        <v>13</v>
      </c>
      <c r="I1770" s="16" t="str">
        <f>CADASTROS!$H$1512</f>
        <v>00009989-2</v>
      </c>
      <c r="J1770" s="18">
        <f t="shared" si="84"/>
        <v>0</v>
      </c>
      <c r="M1770" s="72"/>
      <c r="N1770" s="34"/>
      <c r="O1770" s="99"/>
      <c r="P1770" s="100"/>
      <c r="Q1770" s="101"/>
      <c r="R1770" s="71"/>
      <c r="S1770" s="72"/>
      <c r="T1770" s="71"/>
      <c r="U1770" s="70"/>
      <c r="V1770" s="102"/>
    </row>
    <row r="1771" spans="1:22" ht="15.75" x14ac:dyDescent="0.25">
      <c r="A1771" s="24">
        <f>CADASTROS!$B$1513</f>
        <v>1511</v>
      </c>
      <c r="B1771" s="15" t="str">
        <f>CADASTROS!$C$1513</f>
        <v>Eulália Oliveira Costa</v>
      </c>
      <c r="C1771" s="25"/>
      <c r="D1771" s="35">
        <f>PLANILHA_COLHEITA_DIÁRIA!$I$2294</f>
        <v>0</v>
      </c>
      <c r="E1771" s="17">
        <v>6</v>
      </c>
      <c r="F1771" s="26" t="str">
        <f>CADASTROS!$E$1513</f>
        <v>Cx. Econômica</v>
      </c>
      <c r="G1771" s="24">
        <f>CADASTROS!$F$1513</f>
        <v>4825</v>
      </c>
      <c r="H1771" s="26">
        <f>CADASTROS!$G$1513</f>
        <v>13</v>
      </c>
      <c r="I1771" s="16" t="str">
        <f>CADASTROS!$H$1513</f>
        <v>00010598-6</v>
      </c>
      <c r="J1771" s="18">
        <f t="shared" si="84"/>
        <v>0</v>
      </c>
      <c r="M1771" s="72"/>
      <c r="N1771" s="34"/>
      <c r="O1771" s="99"/>
      <c r="P1771" s="100"/>
      <c r="Q1771" s="101"/>
      <c r="R1771" s="71"/>
      <c r="S1771" s="72"/>
      <c r="T1771" s="71"/>
      <c r="U1771" s="70"/>
      <c r="V1771" s="102"/>
    </row>
    <row r="1772" spans="1:22" ht="15.75" x14ac:dyDescent="0.25">
      <c r="A1772" s="24">
        <f>CADASTROS!$B$1514</f>
        <v>1512</v>
      </c>
      <c r="B1772" s="15" t="str">
        <f>CADASTROS!$C$1514</f>
        <v>Noelma da Silva Santos</v>
      </c>
      <c r="C1772" s="25"/>
      <c r="D1772" s="42">
        <f>PLANILHA_COLHEITA_DIÁRIA!$I$2295</f>
        <v>53.5</v>
      </c>
      <c r="E1772" s="17">
        <v>6</v>
      </c>
      <c r="F1772" s="26" t="str">
        <f>CADASTROS!$E$1514</f>
        <v>Cx. Econômica</v>
      </c>
      <c r="G1772" s="24">
        <f>CADASTROS!$F$1514</f>
        <v>780</v>
      </c>
      <c r="H1772" s="26">
        <f>CADASTROS!$G$1514</f>
        <v>13</v>
      </c>
      <c r="I1772" s="16" t="str">
        <f>CADASTROS!$H$1514</f>
        <v>00013715-8</v>
      </c>
      <c r="J1772" s="18">
        <f t="shared" ref="J1772:J1779" si="85">D1772*E1772</f>
        <v>321</v>
      </c>
      <c r="M1772" s="72"/>
      <c r="N1772" s="34"/>
      <c r="O1772" s="99"/>
      <c r="P1772" s="100"/>
      <c r="Q1772" s="101"/>
      <c r="R1772" s="71"/>
      <c r="S1772" s="72"/>
      <c r="T1772" s="71"/>
      <c r="U1772" s="70"/>
      <c r="V1772" s="102"/>
    </row>
    <row r="1773" spans="1:22" ht="15.75" x14ac:dyDescent="0.25">
      <c r="A1773" s="24">
        <f>CADASTROS!$B$1515</f>
        <v>1513</v>
      </c>
      <c r="B1773" s="15" t="str">
        <f>CADASTROS!$C$1515</f>
        <v>Sidalva C. da Silva</v>
      </c>
      <c r="C1773" s="25"/>
      <c r="D1773" s="35">
        <f>PLANILHA_COLHEITA_DIÁRIA!$I$2296</f>
        <v>47</v>
      </c>
      <c r="E1773" s="17">
        <v>6</v>
      </c>
      <c r="F1773" s="26" t="str">
        <f>CADASTROS!$E$1515</f>
        <v>Cx. Econômica</v>
      </c>
      <c r="G1773" s="24">
        <f>CADASTROS!$F$1515</f>
        <v>4825</v>
      </c>
      <c r="H1773" s="26">
        <f>CADASTROS!$G$1515</f>
        <v>23</v>
      </c>
      <c r="I1773" s="16" t="str">
        <f>CADASTROS!$H$1515</f>
        <v>00000910-0</v>
      </c>
      <c r="J1773" s="18">
        <f t="shared" si="85"/>
        <v>282</v>
      </c>
      <c r="M1773" s="72"/>
      <c r="N1773" s="34"/>
      <c r="O1773" s="99"/>
      <c r="P1773" s="100"/>
      <c r="Q1773" s="101"/>
      <c r="R1773" s="71"/>
      <c r="S1773" s="72"/>
      <c r="T1773" s="71"/>
      <c r="U1773" s="70"/>
      <c r="V1773" s="102"/>
    </row>
    <row r="1774" spans="1:22" ht="15.75" x14ac:dyDescent="0.25">
      <c r="A1774" s="24">
        <f>CADASTROS!$B$1516</f>
        <v>1514</v>
      </c>
      <c r="B1774" s="15" t="str">
        <f>CADASTROS!$C$1516</f>
        <v>Cleuma dos Santos Vitor</v>
      </c>
      <c r="C1774" s="25"/>
      <c r="D1774" s="53">
        <f>PLANILHA_COLHEITA_DIÁRIA!$I$2297</f>
        <v>52.5</v>
      </c>
      <c r="E1774" s="17">
        <v>6</v>
      </c>
      <c r="F1774" s="26" t="str">
        <f>CADASTROS!$E$1516</f>
        <v>Cx. Econômica</v>
      </c>
      <c r="G1774" s="24">
        <f>CADASTROS!$F$1516</f>
        <v>4825</v>
      </c>
      <c r="H1774" s="26">
        <f>CADASTROS!$G$1516</f>
        <v>13</v>
      </c>
      <c r="I1774" s="16" t="str">
        <f>CADASTROS!$H$1516</f>
        <v>00011784-4</v>
      </c>
      <c r="J1774" s="18">
        <f t="shared" si="85"/>
        <v>315</v>
      </c>
    </row>
    <row r="1775" spans="1:22" ht="15.75" x14ac:dyDescent="0.25">
      <c r="A1775" s="24">
        <f>CADASTROS!$B$1517</f>
        <v>1515</v>
      </c>
      <c r="B1775" s="15" t="str">
        <f>CADASTROS!$C$1517</f>
        <v>Geane Pereira Almeida</v>
      </c>
      <c r="C1775" s="25"/>
      <c r="D1775" s="42">
        <f>PLANILHA_COLHEITA_DIÁRIA!$I$2298</f>
        <v>66</v>
      </c>
      <c r="E1775" s="17">
        <v>6</v>
      </c>
      <c r="F1775" s="26" t="str">
        <f>CADASTROS!$E$1517</f>
        <v>Bradesco</v>
      </c>
      <c r="G1775" s="24" t="str">
        <f>CADASTROS!$F$1517</f>
        <v>3801-6</v>
      </c>
      <c r="H1775" s="26" t="str">
        <f>CADASTROS!$G$1517</f>
        <v>c/corr</v>
      </c>
      <c r="I1775" s="16" t="str">
        <f>CADASTROS!$H$1517</f>
        <v>0350229-5</v>
      </c>
      <c r="J1775" s="18">
        <f t="shared" si="85"/>
        <v>396</v>
      </c>
    </row>
    <row r="1776" spans="1:22" ht="15.75" x14ac:dyDescent="0.25">
      <c r="A1776" s="24">
        <f>CADASTROS!$B$1518</f>
        <v>1516</v>
      </c>
      <c r="B1776" s="15" t="str">
        <f>CADASTROS!$C$1518</f>
        <v>Valnier Alves Souza</v>
      </c>
      <c r="C1776" s="25"/>
      <c r="D1776" s="35">
        <f>PLANILHA_COLHEITA_DIÁRIA!$I$2299</f>
        <v>29.5</v>
      </c>
      <c r="E1776" s="17">
        <v>6</v>
      </c>
      <c r="F1776" s="26" t="str">
        <f>CADASTROS!$E$1518</f>
        <v>Cx. Econômica</v>
      </c>
      <c r="G1776" s="24">
        <f>CADASTROS!$F$1518</f>
        <v>4825</v>
      </c>
      <c r="H1776" s="26">
        <f>CADASTROS!$G$1518</f>
        <v>13</v>
      </c>
      <c r="I1776" s="16" t="str">
        <f>CADASTROS!$H$1518</f>
        <v>00012412-3</v>
      </c>
      <c r="J1776" s="18">
        <f t="shared" si="85"/>
        <v>177</v>
      </c>
    </row>
    <row r="1777" spans="1:10" ht="15.75" x14ac:dyDescent="0.25">
      <c r="A1777" s="24">
        <f>CADASTROS!$B$1519</f>
        <v>1517</v>
      </c>
      <c r="B1777" s="15" t="str">
        <f>CADASTROS!$C$1519</f>
        <v>Laiza Costa Ribeiro</v>
      </c>
      <c r="C1777" s="25"/>
      <c r="D1777" s="35">
        <f>PLANILHA_COLHEITA_DIÁRIA!$I$2300</f>
        <v>22.5</v>
      </c>
      <c r="E1777" s="17">
        <v>6</v>
      </c>
      <c r="F1777" s="26" t="str">
        <f>CADASTROS!$E$1519</f>
        <v>Bradesco</v>
      </c>
      <c r="G1777" s="24" t="str">
        <f>CADASTROS!$F$1519</f>
        <v>3801-6</v>
      </c>
      <c r="H1777" s="26" t="str">
        <f>CADASTROS!$G$1519</f>
        <v>c/corr</v>
      </c>
      <c r="I1777" s="16" t="str">
        <f>CADASTROS!$H$1519</f>
        <v>0002450-3</v>
      </c>
      <c r="J1777" s="18">
        <f t="shared" si="85"/>
        <v>135</v>
      </c>
    </row>
    <row r="1778" spans="1:10" ht="15.75" x14ac:dyDescent="0.25">
      <c r="A1778" s="24">
        <f>CADASTROS!$B$1520</f>
        <v>1518</v>
      </c>
      <c r="B1778" s="15" t="str">
        <f>CADASTROS!$C$1520</f>
        <v>Lucilene Costa Nunes</v>
      </c>
      <c r="C1778" s="25"/>
      <c r="D1778" s="35">
        <f>PLANILHA_COLHEITA_DIÁRIA!$I$2301</f>
        <v>122</v>
      </c>
      <c r="E1778" s="17">
        <v>6</v>
      </c>
      <c r="F1778" s="26" t="str">
        <f>CADASTROS!$E$1520</f>
        <v>Cx. Econômica</v>
      </c>
      <c r="G1778" s="24">
        <f>CADASTROS!$F$1520</f>
        <v>4825</v>
      </c>
      <c r="H1778" s="26">
        <f>CADASTROS!$G$1520</f>
        <v>13</v>
      </c>
      <c r="I1778" s="16" t="str">
        <f>CADASTROS!$H$1520</f>
        <v>00023784-0</v>
      </c>
      <c r="J1778" s="18">
        <f t="shared" si="85"/>
        <v>732</v>
      </c>
    </row>
    <row r="1779" spans="1:10" ht="15.75" x14ac:dyDescent="0.25">
      <c r="A1779" s="24">
        <f>CADASTROS!$B$1521</f>
        <v>1519</v>
      </c>
      <c r="B1779" s="15" t="str">
        <f>CADASTROS!$C$1521</f>
        <v>Rodrigo Barbosa da Silva</v>
      </c>
      <c r="C1779" s="25"/>
      <c r="D1779" s="42">
        <f>PLANILHA_COLHEITA_DIÁRIA!$I$2302</f>
        <v>20</v>
      </c>
      <c r="E1779" s="17">
        <v>6</v>
      </c>
      <c r="F1779" s="26" t="str">
        <f>CADASTROS!$E$1521</f>
        <v>Bradesco</v>
      </c>
      <c r="G1779" s="24" t="str">
        <f>CADASTROS!$F$1521</f>
        <v>3801-6</v>
      </c>
      <c r="H1779" s="26" t="str">
        <f>CADASTROS!$G$1521</f>
        <v>poup</v>
      </c>
      <c r="I1779" s="16" t="str">
        <f>CADASTROS!$H$1521</f>
        <v>0640173-2</v>
      </c>
      <c r="J1779" s="18">
        <f t="shared" si="85"/>
        <v>120</v>
      </c>
    </row>
    <row r="1780" spans="1:10" ht="15.75" x14ac:dyDescent="0.25">
      <c r="A1780" s="24">
        <f>CADASTROS!$B$1522</f>
        <v>1520</v>
      </c>
      <c r="B1780" s="15" t="str">
        <f>CADASTROS!$C$1522</f>
        <v>Mª Madalena Lima Santos</v>
      </c>
      <c r="C1780" s="25"/>
      <c r="D1780" s="35">
        <f>PLANILHA_COLHEITA_DIÁRIA!$I$2303</f>
        <v>20.5</v>
      </c>
      <c r="E1780" s="17">
        <v>6</v>
      </c>
      <c r="F1780" s="26" t="str">
        <f>CADASTROS!$E$1522</f>
        <v>Cx. Econômica</v>
      </c>
      <c r="G1780" s="24">
        <f>CADASTROS!$F$1522</f>
        <v>3233</v>
      </c>
      <c r="H1780" s="26">
        <f>CADASTROS!$G$1522</f>
        <v>23</v>
      </c>
      <c r="I1780" s="16" t="str">
        <f>CADASTROS!$H$1522</f>
        <v>00006551-4</v>
      </c>
      <c r="J1780" s="18">
        <f t="shared" ref="J1780:J1788" si="86">D1780*E1780</f>
        <v>123</v>
      </c>
    </row>
    <row r="1781" spans="1:10" ht="15.75" x14ac:dyDescent="0.25">
      <c r="A1781" s="24">
        <f>CADASTROS!$B$1523</f>
        <v>1521</v>
      </c>
      <c r="B1781" s="15" t="str">
        <f>CADASTROS!$C$1523</f>
        <v>Valdir Ferreira Pinto</v>
      </c>
      <c r="C1781" s="25"/>
      <c r="D1781" s="35">
        <f>PLANILHA_COLHEITA_DIÁRIA!$I$2304</f>
        <v>115.5</v>
      </c>
      <c r="E1781" s="17">
        <v>6</v>
      </c>
      <c r="F1781" s="26" t="str">
        <f>CADASTROS!$E$1523</f>
        <v>Cx. Econômica</v>
      </c>
      <c r="G1781" s="24">
        <f>CADASTROS!$F$1523</f>
        <v>2734</v>
      </c>
      <c r="H1781" s="26">
        <f>CADASTROS!$G$1523</f>
        <v>13</v>
      </c>
      <c r="I1781" s="16" t="str">
        <f>CADASTROS!$H$1523</f>
        <v>00025483-3</v>
      </c>
      <c r="J1781" s="18">
        <f t="shared" si="86"/>
        <v>693</v>
      </c>
    </row>
    <row r="1782" spans="1:10" ht="15.75" x14ac:dyDescent="0.25">
      <c r="A1782" s="24">
        <f>CADASTROS!$B$1524</f>
        <v>1522</v>
      </c>
      <c r="B1782" s="15" t="str">
        <f>CADASTROS!$C$1524</f>
        <v>Abenailton Souza de Jesus</v>
      </c>
      <c r="C1782" s="25"/>
      <c r="D1782" s="35">
        <f>PLANILHA_COLHEITA_DIÁRIA!$I$2305</f>
        <v>74.5</v>
      </c>
      <c r="E1782" s="17">
        <v>6</v>
      </c>
      <c r="F1782" s="26" t="str">
        <f>CADASTROS!$E$1524</f>
        <v>Bradesco</v>
      </c>
      <c r="G1782" s="24" t="str">
        <f>CADASTROS!$F$1524</f>
        <v>3655-2</v>
      </c>
      <c r="H1782" s="26" t="str">
        <f>CADASTROS!$G$1524</f>
        <v>poup</v>
      </c>
      <c r="I1782" s="16" t="str">
        <f>CADASTROS!$H$1524</f>
        <v>0523018-7</v>
      </c>
      <c r="J1782" s="18">
        <f t="shared" si="86"/>
        <v>447</v>
      </c>
    </row>
    <row r="1783" spans="1:10" ht="15.75" x14ac:dyDescent="0.25">
      <c r="A1783" s="24">
        <f>CADASTROS!$B$1525</f>
        <v>1523</v>
      </c>
      <c r="B1783" s="15" t="str">
        <f>CADASTROS!$C$1525</f>
        <v>Adilma dos Santos Silva</v>
      </c>
      <c r="C1783" s="25"/>
      <c r="D1783" s="35">
        <f>PLANILHA_COLHEITA_DIÁRIA!$I$2306</f>
        <v>15</v>
      </c>
      <c r="E1783" s="17">
        <v>6</v>
      </c>
      <c r="F1783" s="26" t="str">
        <f>CADASTROS!$E$1525</f>
        <v>Cx. Econômica</v>
      </c>
      <c r="G1783" s="24">
        <f>CADASTROS!$F$1525</f>
        <v>4825</v>
      </c>
      <c r="H1783" s="26">
        <f>CADASTROS!$G$1525</f>
        <v>13</v>
      </c>
      <c r="I1783" s="16" t="str">
        <f>CADASTROS!$H$1525</f>
        <v>00015566-5</v>
      </c>
      <c r="J1783" s="18">
        <f t="shared" si="86"/>
        <v>90</v>
      </c>
    </row>
    <row r="1784" spans="1:10" ht="15.75" x14ac:dyDescent="0.25">
      <c r="A1784" s="24">
        <f>CADASTROS!$B$1526</f>
        <v>1524</v>
      </c>
      <c r="B1784" s="15" t="str">
        <f>CADASTROS!$C$1526</f>
        <v>Rosenir da Cruz Santos</v>
      </c>
      <c r="C1784" s="25"/>
      <c r="D1784" s="35">
        <f>PLANILHA_COLHEITA_DIÁRIA!$I$2307</f>
        <v>69.5</v>
      </c>
      <c r="E1784" s="17">
        <v>6</v>
      </c>
      <c r="F1784" s="26" t="str">
        <f>CADASTROS!$E$1526</f>
        <v>Cx. Econômica</v>
      </c>
      <c r="G1784" s="24">
        <f>CADASTROS!$F$1526</f>
        <v>4825</v>
      </c>
      <c r="H1784" s="26">
        <f>CADASTROS!$G$1526</f>
        <v>13</v>
      </c>
      <c r="I1784" s="16" t="str">
        <f>CADASTROS!$H$1526</f>
        <v>00012217-1</v>
      </c>
      <c r="J1784" s="18">
        <f t="shared" si="86"/>
        <v>417</v>
      </c>
    </row>
    <row r="1785" spans="1:10" ht="15.75" x14ac:dyDescent="0.25">
      <c r="A1785" s="24">
        <f>CADASTROS!$B$1527</f>
        <v>1525</v>
      </c>
      <c r="B1785" s="15" t="str">
        <f>CADASTROS!$C$1527</f>
        <v>Silvoneide Ferreira Lima</v>
      </c>
      <c r="C1785" s="25"/>
      <c r="D1785" s="35">
        <f>PLANILHA_COLHEITA_DIÁRIA!$I$2308</f>
        <v>64</v>
      </c>
      <c r="E1785" s="17">
        <v>6</v>
      </c>
      <c r="F1785" s="26" t="str">
        <f>CADASTROS!$E$1527</f>
        <v>Banco do Brasil</v>
      </c>
      <c r="G1785" s="24" t="str">
        <f>CADASTROS!$F$1527</f>
        <v>2760-X</v>
      </c>
      <c r="H1785" s="26" t="str">
        <f>CADASTROS!$G$1527</f>
        <v>poup</v>
      </c>
      <c r="I1785" s="16" t="str">
        <f>CADASTROS!$H$1527</f>
        <v>22.787-0</v>
      </c>
      <c r="J1785" s="18">
        <f t="shared" si="86"/>
        <v>384</v>
      </c>
    </row>
    <row r="1786" spans="1:10" ht="15.75" x14ac:dyDescent="0.25">
      <c r="A1786" s="24">
        <f>CADASTROS!$B$1528</f>
        <v>1526</v>
      </c>
      <c r="B1786" s="15" t="str">
        <f>CADASTROS!$C$1528</f>
        <v>Edvânia Fernandes Brito</v>
      </c>
      <c r="C1786" s="25"/>
      <c r="D1786" s="35">
        <f>PLANILHA_COLHEITA_DIÁRIA!$I$2309</f>
        <v>54</v>
      </c>
      <c r="E1786" s="17">
        <v>6</v>
      </c>
      <c r="F1786" s="26" t="str">
        <f>CADASTROS!$E$1528</f>
        <v>Cx. Econômica</v>
      </c>
      <c r="G1786" s="24">
        <f>CADASTROS!$F$1528</f>
        <v>949</v>
      </c>
      <c r="H1786" s="26">
        <f>CADASTROS!$G$1528</f>
        <v>23</v>
      </c>
      <c r="I1786" s="16" t="str">
        <f>CADASTROS!$H$1528</f>
        <v>00024117-1</v>
      </c>
      <c r="J1786" s="18">
        <f t="shared" si="86"/>
        <v>324</v>
      </c>
    </row>
    <row r="1787" spans="1:10" ht="15.75" x14ac:dyDescent="0.25">
      <c r="A1787" s="24">
        <f>CADASTROS!$B$1529</f>
        <v>1527</v>
      </c>
      <c r="B1787" s="15" t="str">
        <f>CADASTROS!$C$1529</f>
        <v>Vanessa Leite Santana</v>
      </c>
      <c r="C1787" s="25"/>
      <c r="D1787" s="42">
        <f>PLANILHA_COLHEITA_DIÁRIA!$I$2310</f>
        <v>34</v>
      </c>
      <c r="E1787" s="17">
        <v>6</v>
      </c>
      <c r="F1787" s="26" t="str">
        <f>CADASTROS!$E$1529</f>
        <v>Cx. Econômica</v>
      </c>
      <c r="G1787" s="24">
        <f>CADASTROS!$F$1529</f>
        <v>949</v>
      </c>
      <c r="H1787" s="26" t="str">
        <f>CADASTROS!$G$1529</f>
        <v>poup</v>
      </c>
      <c r="I1787" s="16" t="str">
        <f>CADASTROS!$H$1529</f>
        <v>000804443215-7</v>
      </c>
      <c r="J1787" s="18">
        <f t="shared" si="86"/>
        <v>204</v>
      </c>
    </row>
    <row r="1788" spans="1:10" ht="15.75" x14ac:dyDescent="0.25">
      <c r="A1788" s="24">
        <f>CADASTROS!$B$1530</f>
        <v>1528</v>
      </c>
      <c r="B1788" s="15" t="str">
        <f>CADASTROS!$C$1530</f>
        <v>Joelza Alves de Souza</v>
      </c>
      <c r="C1788" s="25"/>
      <c r="D1788" s="35">
        <f>PLANILHA_COLHEITA_DIÁRIA!$I$2311</f>
        <v>78.5</v>
      </c>
      <c r="E1788" s="17">
        <v>6</v>
      </c>
      <c r="F1788" s="26" t="str">
        <f>CADASTROS!$E$1530</f>
        <v>Cx. Econômica</v>
      </c>
      <c r="G1788" s="24">
        <f>CADASTROS!$F$1530</f>
        <v>4825</v>
      </c>
      <c r="H1788" s="26">
        <f>CADASTROS!$G$1530</f>
        <v>13</v>
      </c>
      <c r="I1788" s="16" t="str">
        <f>CADASTROS!$H$1530</f>
        <v>855654749-2</v>
      </c>
      <c r="J1788" s="18">
        <f t="shared" si="86"/>
        <v>471</v>
      </c>
    </row>
    <row r="1789" spans="1:10" ht="15.75" x14ac:dyDescent="0.25">
      <c r="A1789" s="24">
        <f>CADASTROS!$B$1531</f>
        <v>1529</v>
      </c>
      <c r="B1789" s="15" t="str">
        <f>CADASTROS!$C$1531</f>
        <v>Luciene Ferreira da Silva</v>
      </c>
      <c r="C1789" s="25"/>
      <c r="D1789" s="42">
        <f>PLANILHA_COLHEITA_DIÁRIA!$I$2312</f>
        <v>45.5</v>
      </c>
      <c r="E1789" s="17">
        <v>6</v>
      </c>
      <c r="F1789" s="26" t="str">
        <f>CADASTROS!$E$1531</f>
        <v>Cx. Econômica</v>
      </c>
      <c r="G1789" s="24">
        <f>CADASTROS!$F$1531</f>
        <v>4825</v>
      </c>
      <c r="H1789" s="26">
        <f>CADASTROS!$G$1531</f>
        <v>0</v>
      </c>
      <c r="I1789" s="16" t="str">
        <f>CADASTROS!$H$1531</f>
        <v>000851459542-1</v>
      </c>
      <c r="J1789" s="18">
        <f t="shared" ref="J1789" si="87">D1789*E1789</f>
        <v>273</v>
      </c>
    </row>
    <row r="1790" spans="1:10" ht="15.75" x14ac:dyDescent="0.25">
      <c r="B1790" s="159"/>
      <c r="C1790" s="159"/>
      <c r="D1790" s="12">
        <f>SUM(D1745:D1789)</f>
        <v>1846.5</v>
      </c>
      <c r="E1790" s="12"/>
      <c r="F1790" s="162"/>
      <c r="G1790" s="163"/>
      <c r="H1790" s="163"/>
      <c r="I1790" s="164"/>
      <c r="J1790" s="14">
        <f>SUM(J1745:J1789)</f>
        <v>11079</v>
      </c>
    </row>
    <row r="1792" spans="1:10" ht="15.75" x14ac:dyDescent="0.25">
      <c r="A1792" s="213" t="s">
        <v>4816</v>
      </c>
      <c r="B1792" s="213"/>
      <c r="C1792" s="213"/>
      <c r="D1792" s="213"/>
      <c r="E1792" s="213"/>
      <c r="F1792" s="213"/>
      <c r="G1792" s="213"/>
      <c r="H1792" s="213"/>
      <c r="I1792" s="213"/>
      <c r="J1792" s="213"/>
    </row>
    <row r="1793" spans="1:10" ht="16.5" thickBot="1" x14ac:dyDescent="0.3">
      <c r="A1793" s="214" t="s">
        <v>4843</v>
      </c>
      <c r="B1793" s="214"/>
      <c r="C1793" s="214"/>
      <c r="D1793" s="214"/>
      <c r="E1793" s="214"/>
      <c r="F1793" s="214"/>
      <c r="G1793" s="214"/>
      <c r="H1793" s="214"/>
      <c r="I1793" s="214"/>
      <c r="J1793" s="214"/>
    </row>
    <row r="1794" spans="1:10" ht="17.25" thickTop="1" thickBot="1" x14ac:dyDescent="0.3">
      <c r="A1794" s="215" t="s">
        <v>4844</v>
      </c>
      <c r="B1794" s="215"/>
      <c r="C1794" s="215"/>
      <c r="D1794" s="215"/>
      <c r="E1794" s="215"/>
      <c r="F1794" s="215"/>
      <c r="G1794" s="215"/>
      <c r="H1794" s="215"/>
      <c r="I1794" s="215"/>
      <c r="J1794" s="215"/>
    </row>
    <row r="1795" spans="1:10" ht="15.95" customHeight="1" x14ac:dyDescent="0.25">
      <c r="A1795" s="19" t="s">
        <v>4846</v>
      </c>
      <c r="B1795" s="216" t="s">
        <v>1</v>
      </c>
      <c r="C1795" s="216" t="s">
        <v>2</v>
      </c>
      <c r="D1795" s="160" t="s">
        <v>4847</v>
      </c>
      <c r="E1795" s="20" t="s">
        <v>4848</v>
      </c>
      <c r="F1795" s="157" t="s">
        <v>3</v>
      </c>
      <c r="G1795" s="157" t="s">
        <v>4</v>
      </c>
      <c r="H1795" s="157" t="s">
        <v>5</v>
      </c>
      <c r="I1795" s="157" t="s">
        <v>6</v>
      </c>
      <c r="J1795" s="218" t="s">
        <v>4849</v>
      </c>
    </row>
    <row r="1796" spans="1:10" ht="17.100000000000001" customHeight="1" thickBot="1" x14ac:dyDescent="0.3">
      <c r="A1796" s="21" t="s">
        <v>4850</v>
      </c>
      <c r="B1796" s="217"/>
      <c r="C1796" s="217"/>
      <c r="D1796" s="161"/>
      <c r="E1796" s="161" t="s">
        <v>4851</v>
      </c>
      <c r="F1796" s="158"/>
      <c r="G1796" s="158"/>
      <c r="H1796" s="158"/>
      <c r="I1796" s="158"/>
      <c r="J1796" s="219"/>
    </row>
    <row r="1797" spans="1:10" ht="15.75" x14ac:dyDescent="0.25">
      <c r="A1797" s="24">
        <f>CADASTROS!$B$1532</f>
        <v>1530</v>
      </c>
      <c r="B1797" s="15" t="str">
        <f>CADASTROS!$C$1532</f>
        <v>Gildélia Pires de Souza</v>
      </c>
      <c r="C1797" s="25"/>
      <c r="D1797" s="42">
        <f>PLANILHA_COLHEITA_DIÁRIA!$I$2313</f>
        <v>33</v>
      </c>
      <c r="E1797" s="17">
        <v>6</v>
      </c>
      <c r="F1797" s="26" t="str">
        <f>CADASTROS!$E$1532</f>
        <v>Cx. Econômica</v>
      </c>
      <c r="G1797" s="24">
        <f>CADASTROS!$F$1532</f>
        <v>949</v>
      </c>
      <c r="H1797" s="26">
        <f>CADASTROS!$G$1532</f>
        <v>23</v>
      </c>
      <c r="I1797" s="16" t="str">
        <f>CADASTROS!$H$1532</f>
        <v>00026204-7</v>
      </c>
      <c r="J1797" s="18">
        <f t="shared" ref="J1797:J1806" si="88">D1797*E1797</f>
        <v>198</v>
      </c>
    </row>
    <row r="1798" spans="1:10" ht="15.75" x14ac:dyDescent="0.25">
      <c r="A1798" s="24">
        <f>CADASTROS!$B$1533</f>
        <v>1531</v>
      </c>
      <c r="B1798" s="15" t="str">
        <f>CADASTROS!$C$1533</f>
        <v>Dilma Alves da Silva</v>
      </c>
      <c r="C1798" s="25"/>
      <c r="D1798" s="42">
        <f>PLANILHA_COLHEITA_DIÁRIA!$I$2314</f>
        <v>24</v>
      </c>
      <c r="E1798" s="17">
        <v>6</v>
      </c>
      <c r="F1798" s="26" t="str">
        <f>CADASTROS!$E$1533</f>
        <v>Cx. Econômica</v>
      </c>
      <c r="G1798" s="24">
        <f>CADASTROS!$F$1533</f>
        <v>780</v>
      </c>
      <c r="H1798" s="26">
        <f>CADASTROS!$G$1533</f>
        <v>23</v>
      </c>
      <c r="I1798" s="16" t="str">
        <f>CADASTROS!$H$1533</f>
        <v>00013884-4</v>
      </c>
      <c r="J1798" s="18">
        <f t="shared" si="88"/>
        <v>144</v>
      </c>
    </row>
    <row r="1799" spans="1:10" ht="15.75" x14ac:dyDescent="0.25">
      <c r="A1799" s="24">
        <f>CADASTROS!$B$1534</f>
        <v>1532</v>
      </c>
      <c r="B1799" s="15" t="str">
        <f>CADASTROS!$C$1534</f>
        <v>Sebastião Macaúbas Santos</v>
      </c>
      <c r="C1799" s="25"/>
      <c r="D1799" s="35">
        <f>PLANILHA_COLHEITA_DIÁRIA!$I$2315</f>
        <v>0</v>
      </c>
      <c r="E1799" s="17">
        <v>6</v>
      </c>
      <c r="F1799" s="26" t="str">
        <f>CADASTROS!$E$1534</f>
        <v>Banco do Brasil</v>
      </c>
      <c r="G1799" s="24" t="str">
        <f>CADASTROS!$F$1534</f>
        <v>3833-4</v>
      </c>
      <c r="H1799" s="26" t="str">
        <f>CADASTROS!$G$1534</f>
        <v>c/corr</v>
      </c>
      <c r="I1799" s="16" t="str">
        <f>CADASTROS!$H$1534</f>
        <v>8.282-1</v>
      </c>
      <c r="J1799" s="18">
        <f t="shared" si="88"/>
        <v>0</v>
      </c>
    </row>
    <row r="1800" spans="1:10" ht="15.75" x14ac:dyDescent="0.25">
      <c r="A1800" s="24">
        <f>CADASTROS!$B$1535</f>
        <v>1533</v>
      </c>
      <c r="B1800" s="15" t="str">
        <f>CADASTROS!$C$1535</f>
        <v>Delmires Miranda</v>
      </c>
      <c r="C1800" s="25"/>
      <c r="D1800" s="53">
        <f>PLANILHA_COLHEITA_DIÁRIA!$I$2316</f>
        <v>0</v>
      </c>
      <c r="E1800" s="17">
        <v>6</v>
      </c>
      <c r="F1800" s="26" t="str">
        <f>CADASTROS!$E$1535</f>
        <v>Cx. Econômica</v>
      </c>
      <c r="G1800" s="24">
        <f>CADASTROS!$F$1535</f>
        <v>4825</v>
      </c>
      <c r="H1800" s="26">
        <f>CADASTROS!$G$1535</f>
        <v>13</v>
      </c>
      <c r="I1800" s="16" t="str">
        <f>CADASTROS!$H$1535</f>
        <v>00022660-0</v>
      </c>
      <c r="J1800" s="18">
        <f t="shared" si="88"/>
        <v>0</v>
      </c>
    </row>
    <row r="1801" spans="1:10" ht="15.75" x14ac:dyDescent="0.25">
      <c r="A1801" s="24">
        <f>CADASTROS!$B$1536</f>
        <v>1534</v>
      </c>
      <c r="B1801" s="15" t="str">
        <f>CADASTROS!$C$1536</f>
        <v>Ideane Jesus de Oliveira</v>
      </c>
      <c r="C1801" s="25"/>
      <c r="D1801" s="42">
        <f>PLANILHA_COLHEITA_DIÁRIA!$I$2328</f>
        <v>48</v>
      </c>
      <c r="E1801" s="17">
        <v>6</v>
      </c>
      <c r="F1801" s="26" t="str">
        <f>CADASTROS!$E$1536</f>
        <v>Bradesco</v>
      </c>
      <c r="G1801" s="24" t="str">
        <f>CADASTROS!$F$1536</f>
        <v>3801-6</v>
      </c>
      <c r="H1801" s="26" t="str">
        <f>CADASTROS!$G$1536</f>
        <v>poup</v>
      </c>
      <c r="I1801" s="16" t="str">
        <f>CADASTROS!$H$1536</f>
        <v>1000216-8</v>
      </c>
      <c r="J1801" s="18">
        <f t="shared" si="88"/>
        <v>288</v>
      </c>
    </row>
    <row r="1802" spans="1:10" ht="15.75" x14ac:dyDescent="0.25">
      <c r="A1802" s="24">
        <f>CADASTROS!$B$1537</f>
        <v>1535</v>
      </c>
      <c r="B1802" s="15" t="str">
        <f>CADASTROS!$C$1537</f>
        <v>Edimar Araújo da Silva</v>
      </c>
      <c r="C1802" s="25"/>
      <c r="D1802" s="53">
        <f>PLANILHA_COLHEITA_DIÁRIA!$I$2329</f>
        <v>101.5</v>
      </c>
      <c r="E1802" s="17">
        <v>6</v>
      </c>
      <c r="F1802" s="26" t="str">
        <f>CADASTROS!$E$1537</f>
        <v>Cx. Econômica</v>
      </c>
      <c r="G1802" s="24">
        <f>CADASTROS!$F$1537</f>
        <v>949</v>
      </c>
      <c r="H1802" s="26">
        <f>CADASTROS!$G$1537</f>
        <v>13</v>
      </c>
      <c r="I1802" s="16" t="str">
        <f>CADASTROS!$H$1537</f>
        <v>00038071-9</v>
      </c>
      <c r="J1802" s="18">
        <f t="shared" si="88"/>
        <v>609</v>
      </c>
    </row>
    <row r="1803" spans="1:10" ht="15.75" x14ac:dyDescent="0.25">
      <c r="A1803" s="24">
        <f>CADASTROS!$B$1538</f>
        <v>1536</v>
      </c>
      <c r="B1803" s="15" t="str">
        <f>CADASTROS!$C$1538</f>
        <v>Carlos Cardoso dos Santos</v>
      </c>
      <c r="C1803" s="25"/>
      <c r="D1803" s="35">
        <f>PLANILHA_COLHEITA_DIÁRIA!$I$2330</f>
        <v>100</v>
      </c>
      <c r="E1803" s="17">
        <v>6</v>
      </c>
      <c r="F1803" s="26" t="str">
        <f>CADASTROS!$E$1538</f>
        <v>Cx. Econômica</v>
      </c>
      <c r="G1803" s="24">
        <f>CADASTROS!$F$1538</f>
        <v>4818</v>
      </c>
      <c r="H1803" s="26">
        <f>CADASTROS!$G$1538</f>
        <v>13</v>
      </c>
      <c r="I1803" s="16" t="str">
        <f>CADASTROS!$H$1538</f>
        <v>00002854-1</v>
      </c>
      <c r="J1803" s="18">
        <f t="shared" si="88"/>
        <v>600</v>
      </c>
    </row>
    <row r="1804" spans="1:10" ht="15.75" x14ac:dyDescent="0.25">
      <c r="A1804" s="24">
        <f>CADASTROS!$B$1539</f>
        <v>1537</v>
      </c>
      <c r="B1804" s="15" t="str">
        <f>CADASTROS!$C$1539</f>
        <v>Eliana Souza Pereira</v>
      </c>
      <c r="C1804" s="25"/>
      <c r="D1804" s="53">
        <f>PLANILHA_COLHEITA_DIÁRIA!$I$2331</f>
        <v>0</v>
      </c>
      <c r="E1804" s="17">
        <v>6</v>
      </c>
      <c r="F1804" s="26" t="str">
        <f>CADASTROS!$E$1539</f>
        <v>Cx. Econômica</v>
      </c>
      <c r="G1804" s="24">
        <f>CADASTROS!$F$1539</f>
        <v>4818</v>
      </c>
      <c r="H1804" s="26">
        <f>CADASTROS!$G$1539</f>
        <v>13</v>
      </c>
      <c r="I1804" s="16" t="str">
        <f>CADASTROS!$H$1539</f>
        <v>00012817-1</v>
      </c>
      <c r="J1804" s="18">
        <f t="shared" si="88"/>
        <v>0</v>
      </c>
    </row>
    <row r="1805" spans="1:10" ht="15.75" x14ac:dyDescent="0.25">
      <c r="A1805" s="24">
        <f>CADASTROS!$B$1540</f>
        <v>1538</v>
      </c>
      <c r="B1805" s="15" t="str">
        <f>CADASTROS!$C$1540</f>
        <v>Robervaldo Pereira Barbosa</v>
      </c>
      <c r="C1805" s="25"/>
      <c r="D1805" s="53">
        <f>PLANILHA_COLHEITA_DIÁRIA!$I$2332</f>
        <v>0</v>
      </c>
      <c r="E1805" s="17">
        <v>6</v>
      </c>
      <c r="F1805" s="26" t="str">
        <f>CADASTROS!$E$1540</f>
        <v>Bradesco</v>
      </c>
      <c r="G1805" s="24" t="str">
        <f>CADASTROS!$F$1540</f>
        <v>3801-6</v>
      </c>
      <c r="H1805" s="26" t="str">
        <f>CADASTROS!$G$1540</f>
        <v>poup</v>
      </c>
      <c r="I1805" s="16" t="str">
        <f>CADASTROS!$H$1540</f>
        <v>0064298-3</v>
      </c>
      <c r="J1805" s="18">
        <f t="shared" si="88"/>
        <v>0</v>
      </c>
    </row>
    <row r="1806" spans="1:10" ht="15.75" x14ac:dyDescent="0.25">
      <c r="A1806" s="24">
        <f>CADASTROS!$B$1541</f>
        <v>1539</v>
      </c>
      <c r="B1806" s="15" t="str">
        <f>CADASTROS!$C$1541</f>
        <v>Pedro Francisco de Oliveira</v>
      </c>
      <c r="C1806" s="25"/>
      <c r="D1806" s="53">
        <f>PLANILHA_COLHEITA_DIÁRIA!$I$2333</f>
        <v>11</v>
      </c>
      <c r="E1806" s="17">
        <v>6</v>
      </c>
      <c r="F1806" s="26" t="str">
        <f>CADASTROS!$E$1541</f>
        <v>Bradesco</v>
      </c>
      <c r="G1806" s="24" t="str">
        <f>CADASTROS!$F$1541</f>
        <v>3655-2</v>
      </c>
      <c r="H1806" s="26" t="str">
        <f>CADASTROS!$G$1541</f>
        <v>c/corr</v>
      </c>
      <c r="I1806" s="16" t="str">
        <f>CADASTROS!$H$1541</f>
        <v>0520953-6</v>
      </c>
      <c r="J1806" s="18">
        <f t="shared" si="88"/>
        <v>66</v>
      </c>
    </row>
    <row r="1807" spans="1:10" ht="15.75" x14ac:dyDescent="0.25">
      <c r="A1807" s="24">
        <f>CADASTROS!$B$1542</f>
        <v>1540</v>
      </c>
      <c r="B1807" s="15" t="str">
        <f>CADASTROS!$C$1542</f>
        <v>Santa Maria de Morais</v>
      </c>
      <c r="C1807" s="25"/>
      <c r="D1807" s="42">
        <f>PLANILHA_COLHEITA_DIÁRIA!$I$2334</f>
        <v>194.5</v>
      </c>
      <c r="E1807" s="17">
        <v>6</v>
      </c>
      <c r="F1807" s="26" t="str">
        <f>CADASTROS!$E$1542</f>
        <v>Cx. Econômica</v>
      </c>
      <c r="G1807" s="24">
        <f>CADASTROS!$F$1542</f>
        <v>949</v>
      </c>
      <c r="H1807" s="26">
        <f>CADASTROS!$G$1542</f>
        <v>23</v>
      </c>
      <c r="I1807" s="16" t="str">
        <f>CADASTROS!$H$1542</f>
        <v>00008882-9</v>
      </c>
      <c r="J1807" s="18">
        <f t="shared" ref="J1807:J1816" si="89">D1807*E1807</f>
        <v>1167</v>
      </c>
    </row>
    <row r="1808" spans="1:10" ht="15.75" x14ac:dyDescent="0.25">
      <c r="A1808" s="24">
        <f>CADASTROS!$B$1543</f>
        <v>1541</v>
      </c>
      <c r="B1808" s="15" t="str">
        <f>CADASTROS!$C$1543</f>
        <v>Gildásio Carvalho Santos</v>
      </c>
      <c r="C1808" s="25"/>
      <c r="D1808" s="42">
        <f>PLANILHA_COLHEITA_DIÁRIA!$I$2335</f>
        <v>0</v>
      </c>
      <c r="E1808" s="17">
        <v>6</v>
      </c>
      <c r="F1808" s="26" t="str">
        <f>CADASTROS!$E$1543</f>
        <v>Cx. Econômica</v>
      </c>
      <c r="G1808" s="24">
        <f>CADASTROS!$F$1543</f>
        <v>949</v>
      </c>
      <c r="H1808" s="26">
        <f>CADASTROS!$G$1543</f>
        <v>13</v>
      </c>
      <c r="I1808" s="16" t="str">
        <f>CADASTROS!$H$1543</f>
        <v>00024099-2</v>
      </c>
      <c r="J1808" s="18">
        <f t="shared" si="89"/>
        <v>0</v>
      </c>
    </row>
    <row r="1809" spans="1:10" ht="15.75" x14ac:dyDescent="0.25">
      <c r="A1809" s="24">
        <f>CADASTROS!$B$1544</f>
        <v>1542</v>
      </c>
      <c r="B1809" s="15" t="str">
        <f>CADASTROS!$C$1544</f>
        <v>Mª Aparecida Santos de Jesus</v>
      </c>
      <c r="C1809" s="25"/>
      <c r="D1809" s="42">
        <f>PLANILHA_COLHEITA_DIÁRIA!$I$2336</f>
        <v>81</v>
      </c>
      <c r="E1809" s="17">
        <v>6</v>
      </c>
      <c r="F1809" s="26" t="str">
        <f>CADASTROS!$E$1544</f>
        <v>Cx. Econômica</v>
      </c>
      <c r="G1809" s="24">
        <f>CADASTROS!$F$1544</f>
        <v>949</v>
      </c>
      <c r="H1809" s="26">
        <f>CADASTROS!$G$1544</f>
        <v>23</v>
      </c>
      <c r="I1809" s="16" t="str">
        <f>CADASTROS!$H$1544</f>
        <v>00020776-3</v>
      </c>
      <c r="J1809" s="18">
        <f t="shared" si="89"/>
        <v>486</v>
      </c>
    </row>
    <row r="1810" spans="1:10" ht="15.75" x14ac:dyDescent="0.25">
      <c r="A1810" s="24">
        <f>CADASTROS!$B$1545</f>
        <v>1543</v>
      </c>
      <c r="B1810" s="15" t="str">
        <f>CADASTROS!$C$1545</f>
        <v>Móises Marques de Sousa</v>
      </c>
      <c r="C1810" s="25"/>
      <c r="D1810" s="35">
        <f>PLANILHA_COLHEITA_DIÁRIA!$I$2337</f>
        <v>0</v>
      </c>
      <c r="E1810" s="17">
        <v>6</v>
      </c>
      <c r="F1810" s="26" t="str">
        <f>CADASTROS!$E$1545</f>
        <v>Cx. Econômica</v>
      </c>
      <c r="G1810" s="24">
        <f>CADASTROS!$F$1545</f>
        <v>4825</v>
      </c>
      <c r="H1810" s="26">
        <f>CADASTROS!$G$1545</f>
        <v>13</v>
      </c>
      <c r="I1810" s="16" t="str">
        <f>CADASTROS!$H$1545</f>
        <v>00008666-3</v>
      </c>
      <c r="J1810" s="18">
        <f t="shared" si="89"/>
        <v>0</v>
      </c>
    </row>
    <row r="1811" spans="1:10" ht="15.75" x14ac:dyDescent="0.25">
      <c r="A1811" s="24">
        <f>CADASTROS!$B$1546</f>
        <v>1544</v>
      </c>
      <c r="B1811" s="15" t="str">
        <f>CADASTROS!$C$1546</f>
        <v>John Lennon Teles de Lima</v>
      </c>
      <c r="C1811" s="25"/>
      <c r="D1811" s="35">
        <f>PLANILHA_COLHEITA_DIÁRIA!$I$2338</f>
        <v>0</v>
      </c>
      <c r="E1811" s="17">
        <v>6</v>
      </c>
      <c r="F1811" s="26" t="str">
        <f>CADASTROS!$E$1546</f>
        <v>Bradesco</v>
      </c>
      <c r="G1811" s="24">
        <f>CADASTROS!$F$1546</f>
        <v>7802</v>
      </c>
      <c r="H1811" s="26">
        <f>CADASTROS!$G$1546</f>
        <v>0</v>
      </c>
      <c r="I1811" s="16" t="str">
        <f>CADASTROS!$H$1546</f>
        <v>428062-8</v>
      </c>
      <c r="J1811" s="18">
        <f t="shared" si="89"/>
        <v>0</v>
      </c>
    </row>
    <row r="1812" spans="1:10" ht="15.75" x14ac:dyDescent="0.25">
      <c r="A1812" s="24">
        <f>CADASTROS!$B$1547</f>
        <v>1545</v>
      </c>
      <c r="B1812" s="15" t="str">
        <f>CADASTROS!$C$1547</f>
        <v>Apolonio F. Conceição</v>
      </c>
      <c r="C1812" s="25"/>
      <c r="D1812" s="35">
        <f>PLANILHA_COLHEITA_DIÁRIA!$I$2339</f>
        <v>81.5</v>
      </c>
      <c r="E1812" s="17">
        <v>6</v>
      </c>
      <c r="F1812" s="26" t="str">
        <f>CADASTROS!$E$1547</f>
        <v>Cx. Econômica</v>
      </c>
      <c r="G1812" s="24">
        <f>CADASTROS!$F$1547</f>
        <v>4825</v>
      </c>
      <c r="H1812" s="26">
        <f>CADASTROS!$G$1547</f>
        <v>13</v>
      </c>
      <c r="I1812" s="16" t="str">
        <f>CADASTROS!$H$1547</f>
        <v>00018439-8</v>
      </c>
      <c r="J1812" s="18">
        <f t="shared" si="89"/>
        <v>489</v>
      </c>
    </row>
    <row r="1813" spans="1:10" ht="15.75" x14ac:dyDescent="0.25">
      <c r="A1813" s="24">
        <f>CADASTROS!$B$1548</f>
        <v>1546</v>
      </c>
      <c r="B1813" s="15" t="str">
        <f>CADASTROS!$C$1548</f>
        <v>Paulino Marques da Silva</v>
      </c>
      <c r="C1813" s="25"/>
      <c r="D1813" s="42">
        <f>PLANILHA_COLHEITA_DIÁRIA!$I$2340</f>
        <v>47.5</v>
      </c>
      <c r="E1813" s="17">
        <v>6</v>
      </c>
      <c r="F1813" s="26" t="str">
        <f>CADASTROS!$E$1548</f>
        <v>Cx. Econômica</v>
      </c>
      <c r="G1813" s="24">
        <f>CADASTROS!$F$1548</f>
        <v>4825</v>
      </c>
      <c r="H1813" s="26">
        <f>CADASTROS!$G$1548</f>
        <v>13</v>
      </c>
      <c r="I1813" s="16" t="str">
        <f>CADASTROS!$H$1548</f>
        <v>856456684-0</v>
      </c>
      <c r="J1813" s="18">
        <f t="shared" si="89"/>
        <v>285</v>
      </c>
    </row>
    <row r="1814" spans="1:10" ht="15.75" x14ac:dyDescent="0.25">
      <c r="A1814" s="24">
        <f>CADASTROS!$B$1549</f>
        <v>1547</v>
      </c>
      <c r="B1814" s="15" t="str">
        <f>CADASTROS!$C$1549</f>
        <v>Silene Fernandes da Silva</v>
      </c>
      <c r="C1814" s="25"/>
      <c r="D1814" s="53">
        <f>PLANILHA_COLHEITA_DIÁRIA!$I$2341</f>
        <v>5</v>
      </c>
      <c r="E1814" s="17">
        <v>6</v>
      </c>
      <c r="F1814" s="26" t="str">
        <f>CADASTROS!$E$1549</f>
        <v>Cx. Econômica</v>
      </c>
      <c r="G1814" s="24">
        <f>CADASTROS!$F$1549</f>
        <v>780</v>
      </c>
      <c r="H1814" s="26">
        <f>CADASTROS!$G$1549</f>
        <v>0</v>
      </c>
      <c r="I1814" s="16" t="str">
        <f>CADASTROS!$H$1549</f>
        <v>000805746791-4</v>
      </c>
      <c r="J1814" s="18">
        <f t="shared" si="89"/>
        <v>30</v>
      </c>
    </row>
    <row r="1815" spans="1:10" ht="15.75" x14ac:dyDescent="0.25">
      <c r="A1815" s="24">
        <f>CADASTROS!$B$1550</f>
        <v>1548</v>
      </c>
      <c r="B1815" s="15" t="str">
        <f>CADASTROS!$C$1550</f>
        <v>Marilene de Jesus Ribeiro</v>
      </c>
      <c r="C1815" s="25"/>
      <c r="D1815" s="42">
        <f>PLANILHA_COLHEITA_DIÁRIA!$I$2342</f>
        <v>0</v>
      </c>
      <c r="E1815" s="17">
        <v>6</v>
      </c>
      <c r="F1815" s="26" t="str">
        <f>CADASTROS!$E$1550</f>
        <v>Cx. Econômica</v>
      </c>
      <c r="G1815" s="24">
        <f>CADASTROS!$F$1550</f>
        <v>780</v>
      </c>
      <c r="H1815" s="26">
        <f>CADASTROS!$G$1550</f>
        <v>23</v>
      </c>
      <c r="I1815" s="16" t="str">
        <f>CADASTROS!$H$1550</f>
        <v>00012137-2</v>
      </c>
      <c r="J1815" s="18">
        <f t="shared" si="89"/>
        <v>0</v>
      </c>
    </row>
    <row r="1816" spans="1:10" ht="15.75" x14ac:dyDescent="0.25">
      <c r="A1816" s="24">
        <f>CADASTROS!$B$1551</f>
        <v>1549</v>
      </c>
      <c r="B1816" s="15" t="str">
        <f>CADASTROS!$C$1551</f>
        <v>Cícero Severino dos Santos</v>
      </c>
      <c r="C1816" s="25"/>
      <c r="D1816" s="35">
        <f>PLANILHA_COLHEITA_DIÁRIA!$I$2343</f>
        <v>10</v>
      </c>
      <c r="E1816" s="17">
        <v>6</v>
      </c>
      <c r="F1816" s="26" t="str">
        <f>CADASTROS!$E$1551</f>
        <v>Bradesco</v>
      </c>
      <c r="G1816" s="24">
        <f>CADASTROS!$F$1551</f>
        <v>3801</v>
      </c>
      <c r="H1816" s="26" t="str">
        <f>CADASTROS!$G$1551</f>
        <v>poup</v>
      </c>
      <c r="I1816" s="16" t="str">
        <f>CADASTROS!$H$1551</f>
        <v>0063057-8</v>
      </c>
      <c r="J1816" s="18">
        <f t="shared" si="89"/>
        <v>60</v>
      </c>
    </row>
    <row r="1817" spans="1:10" ht="15.75" x14ac:dyDescent="0.25">
      <c r="A1817" s="24">
        <f>CADASTROS!$B$1552</f>
        <v>1550</v>
      </c>
      <c r="B1817" s="15" t="str">
        <f>CADASTROS!$C$1552</f>
        <v>Núbia Aquino de Souza</v>
      </c>
      <c r="C1817" s="25"/>
      <c r="D1817" s="35">
        <f>PLANILHA_COLHEITA_DIÁRIA!$I$2344</f>
        <v>12</v>
      </c>
      <c r="E1817" s="17">
        <v>6</v>
      </c>
      <c r="F1817" s="26" t="str">
        <f>CADASTROS!$E$1552</f>
        <v>Cx. Econômica</v>
      </c>
      <c r="G1817" s="24">
        <f>CADASTROS!$F$1552</f>
        <v>4825</v>
      </c>
      <c r="H1817" s="26">
        <f>CADASTROS!$G$1552</f>
        <v>1288</v>
      </c>
      <c r="I1817" s="16" t="str">
        <f>CADASTROS!$H$1552</f>
        <v>791913215-1</v>
      </c>
      <c r="J1817" s="18">
        <f t="shared" ref="J1817:J1818" si="90">D1817*E1817</f>
        <v>72</v>
      </c>
    </row>
    <row r="1818" spans="1:10" ht="15.75" x14ac:dyDescent="0.25">
      <c r="A1818" s="24">
        <f>CADASTROS!$B$1553</f>
        <v>1551</v>
      </c>
      <c r="B1818" s="15" t="str">
        <f>CADASTROS!$C$1553</f>
        <v>Eliane Souza dos Santos</v>
      </c>
      <c r="C1818" s="25"/>
      <c r="D1818" s="35">
        <f>PLANILHA_COLHEITA_DIÁRIA!$I$2345</f>
        <v>14</v>
      </c>
      <c r="E1818" s="17">
        <v>6</v>
      </c>
      <c r="F1818" s="26" t="str">
        <f>CADASTROS!$E$1553</f>
        <v>Bradesco</v>
      </c>
      <c r="G1818" s="24" t="str">
        <f>CADASTROS!$F$1553</f>
        <v>3801-6</v>
      </c>
      <c r="H1818" s="26" t="str">
        <f>CADASTROS!$G$1553</f>
        <v>poup</v>
      </c>
      <c r="I1818" s="16" t="str">
        <f>CADASTROS!$H$1553</f>
        <v>0350170-1</v>
      </c>
      <c r="J1818" s="18">
        <f t="shared" si="90"/>
        <v>84</v>
      </c>
    </row>
    <row r="1819" spans="1:10" ht="15.75" x14ac:dyDescent="0.25">
      <c r="A1819" s="24">
        <f>CADASTROS!$B$1554</f>
        <v>1552</v>
      </c>
      <c r="B1819" s="15" t="str">
        <f>CADASTROS!$C$1554</f>
        <v>Emerson Oliveira Costa</v>
      </c>
      <c r="C1819" s="25"/>
      <c r="D1819" s="53">
        <f>PLANILHA_COLHEITA_DIÁRIA!$I$2346</f>
        <v>160.5</v>
      </c>
      <c r="E1819" s="17">
        <v>6</v>
      </c>
      <c r="F1819" s="26" t="str">
        <f>CADASTROS!$E$1554</f>
        <v>Bradesco</v>
      </c>
      <c r="G1819" s="24" t="str">
        <f>CADASTROS!$F$1554</f>
        <v>2556-9</v>
      </c>
      <c r="H1819" s="26" t="str">
        <f>CADASTROS!$G$1554</f>
        <v>poup</v>
      </c>
      <c r="I1819" s="16" t="str">
        <f>CADASTROS!$H$1554</f>
        <v>0011255-0</v>
      </c>
      <c r="J1819" s="18">
        <f t="shared" ref="J1819:J1824" si="91">D1819*E1819</f>
        <v>963</v>
      </c>
    </row>
    <row r="1820" spans="1:10" ht="15.75" x14ac:dyDescent="0.25">
      <c r="A1820" s="24">
        <f>CADASTROS!$B$1555</f>
        <v>1553</v>
      </c>
      <c r="B1820" s="15" t="str">
        <f>CADASTROS!$C$1555</f>
        <v>Cristian Nilton S Pires</v>
      </c>
      <c r="C1820" s="25"/>
      <c r="D1820" s="35">
        <f>PLANILHA_COLHEITA_DIÁRIA!$I$2347</f>
        <v>61.5</v>
      </c>
      <c r="E1820" s="17">
        <v>6</v>
      </c>
      <c r="F1820" s="26" t="str">
        <f>CADASTROS!$E$1555</f>
        <v>Cx. Econômica</v>
      </c>
      <c r="G1820" s="24">
        <f>CADASTROS!$F$1555</f>
        <v>4825</v>
      </c>
      <c r="H1820" s="26">
        <f>CADASTROS!$G$1555</f>
        <v>13</v>
      </c>
      <c r="I1820" s="16" t="str">
        <f>CADASTROS!$H$1555</f>
        <v>933934155-0</v>
      </c>
      <c r="J1820" s="18">
        <f t="shared" si="91"/>
        <v>369</v>
      </c>
    </row>
    <row r="1821" spans="1:10" ht="15.75" x14ac:dyDescent="0.25">
      <c r="A1821" s="24">
        <f>CADASTROS!$B$1556</f>
        <v>1554</v>
      </c>
      <c r="B1821" s="15" t="str">
        <f>CADASTROS!$C$1556</f>
        <v>Alailson Almeida de Souza</v>
      </c>
      <c r="C1821" s="25"/>
      <c r="D1821" s="35">
        <f>PLANILHA_COLHEITA_DIÁRIA!$I$2348</f>
        <v>85</v>
      </c>
      <c r="E1821" s="17">
        <v>6</v>
      </c>
      <c r="F1821" s="26" t="str">
        <f>CADASTROS!$E$1556</f>
        <v>Cx. Econômica</v>
      </c>
      <c r="G1821" s="24">
        <f>CADASTROS!$F$1556</f>
        <v>4825</v>
      </c>
      <c r="H1821" s="26">
        <f>CADASTROS!$G$1556</f>
        <v>13</v>
      </c>
      <c r="I1821" s="16" t="str">
        <f>CADASTROS!$H$1556</f>
        <v>00007988-8</v>
      </c>
      <c r="J1821" s="18">
        <f t="shared" si="91"/>
        <v>510</v>
      </c>
    </row>
    <row r="1822" spans="1:10" ht="15.75" x14ac:dyDescent="0.25">
      <c r="A1822" s="24">
        <f>CADASTROS!$B$1557</f>
        <v>1555</v>
      </c>
      <c r="B1822" s="15" t="str">
        <f>CADASTROS!$C$1557</f>
        <v>Lucas Soares Belo</v>
      </c>
      <c r="C1822" s="25"/>
      <c r="D1822" s="35">
        <f>PLANILHA_COLHEITA_DIÁRIA!$I$2349</f>
        <v>104.5</v>
      </c>
      <c r="E1822" s="17">
        <v>6</v>
      </c>
      <c r="F1822" s="26" t="str">
        <f>CADASTROS!$E$1557</f>
        <v>Cx. Econômica</v>
      </c>
      <c r="G1822" s="24">
        <f>CADASTROS!$F$1557</f>
        <v>4818</v>
      </c>
      <c r="H1822" s="26">
        <f>CADASTROS!$G$1557</f>
        <v>13</v>
      </c>
      <c r="I1822" s="16" t="str">
        <f>CADASTROS!$H$1557</f>
        <v>00015000-2</v>
      </c>
      <c r="J1822" s="18">
        <f t="shared" si="91"/>
        <v>627</v>
      </c>
    </row>
    <row r="1823" spans="1:10" ht="15.75" x14ac:dyDescent="0.25">
      <c r="A1823" s="24">
        <f>CADASTROS!$B$1558</f>
        <v>1556</v>
      </c>
      <c r="B1823" s="15" t="str">
        <f>CADASTROS!$C$1558</f>
        <v>Cleomaria Lira Neres Sousa</v>
      </c>
      <c r="C1823" s="25"/>
      <c r="D1823" s="35">
        <f>PLANILHA_COLHEITA_DIÁRIA!$I$2350</f>
        <v>20</v>
      </c>
      <c r="E1823" s="17">
        <v>6</v>
      </c>
      <c r="F1823" s="26" t="str">
        <f>CADASTROS!$E$1558</f>
        <v>Bradesco</v>
      </c>
      <c r="G1823" s="24" t="str">
        <f>CADASTROS!$F$1558</f>
        <v>7526-4</v>
      </c>
      <c r="H1823" s="26" t="str">
        <f>CADASTROS!$G$1558</f>
        <v>poup</v>
      </c>
      <c r="I1823" s="16" t="str">
        <f>CADASTROS!$H$1558</f>
        <v>0637718-1</v>
      </c>
      <c r="J1823" s="18">
        <f t="shared" si="91"/>
        <v>120</v>
      </c>
    </row>
    <row r="1824" spans="1:10" ht="15.75" x14ac:dyDescent="0.25">
      <c r="A1824" s="24">
        <f>CADASTROS!$B$1559</f>
        <v>1557</v>
      </c>
      <c r="B1824" s="15" t="str">
        <f>CADASTROS!$C$1559</f>
        <v>Aline Moares Gabriel</v>
      </c>
      <c r="C1824" s="25"/>
      <c r="D1824" s="35">
        <f>PLANILHA_COLHEITA_DIÁRIA!$I$2351</f>
        <v>32</v>
      </c>
      <c r="E1824" s="17">
        <v>6</v>
      </c>
      <c r="F1824" s="26" t="str">
        <f>CADASTROS!$E$1559</f>
        <v>Bradesco</v>
      </c>
      <c r="G1824" s="24" t="str">
        <f>CADASTROS!$F$1559</f>
        <v>3801-6</v>
      </c>
      <c r="H1824" s="26" t="str">
        <f>CADASTROS!$G$1559</f>
        <v>poup</v>
      </c>
      <c r="I1824" s="16" t="str">
        <f>CADASTROS!$H$1559</f>
        <v>0001037-5</v>
      </c>
      <c r="J1824" s="18">
        <f t="shared" si="91"/>
        <v>192</v>
      </c>
    </row>
    <row r="1825" spans="1:10" ht="15.75" x14ac:dyDescent="0.25">
      <c r="A1825" s="24">
        <f>CADASTROS!$B$1560</f>
        <v>1558</v>
      </c>
      <c r="B1825" s="15" t="str">
        <f>CADASTROS!$C$1560</f>
        <v>Ana Maria Santos Soares</v>
      </c>
      <c r="C1825" s="25"/>
      <c r="D1825" s="42">
        <f>PLANILHA_COLHEITA_DIÁRIA!$I$2352</f>
        <v>18</v>
      </c>
      <c r="E1825" s="17">
        <v>6</v>
      </c>
      <c r="F1825" s="26" t="str">
        <f>CADASTROS!$E$1560</f>
        <v>Cx. Econômica</v>
      </c>
      <c r="G1825" s="24">
        <f>CADASTROS!$F$1560</f>
        <v>949</v>
      </c>
      <c r="H1825" s="26">
        <f>CADASTROS!$G$1560</f>
        <v>23</v>
      </c>
      <c r="I1825" s="16" t="str">
        <f>CADASTROS!$H$1560</f>
        <v>00011461-7</v>
      </c>
      <c r="J1825" s="18">
        <f t="shared" ref="J1825:J1837" si="92">D1825*E1825</f>
        <v>108</v>
      </c>
    </row>
    <row r="1826" spans="1:10" ht="15.75" x14ac:dyDescent="0.25">
      <c r="A1826" s="24">
        <f>CADASTROS!$B$1561</f>
        <v>1559</v>
      </c>
      <c r="B1826" s="15" t="str">
        <f>CADASTROS!$C$1561</f>
        <v>Agostinho Jesus Oliveira</v>
      </c>
      <c r="C1826" s="25"/>
      <c r="D1826" s="42">
        <f>PLANILHA_COLHEITA_DIÁRIA!$I$2353</f>
        <v>134.5</v>
      </c>
      <c r="E1826" s="17">
        <v>6</v>
      </c>
      <c r="F1826" s="26" t="str">
        <f>CADASTROS!$E$1561</f>
        <v>Cx. Econômica</v>
      </c>
      <c r="G1826" s="24">
        <f>CADASTROS!$F$1561</f>
        <v>949</v>
      </c>
      <c r="H1826" s="26">
        <f>CADASTROS!$G$1561</f>
        <v>23</v>
      </c>
      <c r="I1826" s="16" t="str">
        <f>CADASTROS!$H$1561</f>
        <v>00006975-1</v>
      </c>
      <c r="J1826" s="18">
        <f t="shared" si="92"/>
        <v>807</v>
      </c>
    </row>
    <row r="1827" spans="1:10" ht="15.75" x14ac:dyDescent="0.25">
      <c r="A1827" s="24">
        <f>CADASTROS!$B$1562</f>
        <v>1560</v>
      </c>
      <c r="B1827" s="15" t="str">
        <f>CADASTROS!$C$1562</f>
        <v>Elineuza de Souza Pereira</v>
      </c>
      <c r="C1827" s="25"/>
      <c r="D1827" s="35">
        <f>PLANILHA_COLHEITA_DIÁRIA!$I$2354</f>
        <v>58.5</v>
      </c>
      <c r="E1827" s="17">
        <v>6</v>
      </c>
      <c r="F1827" s="26" t="str">
        <f>CADASTROS!$E$1562</f>
        <v>Cx. Econômica</v>
      </c>
      <c r="G1827" s="24">
        <f>CADASTROS!$F$1562</f>
        <v>4825</v>
      </c>
      <c r="H1827" s="26">
        <f>CADASTROS!$G$1562</f>
        <v>13</v>
      </c>
      <c r="I1827" s="16" t="str">
        <f>CADASTROS!$H$1562</f>
        <v>850381562-0</v>
      </c>
      <c r="J1827" s="18">
        <f t="shared" si="92"/>
        <v>351</v>
      </c>
    </row>
    <row r="1828" spans="1:10" ht="15.75" x14ac:dyDescent="0.25">
      <c r="A1828" s="24">
        <f>CADASTROS!$B$1563</f>
        <v>1561</v>
      </c>
      <c r="B1828" s="15" t="str">
        <f>CADASTROS!$C$1563</f>
        <v>Elieusa Sampaio Ramos</v>
      </c>
      <c r="C1828" s="25"/>
      <c r="D1828" s="35">
        <f>PLANILHA_COLHEITA_DIÁRIA!$I$2366</f>
        <v>82.5</v>
      </c>
      <c r="E1828" s="17">
        <v>6</v>
      </c>
      <c r="F1828" s="26" t="str">
        <f>CADASTROS!$E$1563</f>
        <v>Cx. Econômica</v>
      </c>
      <c r="G1828" s="24">
        <f>CADASTROS!$F$1563</f>
        <v>780</v>
      </c>
      <c r="H1828" s="26">
        <f>CADASTROS!$G$1563</f>
        <v>0</v>
      </c>
      <c r="I1828" s="16" t="str">
        <f>CADASTROS!$H$1563</f>
        <v>000835383829-8</v>
      </c>
      <c r="J1828" s="18">
        <f t="shared" si="92"/>
        <v>495</v>
      </c>
    </row>
    <row r="1829" spans="1:10" ht="15.75" x14ac:dyDescent="0.25">
      <c r="A1829" s="24">
        <f>CADASTROS!$B$1564</f>
        <v>1562</v>
      </c>
      <c r="B1829" s="15" t="str">
        <f>CADASTROS!$C$1564</f>
        <v>Odelito Ferreira de Souza</v>
      </c>
      <c r="C1829" s="25"/>
      <c r="D1829" s="42">
        <f>PLANILHA_COLHEITA_DIÁRIA!$I$2367</f>
        <v>23.5</v>
      </c>
      <c r="E1829" s="17">
        <v>6</v>
      </c>
      <c r="F1829" s="26" t="str">
        <f>CADASTROS!$E$1564</f>
        <v>Cx. Econômica</v>
      </c>
      <c r="G1829" s="24">
        <f>CADASTROS!$F$1564</f>
        <v>4139</v>
      </c>
      <c r="H1829" s="26">
        <f>CADASTROS!$G$1564</f>
        <v>13</v>
      </c>
      <c r="I1829" s="16" t="str">
        <f>CADASTROS!$H$1564</f>
        <v>00040301-5</v>
      </c>
      <c r="J1829" s="18">
        <f t="shared" si="92"/>
        <v>141</v>
      </c>
    </row>
    <row r="1830" spans="1:10" ht="15.75" x14ac:dyDescent="0.25">
      <c r="A1830" s="24">
        <f>CADASTROS!$B$1565</f>
        <v>1563</v>
      </c>
      <c r="B1830" s="15" t="str">
        <f>CADASTROS!$C$1565</f>
        <v>Santilha Barbosa da Silva</v>
      </c>
      <c r="C1830" s="25"/>
      <c r="D1830" s="35">
        <f>PLANILHA_COLHEITA_DIÁRIA!$I$2368</f>
        <v>58.5</v>
      </c>
      <c r="E1830" s="17">
        <v>6</v>
      </c>
      <c r="F1830" s="26" t="str">
        <f>CADASTROS!$E$1565</f>
        <v>Cx. Econômica</v>
      </c>
      <c r="G1830" s="24">
        <f>CADASTROS!$F$1565</f>
        <v>4825</v>
      </c>
      <c r="H1830" s="26">
        <f>CADASTROS!$G$1565</f>
        <v>0</v>
      </c>
      <c r="I1830" s="16" t="str">
        <f>CADASTROS!$H$1565</f>
        <v>000858860033-0</v>
      </c>
      <c r="J1830" s="18">
        <f t="shared" si="92"/>
        <v>351</v>
      </c>
    </row>
    <row r="1831" spans="1:10" ht="15.75" x14ac:dyDescent="0.25">
      <c r="A1831" s="24">
        <f>CADASTROS!$B$1566</f>
        <v>1564</v>
      </c>
      <c r="B1831" s="15" t="str">
        <f>CADASTROS!$C$1566</f>
        <v>Ivanilson de Souza Pinto</v>
      </c>
      <c r="C1831" s="25"/>
      <c r="D1831" s="35">
        <f>PLANILHA_COLHEITA_DIÁRIA!$I$2369</f>
        <v>27</v>
      </c>
      <c r="E1831" s="17">
        <v>6</v>
      </c>
      <c r="F1831" s="26" t="str">
        <f>CADASTROS!$E$1566</f>
        <v>Cx. Econômica</v>
      </c>
      <c r="G1831" s="24">
        <f>CADASTROS!$F$1566</f>
        <v>4825</v>
      </c>
      <c r="H1831" s="26">
        <f>CADASTROS!$G$1566</f>
        <v>13</v>
      </c>
      <c r="I1831" s="16" t="str">
        <f>CADASTROS!$H$1566</f>
        <v>00009553-0</v>
      </c>
      <c r="J1831" s="18">
        <f t="shared" si="92"/>
        <v>162</v>
      </c>
    </row>
    <row r="1832" spans="1:10" ht="15.75" x14ac:dyDescent="0.25">
      <c r="A1832" s="24">
        <f>CADASTROS!$B$1567</f>
        <v>1565</v>
      </c>
      <c r="B1832" s="15" t="str">
        <f>CADASTROS!$C$1567</f>
        <v>Iolanda Conceição de Melo</v>
      </c>
      <c r="C1832" s="25"/>
      <c r="D1832" s="35">
        <f>PLANILHA_COLHEITA_DIÁRIA!$I$2370</f>
        <v>40.5</v>
      </c>
      <c r="E1832" s="17">
        <v>6</v>
      </c>
      <c r="F1832" s="26" t="str">
        <f>CADASTROS!$E$1567</f>
        <v>Cx. Econômica</v>
      </c>
      <c r="G1832" s="24">
        <f>CADASTROS!$F$1567</f>
        <v>949</v>
      </c>
      <c r="H1832" s="26">
        <f>CADASTROS!$G$1567</f>
        <v>23</v>
      </c>
      <c r="I1832" s="16" t="str">
        <f>CADASTROS!$H$1567</f>
        <v>00006499-7</v>
      </c>
      <c r="J1832" s="18">
        <f t="shared" si="92"/>
        <v>243</v>
      </c>
    </row>
    <row r="1833" spans="1:10" ht="15.75" x14ac:dyDescent="0.25">
      <c r="A1833" s="24">
        <f>CADASTROS!$B$1568</f>
        <v>1566</v>
      </c>
      <c r="B1833" s="15" t="str">
        <f>CADASTROS!$C$1568</f>
        <v>Dernival D. Moura</v>
      </c>
      <c r="C1833" s="25"/>
      <c r="D1833" s="53">
        <f>PLANILHA_COLHEITA_DIÁRIA!$I$2371</f>
        <v>30</v>
      </c>
      <c r="E1833" s="17">
        <v>6</v>
      </c>
      <c r="F1833" s="26" t="str">
        <f>CADASTROS!$E$1568</f>
        <v>Banco do Brasil</v>
      </c>
      <c r="G1833" s="24" t="str">
        <f>CADASTROS!$F$1568</f>
        <v>2760-X</v>
      </c>
      <c r="H1833" s="26" t="str">
        <f>CADASTROS!$G$1568</f>
        <v>poup</v>
      </c>
      <c r="I1833" s="16" t="str">
        <f>CADASTROS!$H$1568</f>
        <v>10.379-9</v>
      </c>
      <c r="J1833" s="18">
        <f t="shared" si="92"/>
        <v>180</v>
      </c>
    </row>
    <row r="1834" spans="1:10" ht="15.75" x14ac:dyDescent="0.25">
      <c r="A1834" s="24">
        <f>CADASTROS!$B$1569</f>
        <v>1567</v>
      </c>
      <c r="B1834" s="15" t="str">
        <f>CADASTROS!$C$1569</f>
        <v>Maicon Santos de Oliveira</v>
      </c>
      <c r="C1834" s="25"/>
      <c r="D1834" s="35">
        <f>PLANILHA_COLHEITA_DIÁRIA!$I$2372</f>
        <v>8</v>
      </c>
      <c r="E1834" s="17">
        <v>6</v>
      </c>
      <c r="F1834" s="26" t="str">
        <f>CADASTROS!$E$1569</f>
        <v>Banco do Brasil</v>
      </c>
      <c r="G1834" s="24" t="str">
        <f>CADASTROS!$F$1569</f>
        <v>2760-X</v>
      </c>
      <c r="H1834" s="26" t="str">
        <f>CADASTROS!$G$1569</f>
        <v>poup</v>
      </c>
      <c r="I1834" s="16" t="str">
        <f>CADASTROS!$H$1569</f>
        <v>11.784-6</v>
      </c>
      <c r="J1834" s="18">
        <f t="shared" si="92"/>
        <v>48</v>
      </c>
    </row>
    <row r="1835" spans="1:10" ht="15.75" x14ac:dyDescent="0.25">
      <c r="A1835" s="24">
        <f>CADASTROS!$B$1570</f>
        <v>1568</v>
      </c>
      <c r="B1835" s="15" t="str">
        <f>CADASTROS!$C$1570</f>
        <v>Selma Aguida Sá Teles</v>
      </c>
      <c r="C1835" s="25"/>
      <c r="D1835" s="42">
        <f>PLANILHA_COLHEITA_DIÁRIA!$I$2373</f>
        <v>48.5</v>
      </c>
      <c r="E1835" s="17">
        <v>6</v>
      </c>
      <c r="F1835" s="26" t="str">
        <f>CADASTROS!$E$1570</f>
        <v>Cx. Econômica</v>
      </c>
      <c r="G1835" s="24">
        <f>CADASTROS!$F$1570</f>
        <v>4825</v>
      </c>
      <c r="H1835" s="26">
        <f>CADASTROS!$G$1570</f>
        <v>13</v>
      </c>
      <c r="I1835" s="16" t="str">
        <f>CADASTROS!$H$1570</f>
        <v>00023127-2</v>
      </c>
      <c r="J1835" s="18">
        <f t="shared" si="92"/>
        <v>291</v>
      </c>
    </row>
    <row r="1836" spans="1:10" ht="15.75" x14ac:dyDescent="0.25">
      <c r="A1836" s="24">
        <f>CADASTROS!$B$1571</f>
        <v>1569</v>
      </c>
      <c r="B1836" s="15" t="str">
        <f>CADASTROS!$C$1571</f>
        <v>Shirley de S Santos</v>
      </c>
      <c r="C1836" s="25"/>
      <c r="D1836" s="35">
        <f>PLANILHA_COLHEITA_DIÁRIA!$I$2374</f>
        <v>36.5</v>
      </c>
      <c r="E1836" s="17">
        <v>6</v>
      </c>
      <c r="F1836" s="26" t="str">
        <f>CADASTROS!$E$1571</f>
        <v>Cx. Econômica</v>
      </c>
      <c r="G1836" s="24">
        <f>CADASTROS!$F$1571</f>
        <v>4601</v>
      </c>
      <c r="H1836" s="26">
        <f>CADASTROS!$G$1571</f>
        <v>13</v>
      </c>
      <c r="I1836" s="16" t="str">
        <f>CADASTROS!$H$1571</f>
        <v>858890288-3</v>
      </c>
      <c r="J1836" s="18">
        <f t="shared" si="92"/>
        <v>219</v>
      </c>
    </row>
    <row r="1837" spans="1:10" ht="15.75" x14ac:dyDescent="0.25">
      <c r="A1837" s="24">
        <f>CADASTROS!$B$1572</f>
        <v>1570</v>
      </c>
      <c r="B1837" s="15" t="str">
        <f>CADASTROS!$C$1572</f>
        <v>Gessy de Jesus Souza</v>
      </c>
      <c r="C1837" s="25"/>
      <c r="D1837" s="42">
        <f>PLANILHA_COLHEITA_DIÁRIA!$I$2375</f>
        <v>15</v>
      </c>
      <c r="E1837" s="17">
        <v>6</v>
      </c>
      <c r="F1837" s="26" t="str">
        <f>CADASTROS!$E$1572</f>
        <v>Cx. Econômica</v>
      </c>
      <c r="G1837" s="24">
        <f>CADASTROS!$F$1572</f>
        <v>780</v>
      </c>
      <c r="H1837" s="26">
        <f>CADASTROS!$G$1572</f>
        <v>23</v>
      </c>
      <c r="I1837" s="16" t="str">
        <f>CADASTROS!$H$1572</f>
        <v>00010749-3</v>
      </c>
      <c r="J1837" s="18">
        <f t="shared" si="92"/>
        <v>90</v>
      </c>
    </row>
    <row r="1838" spans="1:10" ht="15.75" x14ac:dyDescent="0.25">
      <c r="A1838" s="24">
        <f>CADASTROS!$B$1573</f>
        <v>1571</v>
      </c>
      <c r="B1838" s="15" t="str">
        <f>CADASTROS!$C$1573</f>
        <v>Jorge Rodrigues Oliveira</v>
      </c>
      <c r="C1838" s="25"/>
      <c r="D1838" s="35">
        <f>PLANILHA_COLHEITA_DIÁRIA!$I$2376</f>
        <v>30.5</v>
      </c>
      <c r="E1838" s="17">
        <v>6</v>
      </c>
      <c r="F1838" s="26" t="str">
        <f>CADASTROS!$E$1573</f>
        <v>Cx. Econômica</v>
      </c>
      <c r="G1838" s="24">
        <f>CADASTROS!$F$1573</f>
        <v>4825</v>
      </c>
      <c r="H1838" s="26">
        <f>CADASTROS!$G$1573</f>
        <v>13</v>
      </c>
      <c r="I1838" s="16" t="str">
        <f>CADASTROS!$H$1573</f>
        <v>802529872-6</v>
      </c>
      <c r="J1838" s="18">
        <f t="shared" ref="J1838:J1840" si="93">D1838*E1838</f>
        <v>183</v>
      </c>
    </row>
    <row r="1839" spans="1:10" ht="15.75" x14ac:dyDescent="0.25">
      <c r="A1839" s="24">
        <f>CADASTROS!$B$1574</f>
        <v>1572</v>
      </c>
      <c r="B1839" s="15" t="str">
        <f>CADASTROS!$C$1574</f>
        <v>Viterbo Farias Dias Filho</v>
      </c>
      <c r="C1839" s="25"/>
      <c r="D1839" s="35">
        <f>PLANILHA_COLHEITA_DIÁRIA!$I$2377</f>
        <v>25.5</v>
      </c>
      <c r="E1839" s="17">
        <v>6</v>
      </c>
      <c r="F1839" s="26" t="str">
        <f>CADASTROS!$E$1574</f>
        <v>Banco do Brasil</v>
      </c>
      <c r="G1839" s="24" t="str">
        <f>CADASTROS!$F$1574</f>
        <v>2760-X</v>
      </c>
      <c r="H1839" s="26" t="str">
        <f>CADASTROS!$G$1574</f>
        <v>poup</v>
      </c>
      <c r="I1839" s="16" t="str">
        <f>CADASTROS!$H$1574</f>
        <v>18.604-X</v>
      </c>
      <c r="J1839" s="18">
        <f t="shared" si="93"/>
        <v>153</v>
      </c>
    </row>
    <row r="1840" spans="1:10" ht="15.75" x14ac:dyDescent="0.25">
      <c r="A1840" s="24">
        <f>CADASTROS!$B$1575</f>
        <v>1573</v>
      </c>
      <c r="B1840" s="15" t="str">
        <f>CADASTROS!$C$1575</f>
        <v>Marialva Silva de Brito</v>
      </c>
      <c r="C1840" s="25"/>
      <c r="D1840" s="35">
        <f>PLANILHA_COLHEITA_DIÁRIA!$I$2378</f>
        <v>42.5</v>
      </c>
      <c r="E1840" s="17">
        <v>6</v>
      </c>
      <c r="F1840" s="26" t="str">
        <f>CADASTROS!$E$1575</f>
        <v>Cx. Econômica</v>
      </c>
      <c r="G1840" s="24">
        <f>CADASTROS!$F$1575</f>
        <v>949</v>
      </c>
      <c r="H1840" s="26">
        <f>CADASTROS!$G$1575</f>
        <v>13</v>
      </c>
      <c r="I1840" s="16" t="str">
        <f>CADASTROS!$H$1575</f>
        <v>00038459-5</v>
      </c>
      <c r="J1840" s="18">
        <f t="shared" si="93"/>
        <v>255</v>
      </c>
    </row>
    <row r="1841" spans="1:10" ht="15.75" x14ac:dyDescent="0.25">
      <c r="A1841" s="24">
        <f>CADASTROS!$B$1576</f>
        <v>1574</v>
      </c>
      <c r="B1841" s="15" t="str">
        <f>CADASTROS!$C$1576</f>
        <v>Sandra Pereira dos Santos</v>
      </c>
      <c r="C1841" s="25"/>
      <c r="D1841" s="42">
        <f>PLANILHA_COLHEITA_DIÁRIA!$I$2379</f>
        <v>64.5</v>
      </c>
      <c r="E1841" s="17">
        <v>6</v>
      </c>
      <c r="F1841" s="26" t="str">
        <f>CADASTROS!$E$1576</f>
        <v>Cx. Econômica</v>
      </c>
      <c r="G1841" s="24">
        <f>CADASTROS!$F$1576</f>
        <v>949</v>
      </c>
      <c r="H1841" s="26">
        <f>CADASTROS!$G$1576</f>
        <v>23</v>
      </c>
      <c r="I1841" s="16" t="str">
        <f>CADASTROS!$H$1576</f>
        <v>00012407-8</v>
      </c>
      <c r="J1841" s="18">
        <f t="shared" ref="J1841" si="94">D1841*E1841</f>
        <v>387</v>
      </c>
    </row>
    <row r="1842" spans="1:10" ht="15.75" x14ac:dyDescent="0.25">
      <c r="B1842" s="159"/>
      <c r="C1842" s="159"/>
      <c r="D1842" s="12">
        <f>SUM(D1797:D1841)</f>
        <v>1970.5</v>
      </c>
      <c r="E1842" s="12"/>
      <c r="F1842" s="162"/>
      <c r="G1842" s="163"/>
      <c r="H1842" s="163"/>
      <c r="I1842" s="164"/>
      <c r="J1842" s="14">
        <f>SUM(J1797:J1841)</f>
        <v>11823</v>
      </c>
    </row>
    <row r="1844" spans="1:10" ht="15.75" x14ac:dyDescent="0.25">
      <c r="A1844" s="213" t="s">
        <v>4816</v>
      </c>
      <c r="B1844" s="213"/>
      <c r="C1844" s="213"/>
      <c r="D1844" s="213"/>
      <c r="E1844" s="213"/>
      <c r="F1844" s="213"/>
      <c r="G1844" s="213"/>
      <c r="H1844" s="213"/>
      <c r="I1844" s="213"/>
      <c r="J1844" s="213"/>
    </row>
    <row r="1845" spans="1:10" ht="16.5" thickBot="1" x14ac:dyDescent="0.3">
      <c r="A1845" s="214" t="s">
        <v>4843</v>
      </c>
      <c r="B1845" s="214"/>
      <c r="C1845" s="214"/>
      <c r="D1845" s="214"/>
      <c r="E1845" s="214"/>
      <c r="F1845" s="214"/>
      <c r="G1845" s="214"/>
      <c r="H1845" s="214"/>
      <c r="I1845" s="214"/>
      <c r="J1845" s="214"/>
    </row>
    <row r="1846" spans="1:10" ht="17.25" thickTop="1" thickBot="1" x14ac:dyDescent="0.3">
      <c r="A1846" s="215" t="s">
        <v>4844</v>
      </c>
      <c r="B1846" s="215"/>
      <c r="C1846" s="215"/>
      <c r="D1846" s="215"/>
      <c r="E1846" s="215"/>
      <c r="F1846" s="215"/>
      <c r="G1846" s="215"/>
      <c r="H1846" s="215"/>
      <c r="I1846" s="215"/>
      <c r="J1846" s="215"/>
    </row>
    <row r="1847" spans="1:10" ht="15.95" customHeight="1" x14ac:dyDescent="0.25">
      <c r="A1847" s="19" t="s">
        <v>4846</v>
      </c>
      <c r="B1847" s="216" t="s">
        <v>1</v>
      </c>
      <c r="C1847" s="216" t="s">
        <v>2</v>
      </c>
      <c r="D1847" s="160" t="s">
        <v>4847</v>
      </c>
      <c r="E1847" s="20" t="s">
        <v>4848</v>
      </c>
      <c r="F1847" s="157" t="s">
        <v>3</v>
      </c>
      <c r="G1847" s="157" t="s">
        <v>4</v>
      </c>
      <c r="H1847" s="157" t="s">
        <v>5</v>
      </c>
      <c r="I1847" s="157" t="s">
        <v>6</v>
      </c>
      <c r="J1847" s="218" t="s">
        <v>4849</v>
      </c>
    </row>
    <row r="1848" spans="1:10" ht="17.100000000000001" customHeight="1" thickBot="1" x14ac:dyDescent="0.3">
      <c r="A1848" s="21" t="s">
        <v>4850</v>
      </c>
      <c r="B1848" s="217"/>
      <c r="C1848" s="217"/>
      <c r="D1848" s="161"/>
      <c r="E1848" s="161" t="s">
        <v>4851</v>
      </c>
      <c r="F1848" s="158"/>
      <c r="G1848" s="158"/>
      <c r="H1848" s="158"/>
      <c r="I1848" s="158"/>
      <c r="J1848" s="219"/>
    </row>
    <row r="1849" spans="1:10" ht="15.75" x14ac:dyDescent="0.25">
      <c r="A1849" s="24">
        <f>CADASTROS!$B$1577</f>
        <v>1575</v>
      </c>
      <c r="B1849" s="15" t="str">
        <f>CADASTROS!$C$1577</f>
        <v>Lucivane Bispo dos Santos</v>
      </c>
      <c r="C1849" s="25"/>
      <c r="D1849" s="35">
        <f>PLANILHA_COLHEITA_DIÁRIA!$I$2380</f>
        <v>22</v>
      </c>
      <c r="E1849" s="17">
        <v>6</v>
      </c>
      <c r="F1849" s="26" t="str">
        <f>CADASTROS!$E$1577</f>
        <v>Cx. Econômica</v>
      </c>
      <c r="G1849" s="24">
        <f>CADASTROS!$F$1577</f>
        <v>4818</v>
      </c>
      <c r="H1849" s="26">
        <f>CADASTROS!$G$1577</f>
        <v>13</v>
      </c>
      <c r="I1849" s="16" t="str">
        <f>CADASTROS!$H$1577</f>
        <v>00012918-6</v>
      </c>
      <c r="J1849" s="18">
        <f t="shared" ref="J1849" si="95">D1849*E1849</f>
        <v>132</v>
      </c>
    </row>
    <row r="1850" spans="1:10" ht="15.75" x14ac:dyDescent="0.25">
      <c r="A1850" s="24">
        <f>CADASTROS!$B$1578</f>
        <v>1576</v>
      </c>
      <c r="B1850" s="15" t="str">
        <f>CADASTROS!$C$1578</f>
        <v>Celio Santos de Oliveira</v>
      </c>
      <c r="C1850" s="25"/>
      <c r="D1850" s="35">
        <f>PLANILHA_COLHEITA_DIÁRIA!$I$2381</f>
        <v>47</v>
      </c>
      <c r="E1850" s="17">
        <v>6</v>
      </c>
      <c r="F1850" s="26" t="str">
        <f>CADASTROS!$E$1578</f>
        <v>Cx. Econômica</v>
      </c>
      <c r="G1850" s="24">
        <f>CADASTROS!$F$1578</f>
        <v>4825</v>
      </c>
      <c r="H1850" s="26">
        <f>CADASTROS!$G$1578</f>
        <v>13</v>
      </c>
      <c r="I1850" s="16" t="str">
        <f>CADASTROS!$H$1578</f>
        <v>00008617-5</v>
      </c>
      <c r="J1850" s="18">
        <f t="shared" ref="J1850:J1872" si="96">D1850*E1850</f>
        <v>282</v>
      </c>
    </row>
    <row r="1851" spans="1:10" ht="15.75" x14ac:dyDescent="0.25">
      <c r="A1851" s="24">
        <f>CADASTROS!$B$1579</f>
        <v>1577</v>
      </c>
      <c r="B1851" s="15" t="str">
        <f>CADASTROS!$C$1579</f>
        <v>Pedro Santana dos Santos</v>
      </c>
      <c r="C1851" s="25"/>
      <c r="D1851" s="42">
        <f>PLANILHA_COLHEITA_DIÁRIA!$I$2382</f>
        <v>18.5</v>
      </c>
      <c r="E1851" s="17">
        <v>6</v>
      </c>
      <c r="F1851" s="26" t="str">
        <f>CADASTROS!$E$1579</f>
        <v>Banco do Brasil</v>
      </c>
      <c r="G1851" s="24" t="str">
        <f>CADASTROS!$F$1579</f>
        <v>2760-X</v>
      </c>
      <c r="H1851" s="26" t="str">
        <f>CADASTROS!$G$1579</f>
        <v>poup</v>
      </c>
      <c r="I1851" s="16" t="str">
        <f>CADASTROS!$H$1579</f>
        <v>14.177-1</v>
      </c>
      <c r="J1851" s="18">
        <f t="shared" si="96"/>
        <v>111</v>
      </c>
    </row>
    <row r="1852" spans="1:10" ht="15.75" x14ac:dyDescent="0.25">
      <c r="A1852" s="24">
        <f>CADASTROS!$B$1580</f>
        <v>1578</v>
      </c>
      <c r="B1852" s="15" t="str">
        <f>CADASTROS!$C$1580</f>
        <v>Ladislei Bispo Almeida</v>
      </c>
      <c r="C1852" s="25"/>
      <c r="D1852" s="35">
        <f>PLANILHA_COLHEITA_DIÁRIA!$I$2383</f>
        <v>20</v>
      </c>
      <c r="E1852" s="17">
        <v>6</v>
      </c>
      <c r="F1852" s="26" t="str">
        <f>CADASTROS!$E$1580</f>
        <v>Bradesco</v>
      </c>
      <c r="G1852" s="24" t="str">
        <f>CADASTROS!$F$1580</f>
        <v>1531-8</v>
      </c>
      <c r="H1852" s="26" t="str">
        <f>CADASTROS!$G$1580</f>
        <v>poup</v>
      </c>
      <c r="I1852" s="16" t="str">
        <f>CADASTROS!$H$1580</f>
        <v>1000208-7</v>
      </c>
      <c r="J1852" s="18">
        <f t="shared" si="96"/>
        <v>120</v>
      </c>
    </row>
    <row r="1853" spans="1:10" ht="15.75" x14ac:dyDescent="0.25">
      <c r="A1853" s="24">
        <f>CADASTROS!$B$1581</f>
        <v>1579</v>
      </c>
      <c r="B1853" s="15" t="str">
        <f>CADASTROS!$C$1581</f>
        <v>Fabiana Oliveira Maciel</v>
      </c>
      <c r="C1853" s="25"/>
      <c r="D1853" s="35">
        <f>PLANILHA_COLHEITA_DIÁRIA!$I$2384</f>
        <v>18</v>
      </c>
      <c r="E1853" s="17">
        <v>6</v>
      </c>
      <c r="F1853" s="26" t="str">
        <f>CADASTROS!$E$1581</f>
        <v>Bradesco</v>
      </c>
      <c r="G1853" s="24" t="str">
        <f>CADASTROS!$F$1581</f>
        <v>3801-6</v>
      </c>
      <c r="H1853" s="26" t="str">
        <f>CADASTROS!$G$1581</f>
        <v>poup</v>
      </c>
      <c r="I1853" s="16" t="str">
        <f>CADASTROS!$H$1581</f>
        <v>1000270-2</v>
      </c>
      <c r="J1853" s="18">
        <f t="shared" si="96"/>
        <v>108</v>
      </c>
    </row>
    <row r="1854" spans="1:10" ht="15.75" x14ac:dyDescent="0.25">
      <c r="A1854" s="24">
        <f>CADASTROS!$B$1582</f>
        <v>1580</v>
      </c>
      <c r="B1854" s="15" t="str">
        <f>CADASTROS!$C$1582</f>
        <v>Tarcísio L. do Nascimento</v>
      </c>
      <c r="C1854" s="25"/>
      <c r="D1854" s="35">
        <f>PLANILHA_COLHEITA_DIÁRIA!$I$2385</f>
        <v>35.5</v>
      </c>
      <c r="E1854" s="17">
        <v>6</v>
      </c>
      <c r="F1854" s="26" t="str">
        <f>CADASTROS!$E$1582</f>
        <v>Cx. Econômica</v>
      </c>
      <c r="G1854" s="24">
        <f>CADASTROS!$F$1582</f>
        <v>4873</v>
      </c>
      <c r="H1854" s="26">
        <f>CADASTROS!$G$1582</f>
        <v>13</v>
      </c>
      <c r="I1854" s="16" t="str">
        <f>CADASTROS!$H$1582</f>
        <v>00005330-9</v>
      </c>
      <c r="J1854" s="18">
        <f t="shared" si="96"/>
        <v>213</v>
      </c>
    </row>
    <row r="1855" spans="1:10" ht="15.75" x14ac:dyDescent="0.25">
      <c r="A1855" s="24">
        <f>CADASTROS!$B$1583</f>
        <v>1581</v>
      </c>
      <c r="B1855" s="15" t="str">
        <f>CADASTROS!$C$1583</f>
        <v>Vanderlei de Jesus Souza</v>
      </c>
      <c r="C1855" s="25"/>
      <c r="D1855" s="35">
        <f>PLANILHA_COLHEITA_DIÁRIA!$I$2386</f>
        <v>29</v>
      </c>
      <c r="E1855" s="17">
        <v>6</v>
      </c>
      <c r="F1855" s="26" t="str">
        <f>CADASTROS!$E$1583</f>
        <v>Cx. Econômica</v>
      </c>
      <c r="G1855" s="24">
        <f>CADASTROS!$F$1583</f>
        <v>3880</v>
      </c>
      <c r="H1855" s="26">
        <f>CADASTROS!$G$1583</f>
        <v>1288</v>
      </c>
      <c r="I1855" s="16" t="str">
        <f>CADASTROS!$H$1583</f>
        <v>853219295-3</v>
      </c>
      <c r="J1855" s="18">
        <f t="shared" si="96"/>
        <v>174</v>
      </c>
    </row>
    <row r="1856" spans="1:10" ht="15.75" x14ac:dyDescent="0.25">
      <c r="A1856" s="24">
        <f>CADASTROS!$B$1584</f>
        <v>1582</v>
      </c>
      <c r="B1856" s="15" t="str">
        <f>CADASTROS!$C$1584</f>
        <v>Marcelo Silva Bispo</v>
      </c>
      <c r="C1856" s="25"/>
      <c r="D1856" s="35">
        <f>PLANILHA_COLHEITA_DIÁRIA!$I$2387</f>
        <v>56</v>
      </c>
      <c r="E1856" s="17">
        <v>6</v>
      </c>
      <c r="F1856" s="26" t="str">
        <f>CADASTROS!$E$1584</f>
        <v>Cx. Econômica</v>
      </c>
      <c r="G1856" s="24">
        <f>CADASTROS!$F$1584</f>
        <v>4825</v>
      </c>
      <c r="H1856" s="26">
        <f>CADASTROS!$G$1584</f>
        <v>13</v>
      </c>
      <c r="I1856" s="16" t="str">
        <f>CADASTROS!$H$1584</f>
        <v>871263322-2</v>
      </c>
      <c r="J1856" s="18">
        <f t="shared" si="96"/>
        <v>336</v>
      </c>
    </row>
    <row r="1857" spans="1:10" ht="15.75" x14ac:dyDescent="0.25">
      <c r="A1857" s="24">
        <f>CADASTROS!$B$1585</f>
        <v>1583</v>
      </c>
      <c r="B1857" s="15" t="str">
        <f>CADASTROS!$C$1585</f>
        <v>Alex Silva dos Santos</v>
      </c>
      <c r="C1857" s="25"/>
      <c r="D1857" s="35">
        <f>PLANILHA_COLHEITA_DIÁRIA!$I$2388</f>
        <v>10</v>
      </c>
      <c r="E1857" s="17">
        <v>6</v>
      </c>
      <c r="F1857" s="26" t="str">
        <f>CADASTROS!$E$1585</f>
        <v>Cx. Econômica</v>
      </c>
      <c r="G1857" s="24">
        <f>CADASTROS!$F$1585</f>
        <v>4825</v>
      </c>
      <c r="H1857" s="26">
        <f>CADASTROS!$G$1585</f>
        <v>13</v>
      </c>
      <c r="I1857" s="16" t="str">
        <f>CADASTROS!$H$1585</f>
        <v>00009132-2</v>
      </c>
      <c r="J1857" s="18">
        <f t="shared" si="96"/>
        <v>60</v>
      </c>
    </row>
    <row r="1858" spans="1:10" ht="15.75" x14ac:dyDescent="0.25">
      <c r="A1858" s="24">
        <f>CADASTROS!$B$1586</f>
        <v>1584</v>
      </c>
      <c r="B1858" s="15" t="str">
        <f>CADASTROS!$C$1586</f>
        <v>José Nilton P dos Santos</v>
      </c>
      <c r="C1858" s="25"/>
      <c r="D1858" s="35">
        <f>PLANILHA_COLHEITA_DIÁRIA!$I$2389</f>
        <v>0</v>
      </c>
      <c r="E1858" s="17">
        <v>6</v>
      </c>
      <c r="F1858" s="26" t="str">
        <f>CADASTROS!$E$1586</f>
        <v>Cx. Econômica</v>
      </c>
      <c r="G1858" s="24">
        <f>CADASTROS!$F$1586</f>
        <v>4825</v>
      </c>
      <c r="H1858" s="26">
        <f>CADASTROS!$G$1586</f>
        <v>13</v>
      </c>
      <c r="I1858" s="16" t="str">
        <f>CADASTROS!$H$1586</f>
        <v>00023729-7</v>
      </c>
      <c r="J1858" s="18">
        <f t="shared" si="96"/>
        <v>0</v>
      </c>
    </row>
    <row r="1859" spans="1:10" ht="15.75" x14ac:dyDescent="0.25">
      <c r="A1859" s="24">
        <f>CADASTROS!$B$1587</f>
        <v>1585</v>
      </c>
      <c r="B1859" s="15" t="str">
        <f>CADASTROS!$C$1587</f>
        <v>Alane Dias de Oliveira</v>
      </c>
      <c r="C1859" s="25"/>
      <c r="D1859" s="53">
        <f>PLANILHA_COLHEITA_DIÁRIA!$I$2390</f>
        <v>7.5</v>
      </c>
      <c r="E1859" s="17">
        <v>6</v>
      </c>
      <c r="F1859" s="26" t="str">
        <f>CADASTROS!$E$1587</f>
        <v>Cx. Econômica</v>
      </c>
      <c r="G1859" s="24">
        <f>CADASTROS!$F$1587</f>
        <v>4825</v>
      </c>
      <c r="H1859" s="26">
        <f>CADASTROS!$G$1587</f>
        <v>13</v>
      </c>
      <c r="I1859" s="16" t="str">
        <f>CADASTROS!$H$1587</f>
        <v>00023779-3</v>
      </c>
      <c r="J1859" s="18">
        <f t="shared" si="96"/>
        <v>45</v>
      </c>
    </row>
    <row r="1860" spans="1:10" ht="15.75" x14ac:dyDescent="0.25">
      <c r="A1860" s="24">
        <f>CADASTROS!$B$1588</f>
        <v>1586</v>
      </c>
      <c r="B1860" s="15" t="str">
        <f>CADASTROS!$C$1588</f>
        <v>Jociel Jesus de Souza</v>
      </c>
      <c r="C1860" s="25"/>
      <c r="D1860" s="35">
        <f>PLANILHA_COLHEITA_DIÁRIA!$I$2391</f>
        <v>3.5</v>
      </c>
      <c r="E1860" s="17">
        <v>6</v>
      </c>
      <c r="F1860" s="26" t="str">
        <f>CADASTROS!$E$1588</f>
        <v>Cx. Econômica</v>
      </c>
      <c r="G1860" s="24">
        <f>CADASTROS!$F$1588</f>
        <v>780</v>
      </c>
      <c r="H1860" s="26">
        <f>CADASTROS!$G$1588</f>
        <v>0</v>
      </c>
      <c r="I1860" s="16" t="str">
        <f>CADASTROS!$H$1588</f>
        <v>000838155313-8</v>
      </c>
      <c r="J1860" s="18">
        <f t="shared" si="96"/>
        <v>21</v>
      </c>
    </row>
    <row r="1861" spans="1:10" ht="15.75" x14ac:dyDescent="0.25">
      <c r="A1861" s="24">
        <f>CADASTROS!$B$1589</f>
        <v>1587</v>
      </c>
      <c r="B1861" s="15" t="str">
        <f>CADASTROS!$C$1589</f>
        <v>Cidinei de Souza Bispo</v>
      </c>
      <c r="C1861" s="25"/>
      <c r="D1861" s="35">
        <f>PLANILHA_COLHEITA_DIÁRIA!$I$2392</f>
        <v>13</v>
      </c>
      <c r="E1861" s="17">
        <v>6</v>
      </c>
      <c r="F1861" s="26" t="str">
        <f>CADASTROS!$E$1589</f>
        <v>Cx. Econômica</v>
      </c>
      <c r="G1861" s="24">
        <f>CADASTROS!$F$1589</f>
        <v>4825</v>
      </c>
      <c r="H1861" s="26">
        <f>CADASTROS!$G$1589</f>
        <v>13</v>
      </c>
      <c r="I1861" s="16" t="str">
        <f>CADASTROS!$H$1589</f>
        <v>804938842-3</v>
      </c>
      <c r="J1861" s="18">
        <f t="shared" si="96"/>
        <v>78</v>
      </c>
    </row>
    <row r="1862" spans="1:10" ht="15.75" x14ac:dyDescent="0.25">
      <c r="A1862" s="24">
        <f>CADASTROS!$B$1590</f>
        <v>1588</v>
      </c>
      <c r="B1862" s="15" t="str">
        <f>CADASTROS!$C$1590</f>
        <v>Raimunda Oliveira dos Anjos</v>
      </c>
      <c r="C1862" s="25"/>
      <c r="D1862" s="35">
        <f>PLANILHA_COLHEITA_DIÁRIA!$I$2404</f>
        <v>22</v>
      </c>
      <c r="E1862" s="17">
        <v>6</v>
      </c>
      <c r="F1862" s="26" t="str">
        <f>CADASTROS!$E$1590</f>
        <v>Cx. Econômica</v>
      </c>
      <c r="G1862" s="24">
        <f>CADASTROS!$F$1590</f>
        <v>780</v>
      </c>
      <c r="H1862" s="26">
        <f>CADASTROS!$G$1590</f>
        <v>13</v>
      </c>
      <c r="I1862" s="16" t="str">
        <f>CADASTROS!$H$1590</f>
        <v>00007713-6</v>
      </c>
      <c r="J1862" s="18">
        <f t="shared" si="96"/>
        <v>132</v>
      </c>
    </row>
    <row r="1863" spans="1:10" ht="15.75" x14ac:dyDescent="0.25">
      <c r="A1863" s="24">
        <f>CADASTROS!$B$1591</f>
        <v>1589</v>
      </c>
      <c r="B1863" s="15" t="str">
        <f>CADASTROS!$C$1591</f>
        <v>Mª de Lurdes Ramalho de Oliveira</v>
      </c>
      <c r="C1863" s="25"/>
      <c r="D1863" s="35">
        <f>PLANILHA_COLHEITA_DIÁRIA!$I$2405</f>
        <v>47.5</v>
      </c>
      <c r="E1863" s="17">
        <v>6</v>
      </c>
      <c r="F1863" s="26" t="str">
        <f>CADASTROS!$E$1591</f>
        <v>Cx. Econômica</v>
      </c>
      <c r="G1863" s="24">
        <f>CADASTROS!$F$1591</f>
        <v>565</v>
      </c>
      <c r="H1863" s="26">
        <f>CADASTROS!$G$1591</f>
        <v>13</v>
      </c>
      <c r="I1863" s="16" t="str">
        <f>CADASTROS!$H$1591</f>
        <v>00006273-3</v>
      </c>
      <c r="J1863" s="18">
        <f t="shared" si="96"/>
        <v>285</v>
      </c>
    </row>
    <row r="1864" spans="1:10" ht="15.75" x14ac:dyDescent="0.25">
      <c r="A1864" s="24">
        <f>CADASTROS!$B$1592</f>
        <v>1590</v>
      </c>
      <c r="B1864" s="15" t="str">
        <f>CADASTROS!$C$1592</f>
        <v>Cosme Moura Passos</v>
      </c>
      <c r="C1864" s="25"/>
      <c r="D1864" s="35">
        <f>PLANILHA_COLHEITA_DIÁRIA!$I$2406</f>
        <v>39</v>
      </c>
      <c r="E1864" s="17">
        <v>6</v>
      </c>
      <c r="F1864" s="26" t="str">
        <f>CADASTROS!$E$1592</f>
        <v>Cx. Econômica</v>
      </c>
      <c r="G1864" s="24">
        <f>CADASTROS!$F$1592</f>
        <v>780</v>
      </c>
      <c r="H1864" s="26">
        <f>CADASTROS!$G$1592</f>
        <v>13</v>
      </c>
      <c r="I1864" s="16" t="str">
        <f>CADASTROS!$H$1592</f>
        <v>00020102-6</v>
      </c>
      <c r="J1864" s="18">
        <f t="shared" si="96"/>
        <v>234</v>
      </c>
    </row>
    <row r="1865" spans="1:10" ht="15.75" x14ac:dyDescent="0.25">
      <c r="A1865" s="24">
        <f>CADASTROS!$B$1593</f>
        <v>1591</v>
      </c>
      <c r="B1865" s="15" t="str">
        <f>CADASTROS!$C$1593</f>
        <v>Luzinete Gomes</v>
      </c>
      <c r="C1865" s="25"/>
      <c r="D1865" s="35">
        <f>PLANILHA_COLHEITA_DIÁRIA!$I$2407</f>
        <v>14</v>
      </c>
      <c r="E1865" s="17">
        <v>6</v>
      </c>
      <c r="F1865" s="26" t="str">
        <f>CADASTROS!$E$1593</f>
        <v>Cx. Econômica</v>
      </c>
      <c r="G1865" s="24">
        <f>CADASTROS!$F$1593</f>
        <v>949</v>
      </c>
      <c r="H1865" s="26">
        <f>CADASTROS!$G$1593</f>
        <v>13</v>
      </c>
      <c r="I1865" s="16" t="str">
        <f>CADASTROS!$H$1593</f>
        <v>00007071-7</v>
      </c>
      <c r="J1865" s="18">
        <f t="shared" si="96"/>
        <v>84</v>
      </c>
    </row>
    <row r="1866" spans="1:10" ht="15.75" x14ac:dyDescent="0.25">
      <c r="A1866" s="24">
        <f>CADASTROS!$B$1594</f>
        <v>1592</v>
      </c>
      <c r="B1866" s="15" t="str">
        <f>CADASTROS!$C$1594</f>
        <v>Godofredo Santos Vieira</v>
      </c>
      <c r="C1866" s="25"/>
      <c r="D1866" s="35">
        <f>PLANILHA_COLHEITA_DIÁRIA!$I$2408</f>
        <v>34</v>
      </c>
      <c r="E1866" s="17">
        <v>6</v>
      </c>
      <c r="F1866" s="26" t="str">
        <f>CADASTROS!$E$1594</f>
        <v>Cx. Econômica</v>
      </c>
      <c r="G1866" s="24">
        <f>CADASTROS!$F$1594</f>
        <v>4818</v>
      </c>
      <c r="H1866" s="26">
        <f>CADASTROS!$G$1594</f>
        <v>13</v>
      </c>
      <c r="I1866" s="16" t="str">
        <f>CADASTROS!$H$1594</f>
        <v>00014985-3</v>
      </c>
      <c r="J1866" s="18">
        <f t="shared" si="96"/>
        <v>204</v>
      </c>
    </row>
    <row r="1867" spans="1:10" ht="15.75" x14ac:dyDescent="0.25">
      <c r="A1867" s="24">
        <f>CADASTROS!$B$1595</f>
        <v>1593</v>
      </c>
      <c r="B1867" s="15" t="str">
        <f>CADASTROS!$C$1595</f>
        <v>Vilmarcos Santana Bastos</v>
      </c>
      <c r="C1867" s="25"/>
      <c r="D1867" s="35">
        <f>PLANILHA_COLHEITA_DIÁRIA!$I$2409</f>
        <v>12</v>
      </c>
      <c r="E1867" s="17">
        <v>6</v>
      </c>
      <c r="F1867" s="26" t="str">
        <f>CADASTROS!$E$1595</f>
        <v>Cx. Econômica</v>
      </c>
      <c r="G1867" s="24">
        <f>CADASTROS!$F$1595</f>
        <v>138</v>
      </c>
      <c r="H1867" s="26">
        <f>CADASTROS!$G$1595</f>
        <v>0</v>
      </c>
      <c r="I1867" s="16" t="str">
        <f>CADASTROS!$H$1595</f>
        <v>000783309113-9</v>
      </c>
      <c r="J1867" s="18">
        <f t="shared" si="96"/>
        <v>72</v>
      </c>
    </row>
    <row r="1868" spans="1:10" ht="15.75" x14ac:dyDescent="0.25">
      <c r="A1868" s="24">
        <f>CADASTROS!$B$1596</f>
        <v>1594</v>
      </c>
      <c r="B1868" s="15" t="str">
        <f>CADASTROS!$C$1596</f>
        <v>Maremi Teles dos Santos</v>
      </c>
      <c r="C1868" s="25"/>
      <c r="D1868" s="35">
        <f>PLANILHA_COLHEITA_DIÁRIA!$I$2410</f>
        <v>17.5</v>
      </c>
      <c r="E1868" s="17">
        <v>6</v>
      </c>
      <c r="F1868" s="26" t="str">
        <f>CADASTROS!$E$1596</f>
        <v>Cx. Econômica</v>
      </c>
      <c r="G1868" s="24">
        <f>CADASTROS!$F$1596</f>
        <v>4825</v>
      </c>
      <c r="H1868" s="26">
        <f>CADASTROS!$G$1596</f>
        <v>13</v>
      </c>
      <c r="I1868" s="16" t="str">
        <f>CADASTROS!$H$1596</f>
        <v>00023809-9</v>
      </c>
      <c r="J1868" s="18">
        <f t="shared" si="96"/>
        <v>105</v>
      </c>
    </row>
    <row r="1869" spans="1:10" ht="15.75" x14ac:dyDescent="0.25">
      <c r="A1869" s="24">
        <f>CADASTROS!$B$1597</f>
        <v>1595</v>
      </c>
      <c r="B1869" s="15" t="str">
        <f>CADASTROS!$C$1597</f>
        <v>Eleaci Silva Araújo Alves</v>
      </c>
      <c r="C1869" s="25"/>
      <c r="D1869" s="35">
        <f>PLANILHA_COLHEITA_DIÁRIA!$I$2411</f>
        <v>0</v>
      </c>
      <c r="E1869" s="17">
        <v>6</v>
      </c>
      <c r="F1869" s="26" t="str">
        <f>CADASTROS!$E$1597</f>
        <v>Bradesco</v>
      </c>
      <c r="G1869" s="24" t="str">
        <f>CADASTROS!$F$1597</f>
        <v>3616-1</v>
      </c>
      <c r="H1869" s="26" t="str">
        <f>CADASTROS!$G$1597</f>
        <v>poup</v>
      </c>
      <c r="I1869" s="16" t="str">
        <f>CADASTROS!$H$1597</f>
        <v>1000770-4</v>
      </c>
      <c r="J1869" s="18">
        <f t="shared" si="96"/>
        <v>0</v>
      </c>
    </row>
    <row r="1870" spans="1:10" ht="15.75" x14ac:dyDescent="0.25">
      <c r="A1870" s="24">
        <f>CADASTROS!$B$1598</f>
        <v>1596</v>
      </c>
      <c r="B1870" s="15" t="str">
        <f>CADASTROS!$C$1598</f>
        <v>Enivaldo de Souza Silva</v>
      </c>
      <c r="C1870" s="25"/>
      <c r="D1870" s="35">
        <f>PLANILHA_COLHEITA_DIÁRIA!$I$2412</f>
        <v>49.5</v>
      </c>
      <c r="E1870" s="17">
        <v>6</v>
      </c>
      <c r="F1870" s="26" t="str">
        <f>CADASTROS!$E$1598</f>
        <v>Cx. Econômica</v>
      </c>
      <c r="G1870" s="24">
        <f>CADASTROS!$F$1598</f>
        <v>4825</v>
      </c>
      <c r="H1870" s="26">
        <f>CADASTROS!$G$1598</f>
        <v>1288</v>
      </c>
      <c r="I1870" s="16" t="str">
        <f>CADASTROS!$H$1598</f>
        <v>804063116-3</v>
      </c>
      <c r="J1870" s="18">
        <f t="shared" si="96"/>
        <v>297</v>
      </c>
    </row>
    <row r="1871" spans="1:10" ht="15.75" x14ac:dyDescent="0.25">
      <c r="A1871" s="24">
        <f>CADASTROS!$B$1599</f>
        <v>1597</v>
      </c>
      <c r="B1871" s="15" t="str">
        <f>CADASTROS!$C$1599</f>
        <v>Egídio de Jesus</v>
      </c>
      <c r="C1871" s="25"/>
      <c r="D1871" s="42">
        <f>PLANILHA_COLHEITA_DIÁRIA!$I$2413</f>
        <v>9.5</v>
      </c>
      <c r="E1871" s="17">
        <v>6</v>
      </c>
      <c r="F1871" s="26" t="str">
        <f>CADASTROS!$E$1599</f>
        <v>Cx. Econômica</v>
      </c>
      <c r="G1871" s="24">
        <f>CADASTROS!$F$1599</f>
        <v>4825</v>
      </c>
      <c r="H1871" s="26">
        <f>CADASTROS!$G$1599</f>
        <v>0</v>
      </c>
      <c r="I1871" s="16" t="str">
        <f>CADASTROS!$H$1599</f>
        <v>000875563432-8</v>
      </c>
      <c r="J1871" s="18">
        <f t="shared" si="96"/>
        <v>57</v>
      </c>
    </row>
    <row r="1872" spans="1:10" ht="15.75" x14ac:dyDescent="0.25">
      <c r="A1872" s="24">
        <f>CADASTROS!$B$1600</f>
        <v>1598</v>
      </c>
      <c r="B1872" s="15" t="str">
        <f>CADASTROS!$C$1600</f>
        <v>Lucimara Bispo da Silva</v>
      </c>
      <c r="C1872" s="25"/>
      <c r="D1872" s="42">
        <f>PLANILHA_COLHEITA_DIÁRIA!$I$2414</f>
        <v>10</v>
      </c>
      <c r="E1872" s="17">
        <v>6</v>
      </c>
      <c r="F1872" s="26" t="str">
        <f>CADASTROS!$E$1600</f>
        <v>Cx. Econômica</v>
      </c>
      <c r="G1872" s="24">
        <f>CADASTROS!$F$1600</f>
        <v>4825</v>
      </c>
      <c r="H1872" s="26">
        <f>CADASTROS!$G$1600</f>
        <v>1288</v>
      </c>
      <c r="I1872" s="16" t="str">
        <f>CADASTROS!$H$1600</f>
        <v>860460519-1</v>
      </c>
      <c r="J1872" s="18">
        <f t="shared" si="96"/>
        <v>60</v>
      </c>
    </row>
    <row r="1873" spans="1:10" ht="15.75" x14ac:dyDescent="0.25">
      <c r="A1873" s="24"/>
      <c r="B1873" s="15"/>
      <c r="C1873" s="25"/>
      <c r="D1873" s="35"/>
      <c r="E1873" s="17"/>
      <c r="F1873" s="26"/>
      <c r="G1873" s="24"/>
      <c r="H1873" s="26"/>
      <c r="I1873" s="16"/>
      <c r="J1873" s="18"/>
    </row>
    <row r="1874" spans="1:10" ht="15.75" x14ac:dyDescent="0.25">
      <c r="A1874" s="24"/>
      <c r="B1874" s="15"/>
      <c r="C1874" s="25"/>
      <c r="D1874" s="35"/>
      <c r="E1874" s="17"/>
      <c r="F1874" s="26"/>
      <c r="G1874" s="24"/>
      <c r="H1874" s="26"/>
      <c r="I1874" s="16"/>
      <c r="J1874" s="18"/>
    </row>
    <row r="1875" spans="1:10" ht="15.75" x14ac:dyDescent="0.25">
      <c r="A1875" s="24"/>
      <c r="B1875" s="15"/>
      <c r="C1875" s="25"/>
      <c r="D1875" s="35"/>
      <c r="E1875" s="17"/>
      <c r="F1875" s="26"/>
      <c r="G1875" s="24"/>
      <c r="H1875" s="26"/>
      <c r="I1875" s="16"/>
      <c r="J1875" s="18"/>
    </row>
    <row r="1876" spans="1:10" ht="15.75" x14ac:dyDescent="0.25">
      <c r="A1876" s="24"/>
      <c r="B1876" s="15"/>
      <c r="C1876" s="25"/>
      <c r="D1876" s="35"/>
      <c r="E1876" s="17"/>
      <c r="F1876" s="26"/>
      <c r="G1876" s="24"/>
      <c r="H1876" s="26"/>
      <c r="I1876" s="16"/>
      <c r="J1876" s="18"/>
    </row>
    <row r="1877" spans="1:10" ht="15.75" x14ac:dyDescent="0.25">
      <c r="A1877" s="24"/>
      <c r="B1877" s="15"/>
      <c r="C1877" s="25"/>
      <c r="D1877" s="42"/>
      <c r="E1877" s="17"/>
      <c r="F1877" s="26"/>
      <c r="G1877" s="24"/>
      <c r="H1877" s="26"/>
      <c r="I1877" s="16"/>
      <c r="J1877" s="18"/>
    </row>
    <row r="1878" spans="1:10" ht="15.75" x14ac:dyDescent="0.25">
      <c r="A1878" s="24"/>
      <c r="B1878" s="15"/>
      <c r="C1878" s="25"/>
      <c r="D1878" s="42"/>
      <c r="E1878" s="17"/>
      <c r="F1878" s="26"/>
      <c r="G1878" s="24"/>
      <c r="H1878" s="26"/>
      <c r="I1878" s="16"/>
      <c r="J1878" s="18"/>
    </row>
    <row r="1879" spans="1:10" ht="15.75" x14ac:dyDescent="0.25">
      <c r="A1879" s="24"/>
      <c r="B1879" s="15"/>
      <c r="C1879" s="25"/>
      <c r="D1879" s="35"/>
      <c r="E1879" s="17"/>
      <c r="F1879" s="26"/>
      <c r="G1879" s="24"/>
      <c r="H1879" s="26"/>
      <c r="I1879" s="16"/>
      <c r="J1879" s="18"/>
    </row>
    <row r="1880" spans="1:10" ht="15.75" x14ac:dyDescent="0.25">
      <c r="A1880" s="24"/>
      <c r="B1880" s="15"/>
      <c r="C1880" s="25"/>
      <c r="D1880" s="35"/>
      <c r="E1880" s="17"/>
      <c r="F1880" s="26"/>
      <c r="G1880" s="24"/>
      <c r="H1880" s="26"/>
      <c r="I1880" s="16"/>
      <c r="J1880" s="18"/>
    </row>
    <row r="1881" spans="1:10" ht="15.75" x14ac:dyDescent="0.25">
      <c r="A1881" s="24"/>
      <c r="B1881" s="15"/>
      <c r="C1881" s="25"/>
      <c r="D1881" s="42"/>
      <c r="E1881" s="17"/>
      <c r="F1881" s="26"/>
      <c r="G1881" s="24"/>
      <c r="H1881" s="26"/>
      <c r="I1881" s="16"/>
      <c r="J1881" s="18"/>
    </row>
    <row r="1882" spans="1:10" ht="15.75" x14ac:dyDescent="0.25">
      <c r="A1882" s="24"/>
      <c r="B1882" s="15"/>
      <c r="C1882" s="25"/>
      <c r="D1882" s="35"/>
      <c r="E1882" s="17"/>
      <c r="F1882" s="26"/>
      <c r="G1882" s="24"/>
      <c r="H1882" s="26"/>
      <c r="I1882" s="16"/>
      <c r="J1882" s="18"/>
    </row>
    <row r="1883" spans="1:10" ht="15.75" x14ac:dyDescent="0.25">
      <c r="A1883" s="24"/>
      <c r="B1883" s="15"/>
      <c r="C1883" s="25"/>
      <c r="D1883" s="35"/>
      <c r="E1883" s="17"/>
      <c r="F1883" s="26"/>
      <c r="G1883" s="24"/>
      <c r="H1883" s="26"/>
      <c r="I1883" s="16"/>
      <c r="J1883" s="18"/>
    </row>
    <row r="1884" spans="1:10" ht="15.75" x14ac:dyDescent="0.25">
      <c r="A1884" s="24"/>
      <c r="B1884" s="15"/>
      <c r="C1884" s="25"/>
      <c r="D1884" s="35"/>
      <c r="E1884" s="17"/>
      <c r="F1884" s="26"/>
      <c r="G1884" s="24"/>
      <c r="H1884" s="26"/>
      <c r="I1884" s="16"/>
      <c r="J1884" s="18"/>
    </row>
    <row r="1885" spans="1:10" ht="15.75" x14ac:dyDescent="0.25">
      <c r="A1885" s="24"/>
      <c r="B1885" s="15"/>
      <c r="C1885" s="25"/>
      <c r="D1885" s="53"/>
      <c r="E1885" s="17"/>
      <c r="F1885" s="26"/>
      <c r="G1885" s="24"/>
      <c r="H1885" s="26"/>
      <c r="I1885" s="16"/>
      <c r="J1885" s="18"/>
    </row>
    <row r="1886" spans="1:10" ht="15.75" x14ac:dyDescent="0.25">
      <c r="A1886" s="24"/>
      <c r="B1886" s="15"/>
      <c r="C1886" s="25"/>
      <c r="D1886" s="35"/>
      <c r="E1886" s="17"/>
      <c r="F1886" s="26"/>
      <c r="G1886" s="24"/>
      <c r="H1886" s="26"/>
      <c r="I1886" s="16"/>
      <c r="J1886" s="18"/>
    </row>
    <row r="1887" spans="1:10" ht="15.75" x14ac:dyDescent="0.25">
      <c r="A1887" s="24"/>
      <c r="B1887" s="15"/>
      <c r="C1887" s="25"/>
      <c r="D1887" s="42"/>
      <c r="E1887" s="17"/>
      <c r="F1887" s="26"/>
      <c r="G1887" s="24"/>
      <c r="H1887" s="26"/>
      <c r="I1887" s="16"/>
      <c r="J1887" s="18"/>
    </row>
    <row r="1888" spans="1:10" ht="15.75" x14ac:dyDescent="0.25">
      <c r="A1888" s="24"/>
      <c r="B1888" s="15"/>
      <c r="C1888" s="25"/>
      <c r="D1888" s="35"/>
      <c r="E1888" s="17"/>
      <c r="F1888" s="26"/>
      <c r="G1888" s="24"/>
      <c r="H1888" s="26"/>
      <c r="I1888" s="16"/>
      <c r="J1888" s="18"/>
    </row>
    <row r="1889" spans="1:10" ht="15.75" x14ac:dyDescent="0.25">
      <c r="A1889" s="24"/>
      <c r="B1889" s="15"/>
      <c r="C1889" s="25"/>
      <c r="D1889" s="42"/>
      <c r="E1889" s="17"/>
      <c r="F1889" s="26"/>
      <c r="G1889" s="24"/>
      <c r="H1889" s="26"/>
      <c r="I1889" s="16"/>
      <c r="J1889" s="18"/>
    </row>
    <row r="1890" spans="1:10" ht="15.75" x14ac:dyDescent="0.25">
      <c r="A1890" s="24"/>
      <c r="B1890" s="15"/>
      <c r="C1890" s="25"/>
      <c r="D1890" s="35"/>
      <c r="E1890" s="17"/>
      <c r="F1890" s="26"/>
      <c r="G1890" s="24"/>
      <c r="H1890" s="26"/>
      <c r="I1890" s="16"/>
      <c r="J1890" s="18"/>
    </row>
    <row r="1891" spans="1:10" ht="15.75" x14ac:dyDescent="0.25">
      <c r="A1891" s="24"/>
      <c r="B1891" s="15"/>
      <c r="C1891" s="25"/>
      <c r="D1891" s="35"/>
      <c r="E1891" s="17"/>
      <c r="F1891" s="26"/>
      <c r="G1891" s="24"/>
      <c r="H1891" s="26"/>
      <c r="I1891" s="16"/>
      <c r="J1891" s="18"/>
    </row>
    <row r="1892" spans="1:10" ht="15.75" x14ac:dyDescent="0.25">
      <c r="A1892" s="24"/>
      <c r="B1892" s="15"/>
      <c r="C1892" s="25"/>
      <c r="D1892" s="35"/>
      <c r="E1892" s="17"/>
      <c r="F1892" s="26"/>
      <c r="G1892" s="24"/>
      <c r="H1892" s="26"/>
      <c r="I1892" s="16"/>
      <c r="J1892" s="18"/>
    </row>
    <row r="1893" spans="1:10" ht="15.75" x14ac:dyDescent="0.25">
      <c r="A1893" s="24"/>
      <c r="B1893" s="15"/>
      <c r="C1893" s="25"/>
      <c r="D1893" s="35"/>
      <c r="E1893" s="17"/>
      <c r="F1893" s="26"/>
      <c r="G1893" s="24"/>
      <c r="H1893" s="26"/>
      <c r="I1893" s="16"/>
      <c r="J1893" s="18"/>
    </row>
    <row r="1894" spans="1:10" ht="15.75" x14ac:dyDescent="0.25">
      <c r="B1894" s="159"/>
      <c r="C1894" s="159"/>
      <c r="D1894" s="12">
        <f>SUM(D1849:D1893)</f>
        <v>535</v>
      </c>
      <c r="E1894" s="12"/>
      <c r="F1894" s="162"/>
      <c r="G1894" s="163"/>
      <c r="H1894" s="163"/>
      <c r="I1894" s="164"/>
      <c r="J1894" s="14">
        <f>SUM(J1849:J1893)</f>
        <v>3210</v>
      </c>
    </row>
  </sheetData>
  <mergeCells count="497">
    <mergeCell ref="A1792:J1792"/>
    <mergeCell ref="A1793:J1793"/>
    <mergeCell ref="A1794:J1794"/>
    <mergeCell ref="B1795:B1796"/>
    <mergeCell ref="C1795:C1796"/>
    <mergeCell ref="J1795:J1796"/>
    <mergeCell ref="A1586:J1586"/>
    <mergeCell ref="B1587:B1588"/>
    <mergeCell ref="C1587:C1588"/>
    <mergeCell ref="A1740:J1740"/>
    <mergeCell ref="A1741:J1741"/>
    <mergeCell ref="A1742:J1742"/>
    <mergeCell ref="B1743:B1744"/>
    <mergeCell ref="C1743:C1744"/>
    <mergeCell ref="K803:T803"/>
    <mergeCell ref="A1480:J1480"/>
    <mergeCell ref="A1481:J1481"/>
    <mergeCell ref="A1482:J1482"/>
    <mergeCell ref="B1483:B1484"/>
    <mergeCell ref="C1483:C1484"/>
    <mergeCell ref="A1428:J1428"/>
    <mergeCell ref="A1429:J1429"/>
    <mergeCell ref="A1430:J1430"/>
    <mergeCell ref="B1431:B1432"/>
    <mergeCell ref="C1431:C1432"/>
    <mergeCell ref="B1374:C1374"/>
    <mergeCell ref="A1324:J1324"/>
    <mergeCell ref="A1325:J1325"/>
    <mergeCell ref="A1326:J1326"/>
    <mergeCell ref="B1327:B1328"/>
    <mergeCell ref="C1327:C1328"/>
    <mergeCell ref="D1327:D1328"/>
    <mergeCell ref="F1327:F1328"/>
    <mergeCell ref="G1327:G1328"/>
    <mergeCell ref="H1327:H1328"/>
    <mergeCell ref="I1327:I1328"/>
    <mergeCell ref="J1327:J1328"/>
    <mergeCell ref="B1426:C1426"/>
    <mergeCell ref="A1376:J1376"/>
    <mergeCell ref="A1377:J1377"/>
    <mergeCell ref="B1379:B1380"/>
    <mergeCell ref="C1379:C1380"/>
    <mergeCell ref="D1379:D1380"/>
    <mergeCell ref="F1379:F1380"/>
    <mergeCell ref="G1379:G1380"/>
    <mergeCell ref="H1379:H1380"/>
    <mergeCell ref="I1379:I1380"/>
    <mergeCell ref="J1379:J1380"/>
    <mergeCell ref="A1378:J1378"/>
    <mergeCell ref="B1322:C1322"/>
    <mergeCell ref="A1272:J1272"/>
    <mergeCell ref="A1273:J1273"/>
    <mergeCell ref="A1274:J1274"/>
    <mergeCell ref="B1275:B1276"/>
    <mergeCell ref="C1275:C1276"/>
    <mergeCell ref="D1275:D1276"/>
    <mergeCell ref="F1275:F1276"/>
    <mergeCell ref="G1275:G1276"/>
    <mergeCell ref="H1275:H1276"/>
    <mergeCell ref="I1275:I1276"/>
    <mergeCell ref="J1275:J1276"/>
    <mergeCell ref="D1171:D1172"/>
    <mergeCell ref="F1171:F1172"/>
    <mergeCell ref="G1171:G1172"/>
    <mergeCell ref="H1171:H1172"/>
    <mergeCell ref="I1171:I1172"/>
    <mergeCell ref="J1171:J1172"/>
    <mergeCell ref="B1270:C1270"/>
    <mergeCell ref="A1220:J1220"/>
    <mergeCell ref="A1221:J1221"/>
    <mergeCell ref="A1222:J1222"/>
    <mergeCell ref="B1223:B1224"/>
    <mergeCell ref="C1223:C1224"/>
    <mergeCell ref="D1223:D1224"/>
    <mergeCell ref="F1223:F1224"/>
    <mergeCell ref="G1223:G1224"/>
    <mergeCell ref="H1223:H1224"/>
    <mergeCell ref="I1223:I1224"/>
    <mergeCell ref="J1223:J1224"/>
    <mergeCell ref="B1218:C1218"/>
    <mergeCell ref="A959:J959"/>
    <mergeCell ref="A960:J960"/>
    <mergeCell ref="A961:J961"/>
    <mergeCell ref="B962:B963"/>
    <mergeCell ref="C962:C963"/>
    <mergeCell ref="D962:D963"/>
    <mergeCell ref="F962:F963"/>
    <mergeCell ref="G962:G963"/>
    <mergeCell ref="H962:H963"/>
    <mergeCell ref="I962:I963"/>
    <mergeCell ref="J962:J963"/>
    <mergeCell ref="B692:C692"/>
    <mergeCell ref="A642:J642"/>
    <mergeCell ref="A643:J643"/>
    <mergeCell ref="A644:J644"/>
    <mergeCell ref="B645:B646"/>
    <mergeCell ref="C645:C646"/>
    <mergeCell ref="D645:D646"/>
    <mergeCell ref="F645:F646"/>
    <mergeCell ref="G645:G646"/>
    <mergeCell ref="H645:H646"/>
    <mergeCell ref="I645:I646"/>
    <mergeCell ref="J645:J646"/>
    <mergeCell ref="B639:C639"/>
    <mergeCell ref="A589:J589"/>
    <mergeCell ref="A590:J590"/>
    <mergeCell ref="A591:J591"/>
    <mergeCell ref="B592:B593"/>
    <mergeCell ref="C592:C593"/>
    <mergeCell ref="D592:D593"/>
    <mergeCell ref="F592:F593"/>
    <mergeCell ref="G592:G593"/>
    <mergeCell ref="H592:H593"/>
    <mergeCell ref="I592:I593"/>
    <mergeCell ref="J592:J593"/>
    <mergeCell ref="B586:C586"/>
    <mergeCell ref="F586:I586"/>
    <mergeCell ref="A536:J536"/>
    <mergeCell ref="A537:J537"/>
    <mergeCell ref="B539:B540"/>
    <mergeCell ref="C539:C540"/>
    <mergeCell ref="D539:D540"/>
    <mergeCell ref="F539:F540"/>
    <mergeCell ref="G539:G540"/>
    <mergeCell ref="H539:H540"/>
    <mergeCell ref="I539:I540"/>
    <mergeCell ref="J539:J540"/>
    <mergeCell ref="B427:C427"/>
    <mergeCell ref="F427:I427"/>
    <mergeCell ref="A377:J377"/>
    <mergeCell ref="A378:J378"/>
    <mergeCell ref="A379:J379"/>
    <mergeCell ref="B380:B381"/>
    <mergeCell ref="C380:C381"/>
    <mergeCell ref="D380:D381"/>
    <mergeCell ref="F380:F381"/>
    <mergeCell ref="G380:G381"/>
    <mergeCell ref="H380:H381"/>
    <mergeCell ref="I380:I381"/>
    <mergeCell ref="J380:J381"/>
    <mergeCell ref="B374:C374"/>
    <mergeCell ref="F374:I374"/>
    <mergeCell ref="A324:J324"/>
    <mergeCell ref="A325:J325"/>
    <mergeCell ref="A326:J326"/>
    <mergeCell ref="B327:B328"/>
    <mergeCell ref="C327:C328"/>
    <mergeCell ref="D327:D328"/>
    <mergeCell ref="F327:F328"/>
    <mergeCell ref="G327:G328"/>
    <mergeCell ref="H327:H328"/>
    <mergeCell ref="I327:I328"/>
    <mergeCell ref="J327:J328"/>
    <mergeCell ref="M267:N267"/>
    <mergeCell ref="Q267:T267"/>
    <mergeCell ref="L218:U218"/>
    <mergeCell ref="L219:U219"/>
    <mergeCell ref="M220:M221"/>
    <mergeCell ref="N220:N221"/>
    <mergeCell ref="O220:O221"/>
    <mergeCell ref="Q220:Q221"/>
    <mergeCell ref="R220:R221"/>
    <mergeCell ref="S220:S221"/>
    <mergeCell ref="T220:T221"/>
    <mergeCell ref="U220:U221"/>
    <mergeCell ref="H221:H222"/>
    <mergeCell ref="I221:I222"/>
    <mergeCell ref="J221:J222"/>
    <mergeCell ref="B321:C321"/>
    <mergeCell ref="F321:I321"/>
    <mergeCell ref="B268:C268"/>
    <mergeCell ref="F268:I268"/>
    <mergeCell ref="A271:J271"/>
    <mergeCell ref="A272:J272"/>
    <mergeCell ref="A273:J273"/>
    <mergeCell ref="B274:B275"/>
    <mergeCell ref="C274:C275"/>
    <mergeCell ref="D274:D275"/>
    <mergeCell ref="F274:F275"/>
    <mergeCell ref="G274:G275"/>
    <mergeCell ref="H274:H275"/>
    <mergeCell ref="I274:I275"/>
    <mergeCell ref="J274:J275"/>
    <mergeCell ref="A113:J113"/>
    <mergeCell ref="A114:J114"/>
    <mergeCell ref="A115:J115"/>
    <mergeCell ref="B116:B117"/>
    <mergeCell ref="C116:C117"/>
    <mergeCell ref="D116:D117"/>
    <mergeCell ref="F116:F117"/>
    <mergeCell ref="G116:G117"/>
    <mergeCell ref="H116:H117"/>
    <mergeCell ref="I116:I117"/>
    <mergeCell ref="J116:J117"/>
    <mergeCell ref="A1:J1"/>
    <mergeCell ref="A2:J2"/>
    <mergeCell ref="A3:J3"/>
    <mergeCell ref="A62:J62"/>
    <mergeCell ref="B56:C56"/>
    <mergeCell ref="F56:I56"/>
    <mergeCell ref="B5:B6"/>
    <mergeCell ref="C5:C6"/>
    <mergeCell ref="D5:D6"/>
    <mergeCell ref="F5:F6"/>
    <mergeCell ref="G5:G6"/>
    <mergeCell ref="H5:H6"/>
    <mergeCell ref="I5:I6"/>
    <mergeCell ref="J5:J6"/>
    <mergeCell ref="A4:J4"/>
    <mergeCell ref="B110:C110"/>
    <mergeCell ref="F110:I110"/>
    <mergeCell ref="A59:J59"/>
    <mergeCell ref="A60:J60"/>
    <mergeCell ref="A61:J61"/>
    <mergeCell ref="B63:B64"/>
    <mergeCell ref="C63:C64"/>
    <mergeCell ref="D63:D64"/>
    <mergeCell ref="F63:F64"/>
    <mergeCell ref="G63:G64"/>
    <mergeCell ref="H63:H64"/>
    <mergeCell ref="I63:I64"/>
    <mergeCell ref="J63:J64"/>
    <mergeCell ref="M56:N56"/>
    <mergeCell ref="Q56:T56"/>
    <mergeCell ref="L60:U60"/>
    <mergeCell ref="L61:U61"/>
    <mergeCell ref="L62:U62"/>
    <mergeCell ref="L2:U2"/>
    <mergeCell ref="L3:U3"/>
    <mergeCell ref="L4:U4"/>
    <mergeCell ref="M5:M6"/>
    <mergeCell ref="N5:N6"/>
    <mergeCell ref="O5:O6"/>
    <mergeCell ref="Q5:Q6"/>
    <mergeCell ref="R5:R6"/>
    <mergeCell ref="S5:S6"/>
    <mergeCell ref="T5:T6"/>
    <mergeCell ref="U5:U6"/>
    <mergeCell ref="S63:S64"/>
    <mergeCell ref="T63:T64"/>
    <mergeCell ref="U63:U64"/>
    <mergeCell ref="M110:N110"/>
    <mergeCell ref="Q110:T110"/>
    <mergeCell ref="M63:M64"/>
    <mergeCell ref="N63:N64"/>
    <mergeCell ref="O63:O64"/>
    <mergeCell ref="Q63:Q64"/>
    <mergeCell ref="R63:R64"/>
    <mergeCell ref="Q163:T163"/>
    <mergeCell ref="L165:U165"/>
    <mergeCell ref="L166:U166"/>
    <mergeCell ref="L167:U167"/>
    <mergeCell ref="L113:U113"/>
    <mergeCell ref="L114:U114"/>
    <mergeCell ref="L115:U115"/>
    <mergeCell ref="M116:M117"/>
    <mergeCell ref="N116:N117"/>
    <mergeCell ref="O116:O117"/>
    <mergeCell ref="Q116:Q117"/>
    <mergeCell ref="R116:R117"/>
    <mergeCell ref="S116:S117"/>
    <mergeCell ref="T116:T117"/>
    <mergeCell ref="U116:U117"/>
    <mergeCell ref="A218:J218"/>
    <mergeCell ref="A219:J219"/>
    <mergeCell ref="A220:J220"/>
    <mergeCell ref="B221:B222"/>
    <mergeCell ref="C221:C222"/>
    <mergeCell ref="D221:D222"/>
    <mergeCell ref="F221:F222"/>
    <mergeCell ref="G221:G222"/>
    <mergeCell ref="M163:N163"/>
    <mergeCell ref="B215:C215"/>
    <mergeCell ref="F215:I215"/>
    <mergeCell ref="A165:J165"/>
    <mergeCell ref="A166:J166"/>
    <mergeCell ref="A167:J167"/>
    <mergeCell ref="B168:B169"/>
    <mergeCell ref="C168:C169"/>
    <mergeCell ref="D168:D169"/>
    <mergeCell ref="F168:F169"/>
    <mergeCell ref="G168:G169"/>
    <mergeCell ref="H168:H169"/>
    <mergeCell ref="I168:I169"/>
    <mergeCell ref="J168:J169"/>
    <mergeCell ref="B163:C163"/>
    <mergeCell ref="F163:I163"/>
    <mergeCell ref="S168:S169"/>
    <mergeCell ref="T168:T169"/>
    <mergeCell ref="U168:U169"/>
    <mergeCell ref="M215:N215"/>
    <mergeCell ref="Q215:T215"/>
    <mergeCell ref="M168:M169"/>
    <mergeCell ref="N168:N169"/>
    <mergeCell ref="O168:O169"/>
    <mergeCell ref="Q168:Q169"/>
    <mergeCell ref="R168:R169"/>
    <mergeCell ref="B480:C480"/>
    <mergeCell ref="F480:I480"/>
    <mergeCell ref="A430:J430"/>
    <mergeCell ref="A431:J431"/>
    <mergeCell ref="A432:J432"/>
    <mergeCell ref="B433:B434"/>
    <mergeCell ref="C433:C434"/>
    <mergeCell ref="D433:D434"/>
    <mergeCell ref="F433:F434"/>
    <mergeCell ref="G433:G434"/>
    <mergeCell ref="H433:H434"/>
    <mergeCell ref="I433:I434"/>
    <mergeCell ref="J433:J434"/>
    <mergeCell ref="B533:C533"/>
    <mergeCell ref="F533:I533"/>
    <mergeCell ref="A483:J483"/>
    <mergeCell ref="A484:J484"/>
    <mergeCell ref="A538:J538"/>
    <mergeCell ref="B486:B487"/>
    <mergeCell ref="C486:C487"/>
    <mergeCell ref="D486:D487"/>
    <mergeCell ref="F486:F487"/>
    <mergeCell ref="G486:G487"/>
    <mergeCell ref="H486:H487"/>
    <mergeCell ref="I486:I487"/>
    <mergeCell ref="J486:J487"/>
    <mergeCell ref="A485:J485"/>
    <mergeCell ref="M376:N376"/>
    <mergeCell ref="Q376:T376"/>
    <mergeCell ref="M372:N372"/>
    <mergeCell ref="Q372:T372"/>
    <mergeCell ref="L323:U323"/>
    <mergeCell ref="L324:U324"/>
    <mergeCell ref="M325:M326"/>
    <mergeCell ref="S325:S326"/>
    <mergeCell ref="T325:T326"/>
    <mergeCell ref="U325:U326"/>
    <mergeCell ref="N325:N326"/>
    <mergeCell ref="O325:O326"/>
    <mergeCell ref="Q325:Q326"/>
    <mergeCell ref="R325:R326"/>
    <mergeCell ref="M321:N321"/>
    <mergeCell ref="Q321:T321"/>
    <mergeCell ref="L272:U272"/>
    <mergeCell ref="L273:U273"/>
    <mergeCell ref="M274:M275"/>
    <mergeCell ref="N274:N275"/>
    <mergeCell ref="O274:O275"/>
    <mergeCell ref="Q274:Q275"/>
    <mergeCell ref="R274:R275"/>
    <mergeCell ref="S274:S275"/>
    <mergeCell ref="T274:T275"/>
    <mergeCell ref="U274:U275"/>
    <mergeCell ref="I698:I699"/>
    <mergeCell ref="J698:J699"/>
    <mergeCell ref="B798:C798"/>
    <mergeCell ref="F798:I798"/>
    <mergeCell ref="A748:J748"/>
    <mergeCell ref="A749:J749"/>
    <mergeCell ref="A750:J750"/>
    <mergeCell ref="B751:B752"/>
    <mergeCell ref="C751:C752"/>
    <mergeCell ref="D751:D752"/>
    <mergeCell ref="F751:F752"/>
    <mergeCell ref="G751:G752"/>
    <mergeCell ref="H751:H752"/>
    <mergeCell ref="I751:I752"/>
    <mergeCell ref="J751:J752"/>
    <mergeCell ref="B745:C745"/>
    <mergeCell ref="G698:G699"/>
    <mergeCell ref="H698:H699"/>
    <mergeCell ref="A695:J695"/>
    <mergeCell ref="A696:J696"/>
    <mergeCell ref="A697:J697"/>
    <mergeCell ref="B698:B699"/>
    <mergeCell ref="C698:C699"/>
    <mergeCell ref="D698:D699"/>
    <mergeCell ref="B955:C955"/>
    <mergeCell ref="F955:I955"/>
    <mergeCell ref="A905:J905"/>
    <mergeCell ref="A906:J906"/>
    <mergeCell ref="A907:J907"/>
    <mergeCell ref="B908:B909"/>
    <mergeCell ref="C908:C909"/>
    <mergeCell ref="D908:D909"/>
    <mergeCell ref="F908:F909"/>
    <mergeCell ref="G908:G909"/>
    <mergeCell ref="H908:H909"/>
    <mergeCell ref="I908:I909"/>
    <mergeCell ref="J908:J909"/>
    <mergeCell ref="B850:C850"/>
    <mergeCell ref="F850:I850"/>
    <mergeCell ref="A800:J800"/>
    <mergeCell ref="A801:J801"/>
    <mergeCell ref="F698:F699"/>
    <mergeCell ref="B1009:C1009"/>
    <mergeCell ref="B1166:C1166"/>
    <mergeCell ref="A1116:J1116"/>
    <mergeCell ref="A1117:J1117"/>
    <mergeCell ref="B1119:B1120"/>
    <mergeCell ref="C1119:C1120"/>
    <mergeCell ref="D1119:D1120"/>
    <mergeCell ref="F1119:F1120"/>
    <mergeCell ref="G1119:G1120"/>
    <mergeCell ref="H1119:H1120"/>
    <mergeCell ref="I1119:I1120"/>
    <mergeCell ref="J1119:J1120"/>
    <mergeCell ref="B1114:C1114"/>
    <mergeCell ref="A1064:J1064"/>
    <mergeCell ref="A1065:J1065"/>
    <mergeCell ref="A1118:J1118"/>
    <mergeCell ref="B1067:B1068"/>
    <mergeCell ref="C1067:C1068"/>
    <mergeCell ref="D1067:D1068"/>
    <mergeCell ref="F1067:F1068"/>
    <mergeCell ref="G1067:G1068"/>
    <mergeCell ref="H1067:H1068"/>
    <mergeCell ref="I1067:I1068"/>
    <mergeCell ref="J1067:J1068"/>
    <mergeCell ref="B903:C903"/>
    <mergeCell ref="A853:J853"/>
    <mergeCell ref="A855:J855"/>
    <mergeCell ref="B856:B857"/>
    <mergeCell ref="C856:C857"/>
    <mergeCell ref="D856:D857"/>
    <mergeCell ref="F856:F857"/>
    <mergeCell ref="G856:G857"/>
    <mergeCell ref="H856:H857"/>
    <mergeCell ref="I856:I857"/>
    <mergeCell ref="J856:J857"/>
    <mergeCell ref="A854:J854"/>
    <mergeCell ref="A802:J802"/>
    <mergeCell ref="B803:B804"/>
    <mergeCell ref="C803:C804"/>
    <mergeCell ref="D803:D804"/>
    <mergeCell ref="F803:F804"/>
    <mergeCell ref="G803:G804"/>
    <mergeCell ref="H803:H804"/>
    <mergeCell ref="I803:I804"/>
    <mergeCell ref="J803:J804"/>
    <mergeCell ref="A1585:J1585"/>
    <mergeCell ref="A1532:J1532"/>
    <mergeCell ref="A1533:J1533"/>
    <mergeCell ref="A1534:J1534"/>
    <mergeCell ref="B1535:B1536"/>
    <mergeCell ref="C1535:C1536"/>
    <mergeCell ref="B1062:C1062"/>
    <mergeCell ref="A1012:J1012"/>
    <mergeCell ref="A1013:J1013"/>
    <mergeCell ref="A1014:J1014"/>
    <mergeCell ref="B1015:B1016"/>
    <mergeCell ref="C1015:C1016"/>
    <mergeCell ref="D1015:D1016"/>
    <mergeCell ref="F1015:F1016"/>
    <mergeCell ref="G1015:G1016"/>
    <mergeCell ref="H1015:H1016"/>
    <mergeCell ref="I1015:I1016"/>
    <mergeCell ref="J1015:J1016"/>
    <mergeCell ref="A1168:J1168"/>
    <mergeCell ref="A1169:J1169"/>
    <mergeCell ref="A1170:J1170"/>
    <mergeCell ref="B1171:B1172"/>
    <mergeCell ref="C1171:C1172"/>
    <mergeCell ref="A1066:J1066"/>
    <mergeCell ref="A1844:J1844"/>
    <mergeCell ref="A1845:J1845"/>
    <mergeCell ref="A1846:J1846"/>
    <mergeCell ref="B1847:B1848"/>
    <mergeCell ref="C1847:C1848"/>
    <mergeCell ref="J1847:J1848"/>
    <mergeCell ref="J1431:J1432"/>
    <mergeCell ref="J1483:J1484"/>
    <mergeCell ref="J1535:J1536"/>
    <mergeCell ref="J1587:J1588"/>
    <mergeCell ref="J1639:J1640"/>
    <mergeCell ref="J1691:J1692"/>
    <mergeCell ref="J1743:J1744"/>
    <mergeCell ref="A1688:J1688"/>
    <mergeCell ref="A1689:J1689"/>
    <mergeCell ref="A1690:J1690"/>
    <mergeCell ref="B1691:B1692"/>
    <mergeCell ref="C1691:C1692"/>
    <mergeCell ref="A1636:J1636"/>
    <mergeCell ref="A1637:J1637"/>
    <mergeCell ref="A1638:J1638"/>
    <mergeCell ref="B1639:B1640"/>
    <mergeCell ref="C1639:C1640"/>
    <mergeCell ref="A1584:J1584"/>
    <mergeCell ref="M428:N428"/>
    <mergeCell ref="Q428:T428"/>
    <mergeCell ref="L379:U379"/>
    <mergeCell ref="L380:U380"/>
    <mergeCell ref="M381:M382"/>
    <mergeCell ref="N381:N382"/>
    <mergeCell ref="O381:O382"/>
    <mergeCell ref="Q381:Q382"/>
    <mergeCell ref="R381:R382"/>
    <mergeCell ref="S381:S382"/>
    <mergeCell ref="T381:T382"/>
    <mergeCell ref="U381:U382"/>
  </mergeCells>
  <printOptions horizontalCentered="1"/>
  <pageMargins left="0" right="0" top="0.59055118110236227" bottom="0.39370078740157483" header="0.31496062992125984" footer="0.31496062992125984"/>
  <pageSetup paperSize="9" scale="59" orientation="portrait" verticalDpi="300" r:id="rId1"/>
  <rowBreaks count="12" manualBreakCount="12">
    <brk id="59" max="20" man="1"/>
    <brk id="112" max="20" man="1"/>
    <brk id="164" max="16383" man="1"/>
    <brk id="217" max="20" man="1"/>
    <brk id="270" max="20" man="1"/>
    <brk id="323" max="20" man="1"/>
    <brk id="376" max="20" man="1"/>
    <brk id="429" max="20" man="1"/>
    <brk id="482" max="20" man="1"/>
    <brk id="535" max="20" man="1"/>
    <brk id="588" max="20" man="1"/>
    <brk id="641" max="20" man="1"/>
  </rowBreaks>
  <colBreaks count="1" manualBreakCount="1">
    <brk id="10" max="692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3:L7"/>
  <sheetViews>
    <sheetView workbookViewId="0">
      <selection activeCell="O17" sqref="O17"/>
    </sheetView>
  </sheetViews>
  <sheetFormatPr defaultRowHeight="15" x14ac:dyDescent="0.25"/>
  <cols>
    <col min="2" max="2" width="4" bestFit="1" customWidth="1"/>
    <col min="3" max="3" width="24.42578125" bestFit="1" customWidth="1"/>
    <col min="4" max="4" width="19.42578125" customWidth="1"/>
    <col min="12" max="12" width="10.28515625" customWidth="1"/>
  </cols>
  <sheetData>
    <row r="3" spans="2:12" x14ac:dyDescent="0.25">
      <c r="B3" s="109">
        <v>317</v>
      </c>
      <c r="C3" s="110" t="s">
        <v>728</v>
      </c>
      <c r="D3" s="111">
        <v>0</v>
      </c>
      <c r="E3" s="112" t="s">
        <v>21</v>
      </c>
      <c r="F3" s="112" t="s">
        <v>264</v>
      </c>
      <c r="G3" s="112" t="s">
        <v>605</v>
      </c>
      <c r="H3" s="112" t="s">
        <v>729</v>
      </c>
      <c r="I3" s="110"/>
      <c r="J3" s="110"/>
      <c r="K3" s="110">
        <v>19</v>
      </c>
      <c r="L3" s="113">
        <v>190</v>
      </c>
    </row>
    <row r="4" spans="2:12" x14ac:dyDescent="0.25">
      <c r="B4" s="114">
        <v>999</v>
      </c>
      <c r="C4" s="115" t="s">
        <v>2082</v>
      </c>
      <c r="D4" s="116">
        <v>0</v>
      </c>
      <c r="E4" s="117" t="s">
        <v>21</v>
      </c>
      <c r="F4" s="117">
        <v>5490</v>
      </c>
      <c r="G4" s="117" t="s">
        <v>37</v>
      </c>
      <c r="H4" s="117" t="s">
        <v>2083</v>
      </c>
      <c r="I4" s="115"/>
      <c r="J4" s="115"/>
      <c r="K4" s="115">
        <v>0</v>
      </c>
      <c r="L4" s="118">
        <v>0</v>
      </c>
    </row>
    <row r="5" spans="2:12" x14ac:dyDescent="0.25">
      <c r="B5" s="109">
        <v>317</v>
      </c>
      <c r="C5" s="110" t="s">
        <v>728</v>
      </c>
      <c r="D5" s="111">
        <v>0</v>
      </c>
      <c r="E5" s="112" t="s">
        <v>21</v>
      </c>
      <c r="F5" s="112" t="s">
        <v>264</v>
      </c>
      <c r="G5" s="112" t="s">
        <v>605</v>
      </c>
      <c r="H5" s="112" t="s">
        <v>729</v>
      </c>
      <c r="I5" s="110"/>
      <c r="J5" s="110"/>
      <c r="K5" s="110">
        <v>19</v>
      </c>
      <c r="L5" s="113">
        <v>190</v>
      </c>
    </row>
    <row r="6" spans="2:12" x14ac:dyDescent="0.25">
      <c r="B6" s="114">
        <v>317</v>
      </c>
      <c r="C6" s="115" t="s">
        <v>728</v>
      </c>
      <c r="D6" s="116">
        <v>0</v>
      </c>
      <c r="E6" s="117" t="s">
        <v>21</v>
      </c>
      <c r="F6" s="117" t="s">
        <v>264</v>
      </c>
      <c r="G6" s="117" t="s">
        <v>605</v>
      </c>
      <c r="H6" s="117" t="s">
        <v>729</v>
      </c>
      <c r="I6" s="115"/>
      <c r="J6" s="115"/>
      <c r="K6" s="115">
        <v>19</v>
      </c>
      <c r="L6" s="118">
        <v>190</v>
      </c>
    </row>
    <row r="7" spans="2:12" x14ac:dyDescent="0.25">
      <c r="B7" s="109">
        <v>317</v>
      </c>
      <c r="C7" s="110" t="s">
        <v>728</v>
      </c>
      <c r="D7" s="111">
        <v>0</v>
      </c>
      <c r="E7" s="112" t="s">
        <v>21</v>
      </c>
      <c r="F7" s="112" t="s">
        <v>264</v>
      </c>
      <c r="G7" s="112" t="s">
        <v>605</v>
      </c>
      <c r="H7" s="112" t="s">
        <v>729</v>
      </c>
      <c r="I7" s="110"/>
      <c r="J7" s="110"/>
      <c r="K7" s="110">
        <v>19</v>
      </c>
      <c r="L7" s="113">
        <v>190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Apoio!$G$5:$G$9</xm:f>
          </x14:formula1>
          <xm:sqref>J3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>
      <selection activeCell="O17" sqref="O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>
      <selection activeCell="O17" sqref="O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AE31"/>
  <sheetViews>
    <sheetView showGridLines="0" zoomScale="160" zoomScaleNormal="160" zoomScaleSheetLayoutView="115" workbookViewId="0">
      <selection activeCell="B10" sqref="B10"/>
    </sheetView>
  </sheetViews>
  <sheetFormatPr defaultRowHeight="15" x14ac:dyDescent="0.25"/>
  <cols>
    <col min="1" max="1" width="2.7109375" style="1" customWidth="1"/>
    <col min="2" max="2" width="23.140625" style="1" customWidth="1"/>
    <col min="3" max="3" width="33.140625" style="1" customWidth="1"/>
    <col min="4" max="5" width="8.7109375" style="1" hidden="1" customWidth="1"/>
    <col min="6" max="6" width="9.5703125" style="1" hidden="1" customWidth="1"/>
    <col min="7" max="11" width="7.7109375" style="1" customWidth="1"/>
    <col min="12" max="12" width="13.42578125" style="153" customWidth="1"/>
    <col min="13" max="17" width="6.5703125" style="1" hidden="1" customWidth="1"/>
    <col min="18" max="18" width="13.140625" style="1" hidden="1" customWidth="1"/>
    <col min="19" max="23" width="6.5703125" style="1" hidden="1" customWidth="1"/>
    <col min="24" max="24" width="12.85546875" style="1" hidden="1" customWidth="1"/>
    <col min="25" max="29" width="6.5703125" style="1" hidden="1" customWidth="1"/>
    <col min="30" max="30" width="13.140625" style="1" hidden="1" customWidth="1"/>
    <col min="31" max="31" width="5.42578125" style="1" hidden="1" customWidth="1"/>
    <col min="32" max="16384" width="9.140625" style="1"/>
  </cols>
  <sheetData>
    <row r="2" spans="2:31" x14ac:dyDescent="0.25">
      <c r="G2" s="239" t="s">
        <v>5320</v>
      </c>
      <c r="H2" s="239"/>
      <c r="I2" s="239"/>
      <c r="J2" s="239"/>
      <c r="K2" s="239"/>
      <c r="M2" s="240" t="s">
        <v>4919</v>
      </c>
      <c r="N2" s="240"/>
      <c r="O2" s="240"/>
      <c r="P2" s="240"/>
      <c r="Q2" s="240"/>
      <c r="S2" s="241" t="s">
        <v>4920</v>
      </c>
      <c r="T2" s="242"/>
      <c r="U2" s="242"/>
      <c r="V2" s="242"/>
      <c r="W2" s="243"/>
      <c r="Y2" s="240" t="s">
        <v>4921</v>
      </c>
      <c r="Z2" s="240"/>
      <c r="AA2" s="240"/>
      <c r="AB2" s="240"/>
      <c r="AC2" s="240"/>
    </row>
    <row r="3" spans="2:31" x14ac:dyDescent="0.25">
      <c r="B3" s="173" t="s">
        <v>0</v>
      </c>
      <c r="C3" s="173" t="s">
        <v>4922</v>
      </c>
      <c r="D3" s="173" t="s">
        <v>4923</v>
      </c>
      <c r="E3" s="173" t="s">
        <v>4924</v>
      </c>
      <c r="F3" s="173" t="s">
        <v>4925</v>
      </c>
      <c r="G3" s="174" t="s">
        <v>5322</v>
      </c>
      <c r="H3" s="174" t="s">
        <v>5323</v>
      </c>
      <c r="I3" s="174" t="s">
        <v>5324</v>
      </c>
      <c r="J3" s="174" t="s">
        <v>5325</v>
      </c>
      <c r="K3" s="174" t="s">
        <v>5321</v>
      </c>
      <c r="L3" s="154" t="s">
        <v>5326</v>
      </c>
      <c r="M3" s="175" t="s">
        <v>4926</v>
      </c>
      <c r="N3" s="175" t="s">
        <v>4927</v>
      </c>
      <c r="O3" s="175" t="s">
        <v>4928</v>
      </c>
      <c r="P3" s="175" t="s">
        <v>4929</v>
      </c>
      <c r="Q3" s="175" t="s">
        <v>4930</v>
      </c>
      <c r="R3" s="151" t="s">
        <v>4931</v>
      </c>
      <c r="S3" s="175" t="s">
        <v>4932</v>
      </c>
      <c r="T3" s="175" t="s">
        <v>4933</v>
      </c>
      <c r="U3" s="175" t="s">
        <v>4934</v>
      </c>
      <c r="V3" s="175" t="s">
        <v>4935</v>
      </c>
      <c r="W3" s="175" t="s">
        <v>4936</v>
      </c>
      <c r="X3" s="152" t="s">
        <v>4937</v>
      </c>
      <c r="Y3" s="175" t="s">
        <v>4938</v>
      </c>
      <c r="Z3" s="175" t="s">
        <v>4939</v>
      </c>
      <c r="AA3" s="175" t="s">
        <v>4940</v>
      </c>
      <c r="AB3" s="175" t="s">
        <v>4941</v>
      </c>
      <c r="AC3" s="175" t="s">
        <v>4942</v>
      </c>
      <c r="AD3" s="152" t="s">
        <v>4943</v>
      </c>
      <c r="AE3" s="173" t="s">
        <v>4944</v>
      </c>
    </row>
    <row r="4" spans="2:31" x14ac:dyDescent="0.25">
      <c r="C4" s="1" t="str">
        <f>IFERROR(VLOOKUP(Tabela7[[#This Row],[ID]],Tabela1[],2,0),"")</f>
        <v/>
      </c>
      <c r="L4" s="153">
        <f>SUM(Tabela7[[#This Row],[26/jan]:[23/jan]])</f>
        <v>0</v>
      </c>
      <c r="R4" s="1">
        <f>SUM(Tabela7[[#This Row],[11/jul2]:[08/jul26]])</f>
        <v>0</v>
      </c>
      <c r="X4" s="1">
        <f>SUM(Tabela7[[#This Row],[18/jul2]:[15/jul2]])</f>
        <v>0</v>
      </c>
      <c r="AD4" s="1">
        <f>SUM(Tabela7[[#This Row],[25/jul2]:[22/jul2]])</f>
        <v>0</v>
      </c>
      <c r="AE4" s="1">
        <f>SUM(Tabela7[[#This Row],[25/07 À 28/07]]+Tabela7[[#This Row],[15/07 À 21/07]]+Tabela7[[#This Row],[08/07 À 14/077]]+Tabela7[[#This Row],[23/01 à 29/01]])</f>
        <v>0</v>
      </c>
    </row>
    <row r="5" spans="2:31" x14ac:dyDescent="0.25">
      <c r="C5" s="179" t="str">
        <f>IFERROR(VLOOKUP(Tabela7[[#This Row],[ID]],Tabela1[],2,0),"")</f>
        <v/>
      </c>
      <c r="D5" s="179"/>
      <c r="E5" s="179"/>
      <c r="F5" s="179"/>
      <c r="G5" s="179"/>
      <c r="H5" s="179"/>
      <c r="I5" s="179"/>
      <c r="J5" s="179"/>
      <c r="K5" s="179"/>
      <c r="L5" s="153">
        <f>SUM(Tabela7[[#This Row],[26/jan]:[23/jan]])</f>
        <v>0</v>
      </c>
      <c r="M5" s="179"/>
      <c r="N5" s="179"/>
      <c r="O5" s="179"/>
      <c r="P5" s="179"/>
      <c r="Q5" s="179"/>
      <c r="R5" s="179">
        <f>SUM(Tabela7[[#This Row],[11/jul2]:[08/jul26]])</f>
        <v>0</v>
      </c>
      <c r="S5" s="179"/>
      <c r="T5" s="179"/>
      <c r="U5" s="179"/>
      <c r="V5" s="179"/>
      <c r="W5" s="179"/>
      <c r="X5" s="179">
        <f>SUM(Tabela7[[#This Row],[18/jul2]:[15/jul2]])</f>
        <v>0</v>
      </c>
      <c r="Y5" s="179"/>
      <c r="Z5" s="179"/>
      <c r="AA5" s="179"/>
      <c r="AB5" s="179"/>
      <c r="AC5" s="179"/>
      <c r="AD5" s="179">
        <f>SUM(Tabela7[[#This Row],[25/jul2]:[22/jul2]])</f>
        <v>0</v>
      </c>
      <c r="AE5" s="179">
        <f>SUM(Tabela7[[#This Row],[25/07 À 28/07]]+Tabela7[[#This Row],[15/07 À 21/07]]+Tabela7[[#This Row],[08/07 À 14/077]]+Tabela7[[#This Row],[23/01 à 29/01]])</f>
        <v>0</v>
      </c>
    </row>
    <row r="6" spans="2:31" x14ac:dyDescent="0.25">
      <c r="C6" s="1" t="str">
        <f>IFERROR(VLOOKUP(Tabela7[[#This Row],[ID]],Tabela1[],2,0),"")</f>
        <v/>
      </c>
      <c r="L6" s="153">
        <f>SUM(Tabela7[[#This Row],[26/jan]:[23/jan]])</f>
        <v>0</v>
      </c>
      <c r="R6" s="1">
        <f>SUM(Tabela7[[#This Row],[11/jul2]:[08/jul26]])</f>
        <v>0</v>
      </c>
      <c r="X6" s="1">
        <f>SUM(Tabela7[[#This Row],[18/jul2]:[15/jul2]])</f>
        <v>0</v>
      </c>
      <c r="AD6" s="1">
        <f>SUM(Tabela7[[#This Row],[25/jul2]:[22/jul2]])</f>
        <v>0</v>
      </c>
      <c r="AE6" s="1">
        <f>SUM(Tabela7[[#This Row],[25/07 À 28/07]]+Tabela7[[#This Row],[15/07 À 21/07]]+Tabela7[[#This Row],[08/07 À 14/077]]+Tabela7[[#This Row],[23/01 à 29/01]])</f>
        <v>0</v>
      </c>
    </row>
    <row r="7" spans="2:31" x14ac:dyDescent="0.25">
      <c r="B7" s="179"/>
      <c r="C7" s="179" t="str">
        <f>IFERROR(VLOOKUP(Tabela7[[#This Row],[ID]],Tabela1[],2,0),"")</f>
        <v/>
      </c>
      <c r="D7" s="179"/>
      <c r="E7" s="179"/>
      <c r="F7" s="179"/>
      <c r="G7" s="179"/>
      <c r="H7" s="179"/>
      <c r="I7" s="181"/>
      <c r="J7" s="179"/>
      <c r="K7" s="179"/>
      <c r="L7" s="153">
        <f>SUM(Tabela7[[#This Row],[26/jan]:[23/jan]])</f>
        <v>0</v>
      </c>
      <c r="M7" s="179"/>
      <c r="N7" s="179"/>
      <c r="O7" s="179"/>
      <c r="P7" s="179"/>
      <c r="Q7" s="179"/>
      <c r="R7" s="179">
        <f>SUM(Tabela7[[#This Row],[11/jul2]:[08/jul26]])</f>
        <v>0</v>
      </c>
      <c r="S7" s="179"/>
      <c r="T7" s="179"/>
      <c r="U7" s="179"/>
      <c r="V7" s="179"/>
      <c r="W7" s="179"/>
      <c r="X7" s="179">
        <f>SUM(Tabela7[[#This Row],[18/jul2]:[15/jul2]])</f>
        <v>0</v>
      </c>
      <c r="Y7" s="179"/>
      <c r="Z7" s="179"/>
      <c r="AA7" s="179"/>
      <c r="AB7" s="179"/>
      <c r="AC7" s="179"/>
      <c r="AD7" s="179">
        <f>SUM(Tabela7[[#This Row],[25/jul2]:[22/jul2]])</f>
        <v>0</v>
      </c>
      <c r="AE7" s="179">
        <f>SUM(Tabela7[[#This Row],[25/07 À 28/07]]+Tabela7[[#This Row],[15/07 À 21/07]]+Tabela7[[#This Row],[08/07 À 14/077]]+Tabela7[[#This Row],[23/01 à 29/01]])</f>
        <v>0</v>
      </c>
    </row>
    <row r="8" spans="2:31" x14ac:dyDescent="0.25">
      <c r="B8" s="179"/>
      <c r="C8" s="179" t="str">
        <f>IFERROR(VLOOKUP(Tabela7[[#This Row],[ID]],Tabela1[],2,0),"")</f>
        <v/>
      </c>
      <c r="D8" s="179"/>
      <c r="E8" s="179"/>
      <c r="F8" s="179"/>
      <c r="G8" s="179"/>
      <c r="H8" s="179"/>
      <c r="I8" s="179"/>
      <c r="J8" s="179"/>
      <c r="K8" s="179"/>
      <c r="L8" s="153">
        <f>SUM(Tabela7[[#This Row],[26/jan]:[23/jan]])</f>
        <v>0</v>
      </c>
      <c r="M8" s="179"/>
      <c r="N8" s="179"/>
      <c r="O8" s="179"/>
      <c r="P8" s="179"/>
      <c r="Q8" s="179"/>
      <c r="R8" s="179">
        <f>SUM(Tabela7[[#This Row],[11/jul2]:[08/jul26]])</f>
        <v>0</v>
      </c>
      <c r="S8" s="179"/>
      <c r="T8" s="179"/>
      <c r="U8" s="179"/>
      <c r="V8" s="179"/>
      <c r="W8" s="179"/>
      <c r="X8" s="179">
        <f>SUM(Tabela7[[#This Row],[18/jul2]:[15/jul2]])</f>
        <v>0</v>
      </c>
      <c r="Y8" s="179"/>
      <c r="Z8" s="179"/>
      <c r="AA8" s="179"/>
      <c r="AB8" s="179"/>
      <c r="AC8" s="179"/>
      <c r="AD8" s="179">
        <f>SUM(Tabela7[[#This Row],[25/jul2]:[22/jul2]])</f>
        <v>0</v>
      </c>
      <c r="AE8" s="179">
        <f>SUM(Tabela7[[#This Row],[25/07 À 28/07]]+Tabela7[[#This Row],[15/07 À 21/07]]+Tabela7[[#This Row],[08/07 À 14/077]]+Tabela7[[#This Row],[23/01 à 29/01]])</f>
        <v>0</v>
      </c>
    </row>
    <row r="9" spans="2:31" x14ac:dyDescent="0.25">
      <c r="C9" s="1" t="str">
        <f>IFERROR(VLOOKUP(Tabela7[[#This Row],[ID]],Tabela1[],2,0),"")</f>
        <v/>
      </c>
      <c r="L9" s="153">
        <f>SUM(Tabela7[[#This Row],[26/jan]:[23/jan]])</f>
        <v>0</v>
      </c>
      <c r="R9" s="1">
        <f>SUM(Tabela7[[#This Row],[11/jul2]:[08/jul26]])</f>
        <v>0</v>
      </c>
      <c r="X9" s="1">
        <f>SUM(Tabela7[[#This Row],[18/jul2]:[15/jul2]])</f>
        <v>0</v>
      </c>
      <c r="AD9" s="1">
        <f>SUM(Tabela7[[#This Row],[25/jul2]:[22/jul2]])</f>
        <v>0</v>
      </c>
      <c r="AE9" s="1">
        <f>SUM(Tabela7[[#This Row],[25/07 À 28/07]]+Tabela7[[#This Row],[15/07 À 21/07]]+Tabela7[[#This Row],[08/07 À 14/077]]+Tabela7[[#This Row],[23/01 à 29/01]])</f>
        <v>0</v>
      </c>
    </row>
    <row r="10" spans="2:31" x14ac:dyDescent="0.25">
      <c r="C10" s="1" t="str">
        <f>IFERROR(VLOOKUP(Tabela7[[#This Row],[ID]],Tabela1[],2,0),"")</f>
        <v/>
      </c>
      <c r="L10" s="153">
        <f>SUM(Tabela7[[#This Row],[26/jan]:[23/jan]])</f>
        <v>0</v>
      </c>
      <c r="R10" s="1">
        <f>SUM(Tabela7[[#This Row],[11/jul2]:[08/jul26]])</f>
        <v>0</v>
      </c>
      <c r="X10" s="1">
        <f>SUM(Tabela7[[#This Row],[18/jul2]:[15/jul2]])</f>
        <v>0</v>
      </c>
      <c r="AD10" s="1">
        <f>SUM(Tabela7[[#This Row],[25/jul2]:[22/jul2]])</f>
        <v>0</v>
      </c>
      <c r="AE10" s="1">
        <f>SUM(Tabela7[[#This Row],[25/07 À 28/07]]+Tabela7[[#This Row],[15/07 À 21/07]]+Tabela7[[#This Row],[08/07 À 14/077]]+Tabela7[[#This Row],[23/01 à 29/01]])</f>
        <v>0</v>
      </c>
    </row>
    <row r="11" spans="2:31" x14ac:dyDescent="0.25">
      <c r="C11" s="1" t="str">
        <f>IFERROR(VLOOKUP(Tabela7[[#This Row],[ID]],Tabela1[],2,0),"")</f>
        <v/>
      </c>
      <c r="L11" s="153">
        <f>SUM(Tabela7[[#This Row],[26/jan]:[23/jan]])</f>
        <v>0</v>
      </c>
      <c r="R11" s="1">
        <f>SUM(Tabela7[[#This Row],[11/jul2]:[08/jul26]])</f>
        <v>0</v>
      </c>
      <c r="X11" s="1">
        <f>SUM(Tabela7[[#This Row],[18/jul2]:[15/jul2]])</f>
        <v>0</v>
      </c>
      <c r="AD11" s="1">
        <f>SUM(Tabela7[[#This Row],[25/jul2]:[22/jul2]])</f>
        <v>0</v>
      </c>
      <c r="AE11" s="1">
        <f>SUM(Tabela7[[#This Row],[25/07 À 28/07]]+Tabela7[[#This Row],[15/07 À 21/07]]+Tabela7[[#This Row],[08/07 À 14/077]]+Tabela7[[#This Row],[23/01 à 29/01]])</f>
        <v>0</v>
      </c>
    </row>
    <row r="12" spans="2:31" x14ac:dyDescent="0.25">
      <c r="C12" s="1" t="str">
        <f>IFERROR(VLOOKUP(Tabela7[[#This Row],[ID]],Tabela1[],2,0),"")</f>
        <v/>
      </c>
      <c r="L12" s="153">
        <f>SUM(Tabela7[[#This Row],[26/jan]:[23/jan]])</f>
        <v>0</v>
      </c>
      <c r="R12" s="1">
        <f>SUM(Tabela7[[#This Row],[11/jul2]:[08/jul26]])</f>
        <v>0</v>
      </c>
      <c r="X12" s="1">
        <f>SUM(Tabela7[[#This Row],[18/jul2]:[15/jul2]])</f>
        <v>0</v>
      </c>
      <c r="AD12" s="1">
        <f>SUM(Tabela7[[#This Row],[25/jul2]:[22/jul2]])</f>
        <v>0</v>
      </c>
      <c r="AE12" s="1">
        <f>SUM(Tabela7[[#This Row],[25/07 À 28/07]]+Tabela7[[#This Row],[15/07 À 21/07]]+Tabela7[[#This Row],[08/07 À 14/077]]+Tabela7[[#This Row],[23/01 à 29/01]])</f>
        <v>0</v>
      </c>
    </row>
    <row r="13" spans="2:31" x14ac:dyDescent="0.25">
      <c r="B13" s="179"/>
      <c r="C13" s="179" t="str">
        <f>IFERROR(VLOOKUP(Tabela7[[#This Row],[ID]],Tabela1[],2,0),"")</f>
        <v/>
      </c>
      <c r="D13" s="179"/>
      <c r="E13" s="179"/>
      <c r="F13" s="179"/>
      <c r="G13" s="179"/>
      <c r="H13" s="179"/>
      <c r="I13" s="179"/>
      <c r="J13" s="179"/>
      <c r="K13" s="179"/>
      <c r="L13" s="153">
        <f>SUM(Tabela7[[#This Row],[26/jan]:[23/jan]])</f>
        <v>0</v>
      </c>
      <c r="M13" s="179"/>
      <c r="N13" s="179"/>
      <c r="O13" s="179"/>
      <c r="P13" s="179"/>
      <c r="Q13" s="179"/>
      <c r="R13" s="179">
        <f>SUM(Tabela7[[#This Row],[11/jul2]:[08/jul26]])</f>
        <v>0</v>
      </c>
      <c r="S13" s="179"/>
      <c r="T13" s="179"/>
      <c r="U13" s="179"/>
      <c r="V13" s="179"/>
      <c r="W13" s="179"/>
      <c r="X13" s="179">
        <f>SUM(Tabela7[[#This Row],[18/jul2]:[15/jul2]])</f>
        <v>0</v>
      </c>
      <c r="Y13" s="179"/>
      <c r="Z13" s="179"/>
      <c r="AA13" s="179"/>
      <c r="AB13" s="179"/>
      <c r="AC13" s="179"/>
      <c r="AD13" s="179">
        <f>SUM(Tabela7[[#This Row],[25/jul2]:[22/jul2]])</f>
        <v>0</v>
      </c>
      <c r="AE13" s="179">
        <f>SUM(Tabela7[[#This Row],[25/07 À 28/07]]+Tabela7[[#This Row],[15/07 À 21/07]]+Tabela7[[#This Row],[08/07 À 14/077]]+Tabela7[[#This Row],[23/01 à 29/01]])</f>
        <v>0</v>
      </c>
    </row>
    <row r="14" spans="2:31" x14ac:dyDescent="0.25">
      <c r="B14" s="179"/>
      <c r="C14" s="179" t="str">
        <f>IFERROR(VLOOKUP(Tabela7[[#This Row],[ID]],Tabela1[],2,0),"")</f>
        <v/>
      </c>
      <c r="D14" s="179"/>
      <c r="E14" s="179"/>
      <c r="F14" s="179"/>
      <c r="G14" s="179"/>
      <c r="H14" s="179"/>
      <c r="I14" s="179"/>
      <c r="J14" s="179"/>
      <c r="K14" s="179"/>
      <c r="L14" s="153">
        <f>SUM(Tabela7[[#This Row],[26/jan]:[23/jan]])</f>
        <v>0</v>
      </c>
      <c r="M14" s="179"/>
      <c r="N14" s="179"/>
      <c r="O14" s="179"/>
      <c r="P14" s="179"/>
      <c r="Q14" s="179"/>
      <c r="R14" s="179">
        <f>SUM(Tabela7[[#This Row],[11/jul2]:[08/jul26]])</f>
        <v>0</v>
      </c>
      <c r="S14" s="179"/>
      <c r="T14" s="179"/>
      <c r="U14" s="179"/>
      <c r="V14" s="179"/>
      <c r="W14" s="179"/>
      <c r="X14" s="179">
        <f>SUM(Tabela7[[#This Row],[18/jul2]:[15/jul2]])</f>
        <v>0</v>
      </c>
      <c r="Y14" s="179"/>
      <c r="Z14" s="179"/>
      <c r="AA14" s="179"/>
      <c r="AB14" s="179"/>
      <c r="AC14" s="179"/>
      <c r="AD14" s="179">
        <f>SUM(Tabela7[[#This Row],[25/jul2]:[22/jul2]])</f>
        <v>0</v>
      </c>
      <c r="AE14" s="179">
        <f>SUM(Tabela7[[#This Row],[25/07 À 28/07]]+Tabela7[[#This Row],[15/07 À 21/07]]+Tabela7[[#This Row],[08/07 À 14/077]]+Tabela7[[#This Row],[23/01 à 29/01]])</f>
        <v>0</v>
      </c>
    </row>
    <row r="15" spans="2:31" x14ac:dyDescent="0.25">
      <c r="C15" s="1" t="str">
        <f>IFERROR(VLOOKUP(Tabela7[[#This Row],[ID]],Tabela1[],2,0),"")</f>
        <v/>
      </c>
      <c r="L15" s="153">
        <f>SUM(Tabela7[[#This Row],[26/jan]:[23/jan]])</f>
        <v>0</v>
      </c>
      <c r="R15" s="1">
        <f>SUM(Tabela7[[#This Row],[11/jul2]:[08/jul26]])</f>
        <v>0</v>
      </c>
      <c r="X15" s="1">
        <f>SUM(Tabela7[[#This Row],[18/jul2]:[15/jul2]])</f>
        <v>0</v>
      </c>
      <c r="AD15" s="1">
        <f>SUM(Tabela7[[#This Row],[25/jul2]:[22/jul2]])</f>
        <v>0</v>
      </c>
      <c r="AE15" s="1">
        <f>SUM(Tabela7[[#This Row],[25/07 À 28/07]]+Tabela7[[#This Row],[15/07 À 21/07]]+Tabela7[[#This Row],[08/07 À 14/077]]+Tabela7[[#This Row],[23/01 à 29/01]])</f>
        <v>0</v>
      </c>
    </row>
    <row r="16" spans="2:31" x14ac:dyDescent="0.25">
      <c r="C16" s="1" t="str">
        <f>IFERROR(VLOOKUP(Tabela7[[#This Row],[ID]],Tabela1[],2,0),"")</f>
        <v/>
      </c>
      <c r="L16" s="153">
        <f>SUM(Tabela7[[#This Row],[26/jan]:[23/jan]])</f>
        <v>0</v>
      </c>
      <c r="R16" s="1">
        <f>SUM(Tabela7[[#This Row],[11/jul2]:[08/jul26]])</f>
        <v>0</v>
      </c>
      <c r="X16" s="1">
        <f>SUM(Tabela7[[#This Row],[18/jul2]:[15/jul2]])</f>
        <v>0</v>
      </c>
      <c r="AD16" s="1">
        <f>SUM(Tabela7[[#This Row],[25/jul2]:[22/jul2]])</f>
        <v>0</v>
      </c>
      <c r="AE16" s="1">
        <f>SUM(Tabela7[[#This Row],[25/07 À 28/07]]+Tabela7[[#This Row],[15/07 À 21/07]]+Tabela7[[#This Row],[08/07 À 14/077]]+Tabela7[[#This Row],[23/01 à 29/01]])</f>
        <v>0</v>
      </c>
    </row>
    <row r="17" spans="2:31" x14ac:dyDescent="0.25">
      <c r="B17" s="179"/>
      <c r="C17" s="179" t="str">
        <f>IFERROR(VLOOKUP(Tabela7[[#This Row],[ID]],Tabela1[],2,0),"")</f>
        <v/>
      </c>
      <c r="D17" s="179"/>
      <c r="E17" s="179"/>
      <c r="F17" s="179"/>
      <c r="G17" s="179"/>
      <c r="H17" s="179"/>
      <c r="I17" s="179"/>
      <c r="J17" s="179"/>
      <c r="K17" s="179"/>
      <c r="L17" s="180">
        <f>SUM(Tabela7[[#This Row],[26/jan]:[23/jan]])</f>
        <v>0</v>
      </c>
      <c r="M17" s="179"/>
      <c r="N17" s="179"/>
      <c r="O17" s="179"/>
      <c r="P17" s="179"/>
      <c r="Q17" s="179"/>
      <c r="R17" s="179">
        <f>SUM(Tabela7[[#This Row],[11/jul2]:[08/jul26]])</f>
        <v>0</v>
      </c>
      <c r="S17" s="179"/>
      <c r="T17" s="179"/>
      <c r="U17" s="179"/>
      <c r="V17" s="179"/>
      <c r="W17" s="179"/>
      <c r="X17" s="179">
        <f>SUM(Tabela7[[#This Row],[18/jul2]:[15/jul2]])</f>
        <v>0</v>
      </c>
      <c r="Y17" s="179"/>
      <c r="Z17" s="179"/>
      <c r="AA17" s="179"/>
      <c r="AB17" s="179"/>
      <c r="AC17" s="179"/>
      <c r="AD17" s="179">
        <f>SUM(Tabela7[[#This Row],[25/jul2]:[22/jul2]])</f>
        <v>0</v>
      </c>
      <c r="AE17" s="179">
        <f>SUM(Tabela7[[#This Row],[25/07 À 28/07]]+Tabela7[[#This Row],[15/07 À 21/07]]+Tabela7[[#This Row],[08/07 À 14/077]]+Tabela7[[#This Row],[23/01 à 29/01]])</f>
        <v>0</v>
      </c>
    </row>
    <row r="18" spans="2:31" x14ac:dyDescent="0.25">
      <c r="C18" s="1" t="str">
        <f>IFERROR(VLOOKUP(Tabela7[[#This Row],[ID]],Tabela1[],2,0),"")</f>
        <v/>
      </c>
      <c r="L18" s="153">
        <f>SUM(Tabela7[[#This Row],[26/jan]:[23/jan]])</f>
        <v>0</v>
      </c>
      <c r="R18" s="1">
        <f>SUM(Tabela7[[#This Row],[11/jul2]:[08/jul26]])</f>
        <v>0</v>
      </c>
      <c r="X18" s="1">
        <f>SUM(Tabela7[[#This Row],[18/jul2]:[15/jul2]])</f>
        <v>0</v>
      </c>
      <c r="AD18" s="1">
        <f>SUM(Tabela7[[#This Row],[25/jul2]:[22/jul2]])</f>
        <v>0</v>
      </c>
      <c r="AE18" s="1">
        <f>SUM(Tabela7[[#This Row],[25/07 À 28/07]]+Tabela7[[#This Row],[15/07 À 21/07]]+Tabela7[[#This Row],[08/07 À 14/077]]+Tabela7[[#This Row],[23/01 à 29/01]])</f>
        <v>0</v>
      </c>
    </row>
    <row r="19" spans="2:31" x14ac:dyDescent="0.25">
      <c r="B19" s="179"/>
      <c r="C19" s="179" t="str">
        <f>IFERROR(VLOOKUP(Tabela7[[#This Row],[ID]],Tabela1[],2,0),"")</f>
        <v/>
      </c>
      <c r="D19" s="179"/>
      <c r="E19" s="179"/>
      <c r="F19" s="179"/>
      <c r="G19" s="179"/>
      <c r="H19" s="179"/>
      <c r="I19" s="179"/>
      <c r="J19" s="179"/>
      <c r="K19" s="179"/>
      <c r="L19" s="153">
        <f>SUM(Tabela7[[#This Row],[26/jan]:[23/jan]])</f>
        <v>0</v>
      </c>
      <c r="M19" s="179"/>
      <c r="N19" s="179"/>
      <c r="O19" s="179"/>
      <c r="P19" s="179"/>
      <c r="Q19" s="179"/>
      <c r="R19" s="179">
        <f>SUM(Tabela7[[#This Row],[11/jul2]:[08/jul26]])</f>
        <v>0</v>
      </c>
      <c r="S19" s="179"/>
      <c r="T19" s="179"/>
      <c r="U19" s="179"/>
      <c r="V19" s="179"/>
      <c r="W19" s="179"/>
      <c r="X19" s="179">
        <f>SUM(Tabela7[[#This Row],[18/jul2]:[15/jul2]])</f>
        <v>0</v>
      </c>
      <c r="Y19" s="179"/>
      <c r="Z19" s="179"/>
      <c r="AA19" s="179"/>
      <c r="AB19" s="179"/>
      <c r="AC19" s="179"/>
      <c r="AD19" s="179">
        <f>SUM(Tabela7[[#This Row],[25/jul2]:[22/jul2]])</f>
        <v>0</v>
      </c>
      <c r="AE19" s="179">
        <f>SUM(Tabela7[[#This Row],[25/07 À 28/07]]+Tabela7[[#This Row],[15/07 À 21/07]]+Tabela7[[#This Row],[08/07 À 14/077]]+Tabela7[[#This Row],[23/01 à 29/01]])</f>
        <v>0</v>
      </c>
    </row>
    <row r="20" spans="2:31" x14ac:dyDescent="0.25">
      <c r="C20" s="1" t="str">
        <f>IFERROR(VLOOKUP(Tabela7[[#This Row],[ID]],Tabela1[],2,0),"")</f>
        <v/>
      </c>
      <c r="L20" s="153">
        <f>SUM(Tabela7[[#This Row],[26/jan]:[23/jan]])</f>
        <v>0</v>
      </c>
      <c r="R20" s="1">
        <f>SUM(Tabela7[[#This Row],[11/jul2]:[08/jul26]])</f>
        <v>0</v>
      </c>
      <c r="X20" s="1">
        <f>SUM(Tabela7[[#This Row],[18/jul2]:[15/jul2]])</f>
        <v>0</v>
      </c>
      <c r="AD20" s="1">
        <f>SUM(Tabela7[[#This Row],[25/jul2]:[22/jul2]])</f>
        <v>0</v>
      </c>
      <c r="AE20" s="1">
        <f>SUM(Tabela7[[#This Row],[25/07 À 28/07]]+Tabela7[[#This Row],[15/07 À 21/07]]+Tabela7[[#This Row],[08/07 À 14/077]]+Tabela7[[#This Row],[23/01 à 29/01]])</f>
        <v>0</v>
      </c>
    </row>
    <row r="21" spans="2:31" x14ac:dyDescent="0.25">
      <c r="B21" s="179"/>
      <c r="C21" s="179" t="str">
        <f>IFERROR(VLOOKUP(Tabela7[[#This Row],[ID]],Tabela1[],2,0),"")</f>
        <v/>
      </c>
      <c r="D21" s="179"/>
      <c r="E21" s="179"/>
      <c r="F21" s="179"/>
      <c r="G21" s="179"/>
      <c r="H21" s="179"/>
      <c r="I21" s="179"/>
      <c r="J21" s="179"/>
      <c r="K21" s="179"/>
      <c r="L21" s="153">
        <f>SUM(Tabela7[[#This Row],[26/jan]:[23/jan]])</f>
        <v>0</v>
      </c>
      <c r="M21" s="179"/>
      <c r="N21" s="179"/>
      <c r="O21" s="179"/>
      <c r="P21" s="179"/>
      <c r="Q21" s="179"/>
      <c r="R21" s="179">
        <f>SUM(Tabela7[[#This Row],[11/jul2]:[08/jul26]])</f>
        <v>0</v>
      </c>
      <c r="S21" s="179"/>
      <c r="T21" s="179"/>
      <c r="U21" s="179"/>
      <c r="V21" s="179"/>
      <c r="W21" s="179"/>
      <c r="X21" s="179">
        <f>SUM(Tabela7[[#This Row],[18/jul2]:[15/jul2]])</f>
        <v>0</v>
      </c>
      <c r="Y21" s="179"/>
      <c r="Z21" s="179"/>
      <c r="AA21" s="179"/>
      <c r="AB21" s="179"/>
      <c r="AC21" s="179"/>
      <c r="AD21" s="179">
        <f>SUM(Tabela7[[#This Row],[25/jul2]:[22/jul2]])</f>
        <v>0</v>
      </c>
      <c r="AE21" s="179">
        <f>SUM(Tabela7[[#This Row],[25/07 À 28/07]]+Tabela7[[#This Row],[15/07 À 21/07]]+Tabela7[[#This Row],[08/07 À 14/077]]+Tabela7[[#This Row],[23/01 à 29/01]])</f>
        <v>0</v>
      </c>
    </row>
    <row r="22" spans="2:31" x14ac:dyDescent="0.25">
      <c r="B22" s="179"/>
      <c r="C22" s="179" t="str">
        <f>IFERROR(VLOOKUP(Tabela7[[#This Row],[ID]],Tabela1[],2,0),"")</f>
        <v/>
      </c>
      <c r="D22" s="179"/>
      <c r="E22" s="179"/>
      <c r="F22" s="179"/>
      <c r="G22" s="179"/>
      <c r="H22" s="179"/>
      <c r="I22" s="179"/>
      <c r="J22" s="179"/>
      <c r="K22" s="179"/>
      <c r="L22" s="180">
        <f>SUM(Tabela7[[#This Row],[26/jan]:[23/jan]])</f>
        <v>0</v>
      </c>
      <c r="M22" s="179"/>
      <c r="N22" s="179"/>
      <c r="O22" s="179"/>
      <c r="P22" s="179"/>
      <c r="Q22" s="179"/>
      <c r="R22" s="179">
        <f>SUM(Tabela7[[#This Row],[11/jul2]:[08/jul26]])</f>
        <v>0</v>
      </c>
      <c r="S22" s="179"/>
      <c r="T22" s="179"/>
      <c r="U22" s="179"/>
      <c r="V22" s="179"/>
      <c r="W22" s="179"/>
      <c r="X22" s="179">
        <f>SUM(Tabela7[[#This Row],[18/jul2]:[15/jul2]])</f>
        <v>0</v>
      </c>
      <c r="Y22" s="179"/>
      <c r="Z22" s="179"/>
      <c r="AA22" s="179"/>
      <c r="AB22" s="179"/>
      <c r="AC22" s="179"/>
      <c r="AD22" s="179">
        <f>SUM(Tabela7[[#This Row],[25/jul2]:[22/jul2]])</f>
        <v>0</v>
      </c>
      <c r="AE22" s="179">
        <f>SUM(Tabela7[[#This Row],[25/07 À 28/07]]+Tabela7[[#This Row],[15/07 À 21/07]]+Tabela7[[#This Row],[08/07 À 14/077]]+Tabela7[[#This Row],[23/01 à 29/01]])</f>
        <v>0</v>
      </c>
    </row>
    <row r="23" spans="2:31" x14ac:dyDescent="0.25">
      <c r="B23" s="179"/>
      <c r="C23" s="179" t="str">
        <f>IFERROR(VLOOKUP(Tabela7[[#This Row],[ID]],Tabela1[],2,0),"")</f>
        <v/>
      </c>
      <c r="D23" s="179"/>
      <c r="E23" s="179"/>
      <c r="F23" s="179"/>
      <c r="G23" s="179"/>
      <c r="H23" s="179"/>
      <c r="I23" s="179"/>
      <c r="J23" s="179"/>
      <c r="K23" s="179"/>
      <c r="L23" s="153">
        <f>SUM(Tabela7[[#This Row],[26/jan]:[23/jan]])</f>
        <v>0</v>
      </c>
      <c r="M23" s="179"/>
      <c r="N23" s="179"/>
      <c r="O23" s="179"/>
      <c r="P23" s="179"/>
      <c r="Q23" s="179"/>
      <c r="R23" s="179">
        <f>SUM(Tabela7[[#This Row],[11/jul2]:[08/jul26]])</f>
        <v>0</v>
      </c>
      <c r="S23" s="179"/>
      <c r="T23" s="179"/>
      <c r="U23" s="179"/>
      <c r="V23" s="179"/>
      <c r="W23" s="179"/>
      <c r="X23" s="179">
        <f>SUM(Tabela7[[#This Row],[18/jul2]:[15/jul2]])</f>
        <v>0</v>
      </c>
      <c r="Y23" s="179"/>
      <c r="Z23" s="179"/>
      <c r="AA23" s="179"/>
      <c r="AB23" s="179"/>
      <c r="AC23" s="179"/>
      <c r="AD23" s="179">
        <f>SUM(Tabela7[[#This Row],[25/jul2]:[22/jul2]])</f>
        <v>0</v>
      </c>
      <c r="AE23" s="179">
        <f>SUM(Tabela7[[#This Row],[25/07 À 28/07]]+Tabela7[[#This Row],[15/07 À 21/07]]+Tabela7[[#This Row],[08/07 À 14/077]]+Tabela7[[#This Row],[23/01 à 29/01]])</f>
        <v>0</v>
      </c>
    </row>
    <row r="24" spans="2:31" x14ac:dyDescent="0.25">
      <c r="B24" s="179"/>
      <c r="C24" s="179" t="str">
        <f>IFERROR(VLOOKUP(Tabela7[[#This Row],[ID]],Tabela1[],2,0),"")</f>
        <v/>
      </c>
      <c r="D24" s="179"/>
      <c r="E24" s="179"/>
      <c r="F24" s="179"/>
      <c r="G24" s="179"/>
      <c r="H24" s="179"/>
      <c r="I24" s="179"/>
      <c r="J24" s="179"/>
      <c r="K24" s="179"/>
      <c r="L24" s="153">
        <f>SUM(Tabela7[[#This Row],[26/jan]:[23/jan]])</f>
        <v>0</v>
      </c>
      <c r="M24" s="179"/>
      <c r="N24" s="179"/>
      <c r="O24" s="179"/>
      <c r="P24" s="179"/>
      <c r="Q24" s="179"/>
      <c r="R24" s="179">
        <f>SUM(Tabela7[[#This Row],[11/jul2]:[08/jul26]])</f>
        <v>0</v>
      </c>
      <c r="S24" s="179"/>
      <c r="T24" s="179"/>
      <c r="U24" s="179"/>
      <c r="V24" s="179"/>
      <c r="W24" s="179"/>
      <c r="X24" s="179">
        <f>SUM(Tabela7[[#This Row],[18/jul2]:[15/jul2]])</f>
        <v>0</v>
      </c>
      <c r="Y24" s="179"/>
      <c r="Z24" s="179"/>
      <c r="AA24" s="179"/>
      <c r="AB24" s="179"/>
      <c r="AC24" s="179"/>
      <c r="AD24" s="179">
        <f>SUM(Tabela7[[#This Row],[25/jul2]:[22/jul2]])</f>
        <v>0</v>
      </c>
      <c r="AE24" s="179">
        <f>SUM(Tabela7[[#This Row],[25/07 À 28/07]]+Tabela7[[#This Row],[15/07 À 21/07]]+Tabela7[[#This Row],[08/07 À 14/077]]+Tabela7[[#This Row],[23/01 à 29/01]])</f>
        <v>0</v>
      </c>
    </row>
    <row r="25" spans="2:31" x14ac:dyDescent="0.25">
      <c r="C25" s="1" t="str">
        <f>IFERROR(VLOOKUP(Tabela7[[#This Row],[ID]],Tabela1[],2,0),"")</f>
        <v/>
      </c>
      <c r="L25" s="153">
        <f>SUM(Tabela7[[#This Row],[26/jan]:[23/jan]])</f>
        <v>0</v>
      </c>
      <c r="R25" s="1">
        <f>SUM(Tabela7[[#This Row],[11/jul2]:[08/jul26]])</f>
        <v>0</v>
      </c>
      <c r="X25" s="1">
        <f>SUM(Tabela7[[#This Row],[18/jul2]:[15/jul2]])</f>
        <v>0</v>
      </c>
      <c r="AD25" s="1">
        <f>SUM(Tabela7[[#This Row],[25/jul2]:[22/jul2]])</f>
        <v>0</v>
      </c>
      <c r="AE25" s="1">
        <f>SUM(Tabela7[[#This Row],[25/07 À 28/07]]+Tabela7[[#This Row],[15/07 À 21/07]]+Tabela7[[#This Row],[08/07 À 14/077]]+Tabela7[[#This Row],[23/01 à 29/01]])</f>
        <v>0</v>
      </c>
    </row>
    <row r="26" spans="2:31" x14ac:dyDescent="0.25">
      <c r="C26" s="1" t="str">
        <f>IFERROR(VLOOKUP(Tabela7[[#This Row],[ID]],Tabela1[],2,0),"")</f>
        <v/>
      </c>
      <c r="L26" s="153">
        <f>SUM(Tabela7[[#This Row],[26/jan]:[23/jan]])</f>
        <v>0</v>
      </c>
      <c r="R26" s="1">
        <f>SUM(Tabela7[[#This Row],[11/jul2]:[08/jul26]])</f>
        <v>0</v>
      </c>
      <c r="X26" s="1">
        <f>SUM(Tabela7[[#This Row],[18/jul2]:[15/jul2]])</f>
        <v>0</v>
      </c>
      <c r="AD26" s="1">
        <f>SUM(Tabela7[[#This Row],[25/jul2]:[22/jul2]])</f>
        <v>0</v>
      </c>
      <c r="AE26" s="1">
        <f>SUM(Tabela7[[#This Row],[25/07 À 28/07]]+Tabela7[[#This Row],[15/07 À 21/07]]+Tabela7[[#This Row],[08/07 À 14/077]]+Tabela7[[#This Row],[23/01 à 29/01]])</f>
        <v>0</v>
      </c>
    </row>
    <row r="27" spans="2:31" x14ac:dyDescent="0.25">
      <c r="B27" s="179"/>
      <c r="C27" s="179" t="str">
        <f>IFERROR(VLOOKUP(Tabela7[[#This Row],[ID]],Tabela1[],2,0),"")</f>
        <v/>
      </c>
      <c r="D27" s="179"/>
      <c r="E27" s="179"/>
      <c r="F27" s="179"/>
      <c r="G27" s="179"/>
      <c r="H27" s="179"/>
      <c r="I27" s="179"/>
      <c r="J27" s="179"/>
      <c r="K27" s="179"/>
      <c r="L27" s="153">
        <f>SUM(Tabela7[[#This Row],[26/jan]:[23/jan]])</f>
        <v>0</v>
      </c>
      <c r="M27" s="179"/>
      <c r="N27" s="179"/>
      <c r="O27" s="179"/>
      <c r="P27" s="179"/>
      <c r="Q27" s="179"/>
      <c r="R27" s="179">
        <f>SUM(Tabela7[[#This Row],[11/jul2]:[08/jul26]])</f>
        <v>0</v>
      </c>
      <c r="S27" s="179"/>
      <c r="T27" s="179"/>
      <c r="U27" s="179"/>
      <c r="V27" s="179"/>
      <c r="W27" s="179"/>
      <c r="X27" s="179">
        <f>SUM(Tabela7[[#This Row],[18/jul2]:[15/jul2]])</f>
        <v>0</v>
      </c>
      <c r="Y27" s="179"/>
      <c r="Z27" s="179"/>
      <c r="AA27" s="179"/>
      <c r="AB27" s="179"/>
      <c r="AC27" s="179"/>
      <c r="AD27" s="179">
        <f>SUM(Tabela7[[#This Row],[25/jul2]:[22/jul2]])</f>
        <v>0</v>
      </c>
      <c r="AE27" s="179">
        <f>SUM(Tabela7[[#This Row],[25/07 À 28/07]]+Tabela7[[#This Row],[15/07 À 21/07]]+Tabela7[[#This Row],[08/07 À 14/077]]+Tabela7[[#This Row],[23/01 à 29/01]])</f>
        <v>0</v>
      </c>
    </row>
    <row r="28" spans="2:31" x14ac:dyDescent="0.25">
      <c r="C28" s="1" t="str">
        <f>IFERROR(VLOOKUP(Tabela7[[#This Row],[ID]],Tabela1[],2,0),"")</f>
        <v/>
      </c>
      <c r="L28" s="153">
        <f>SUM(Tabela7[[#This Row],[26/jan]:[23/jan]])</f>
        <v>0</v>
      </c>
      <c r="R28" s="1">
        <f>SUM(Tabela7[[#This Row],[11/jul2]:[08/jul26]])</f>
        <v>0</v>
      </c>
      <c r="X28" s="1">
        <f>SUM(Tabela7[[#This Row],[18/jul2]:[15/jul2]])</f>
        <v>0</v>
      </c>
      <c r="AD28" s="1">
        <f>SUM(Tabela7[[#This Row],[25/jul2]:[22/jul2]])</f>
        <v>0</v>
      </c>
      <c r="AE28" s="1">
        <f>SUM(Tabela7[[#This Row],[25/07 À 28/07]]+Tabela7[[#This Row],[15/07 À 21/07]]+Tabela7[[#This Row],[08/07 À 14/077]]+Tabela7[[#This Row],[23/01 à 29/01]])</f>
        <v>0</v>
      </c>
    </row>
    <row r="29" spans="2:31" x14ac:dyDescent="0.25">
      <c r="B29" s="179"/>
      <c r="C29" s="179" t="str">
        <f>IFERROR(VLOOKUP(Tabela7[[#This Row],[ID]],Tabela1[],2,0),"")</f>
        <v/>
      </c>
      <c r="D29" s="179"/>
      <c r="E29" s="179"/>
      <c r="F29" s="179"/>
      <c r="G29" s="179"/>
      <c r="H29" s="179"/>
      <c r="I29" s="179"/>
      <c r="J29" s="179"/>
      <c r="K29" s="179"/>
      <c r="L29" s="180">
        <f>SUM(Tabela7[[#This Row],[26/jan]:[23/jan]])</f>
        <v>0</v>
      </c>
      <c r="M29" s="179"/>
      <c r="N29" s="179"/>
      <c r="O29" s="179"/>
      <c r="P29" s="179"/>
      <c r="Q29" s="179"/>
      <c r="R29" s="179">
        <f>SUM(Tabela7[[#This Row],[11/jul2]:[08/jul26]])</f>
        <v>0</v>
      </c>
      <c r="S29" s="179"/>
      <c r="T29" s="179"/>
      <c r="U29" s="179"/>
      <c r="V29" s="179"/>
      <c r="W29" s="179"/>
      <c r="X29" s="179">
        <f>SUM(Tabela7[[#This Row],[18/jul2]:[15/jul2]])</f>
        <v>0</v>
      </c>
      <c r="Y29" s="179"/>
      <c r="Z29" s="179"/>
      <c r="AA29" s="179"/>
      <c r="AB29" s="179"/>
      <c r="AC29" s="179"/>
      <c r="AD29" s="179">
        <f>SUM(Tabela7[[#This Row],[25/jul2]:[22/jul2]])</f>
        <v>0</v>
      </c>
      <c r="AE29" s="179">
        <f>SUM(Tabela7[[#This Row],[25/07 À 28/07]]+Tabela7[[#This Row],[15/07 À 21/07]]+Tabela7[[#This Row],[08/07 À 14/077]]+Tabela7[[#This Row],[23/01 à 29/01]])</f>
        <v>0</v>
      </c>
    </row>
    <row r="30" spans="2:31" x14ac:dyDescent="0.25">
      <c r="B30" s="179"/>
      <c r="C30" s="179" t="str">
        <f>IFERROR(VLOOKUP(Tabela7[[#This Row],[ID]],Tabela1[],2,0),"")</f>
        <v/>
      </c>
      <c r="D30" s="179"/>
      <c r="E30" s="179"/>
      <c r="F30" s="179"/>
      <c r="G30" s="179"/>
      <c r="H30" s="179"/>
      <c r="I30" s="179"/>
      <c r="J30" s="179"/>
      <c r="K30" s="179"/>
      <c r="L30" s="180">
        <f>SUM(Tabela7[[#This Row],[26/jan]:[23/jan]])</f>
        <v>0</v>
      </c>
      <c r="M30" s="179"/>
      <c r="N30" s="179"/>
      <c r="O30" s="179"/>
      <c r="P30" s="179"/>
      <c r="Q30" s="179"/>
      <c r="R30" s="179">
        <f>SUM(Tabela7[[#This Row],[11/jul2]:[08/jul26]])</f>
        <v>0</v>
      </c>
      <c r="S30" s="179"/>
      <c r="T30" s="179"/>
      <c r="U30" s="179"/>
      <c r="V30" s="179"/>
      <c r="W30" s="179"/>
      <c r="X30" s="179">
        <f>SUM(Tabela7[[#This Row],[18/jul2]:[15/jul2]])</f>
        <v>0</v>
      </c>
      <c r="Y30" s="179"/>
      <c r="Z30" s="179"/>
      <c r="AA30" s="179"/>
      <c r="AB30" s="179"/>
      <c r="AC30" s="179"/>
      <c r="AD30" s="179">
        <f>SUM(Tabela7[[#This Row],[25/jul2]:[22/jul2]])</f>
        <v>0</v>
      </c>
      <c r="AE30" s="179">
        <f>SUM(Tabela7[[#This Row],[25/07 À 28/07]]+Tabela7[[#This Row],[15/07 À 21/07]]+Tabela7[[#This Row],[08/07 À 14/077]]+Tabela7[[#This Row],[23/01 à 29/01]])</f>
        <v>0</v>
      </c>
    </row>
    <row r="31" spans="2:31" s="178" customFormat="1" x14ac:dyDescent="0.25">
      <c r="B31" s="177"/>
      <c r="C31" s="177"/>
      <c r="D31" s="177"/>
      <c r="E31" s="177"/>
      <c r="F31" s="177"/>
      <c r="G31" s="177">
        <f t="shared" ref="G31:L31" si="0">SUBTOTAL(109,G4:G30)</f>
        <v>0</v>
      </c>
      <c r="H31" s="177">
        <f t="shared" si="0"/>
        <v>0</v>
      </c>
      <c r="I31" s="177">
        <f t="shared" si="0"/>
        <v>0</v>
      </c>
      <c r="J31" s="177">
        <f t="shared" si="0"/>
        <v>0</v>
      </c>
      <c r="K31" s="177">
        <f t="shared" si="0"/>
        <v>0</v>
      </c>
      <c r="L31" s="176">
        <f t="shared" si="0"/>
        <v>0</v>
      </c>
    </row>
  </sheetData>
  <mergeCells count="4">
    <mergeCell ref="G2:K2"/>
    <mergeCell ref="M2:Q2"/>
    <mergeCell ref="S2:W2"/>
    <mergeCell ref="Y2:AC2"/>
  </mergeCells>
  <phoneticPr fontId="28" type="noConversion"/>
  <printOptions horizontalCentered="1"/>
  <pageMargins left="0.19685039370078741" right="0.19685039370078741" top="0.19685039370078741" bottom="0.19685039370078741" header="0.19685039370078741" footer="0.31496062992125984"/>
  <pageSetup paperSize="9" scale="119" orientation="landscape" verticalDpi="300" r:id="rId1"/>
  <colBreaks count="1" manualBreakCount="1">
    <brk id="12" max="1048575" man="1"/>
  </colBreak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zoomScale="80" zoomScaleNormal="80" workbookViewId="0">
      <selection activeCell="P15" sqref="P15:P1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L309"/>
  <sheetViews>
    <sheetView topLeftCell="B1" zoomScale="85" zoomScaleNormal="85" zoomScaleSheetLayoutView="85" workbookViewId="0">
      <selection activeCell="D332" sqref="D332"/>
    </sheetView>
  </sheetViews>
  <sheetFormatPr defaultRowHeight="20.25" x14ac:dyDescent="0.3"/>
  <cols>
    <col min="1" max="1" width="0.140625" style="126" customWidth="1"/>
    <col min="2" max="2" width="9.7109375" style="131" customWidth="1"/>
    <col min="3" max="3" width="44.5703125" style="132" customWidth="1"/>
    <col min="4" max="4" width="23" style="133" bestFit="1" customWidth="1"/>
    <col min="5" max="5" width="24" style="134" customWidth="1"/>
    <col min="6" max="6" width="14" style="135" customWidth="1"/>
    <col min="7" max="7" width="14" style="134" customWidth="1"/>
    <col min="8" max="8" width="24.140625" style="134" customWidth="1"/>
    <col min="9" max="9" width="2.85546875" style="136" hidden="1" customWidth="1"/>
    <col min="10" max="10" width="3" style="136" hidden="1" customWidth="1"/>
    <col min="11" max="11" width="14.140625" style="137" customWidth="1"/>
    <col min="12" max="12" width="20.7109375" style="138" customWidth="1"/>
    <col min="13" max="16384" width="9.140625" style="126"/>
  </cols>
  <sheetData>
    <row r="1" spans="2:12" ht="15.75" x14ac:dyDescent="0.25">
      <c r="B1" s="244" t="s">
        <v>4816</v>
      </c>
      <c r="C1" s="244"/>
      <c r="D1" s="244"/>
      <c r="E1" s="244"/>
      <c r="F1" s="245"/>
      <c r="G1" s="244"/>
      <c r="H1" s="244"/>
      <c r="I1" s="244"/>
      <c r="J1" s="244"/>
      <c r="K1" s="244"/>
      <c r="L1" s="244"/>
    </row>
    <row r="2" spans="2:12" ht="16.5" thickBot="1" x14ac:dyDescent="0.3">
      <c r="B2" s="244" t="s">
        <v>5319</v>
      </c>
      <c r="C2" s="244"/>
      <c r="D2" s="244"/>
      <c r="E2" s="244"/>
      <c r="F2" s="245"/>
      <c r="G2" s="244"/>
      <c r="H2" s="244"/>
      <c r="I2" s="244"/>
      <c r="J2" s="244"/>
      <c r="K2" s="244"/>
      <c r="L2" s="244"/>
    </row>
    <row r="3" spans="2:12" s="149" customFormat="1" ht="13.5" customHeight="1" x14ac:dyDescent="0.25">
      <c r="B3" s="139" t="s">
        <v>0</v>
      </c>
      <c r="C3" s="140" t="s">
        <v>4945</v>
      </c>
      <c r="D3" s="141" t="s">
        <v>2</v>
      </c>
      <c r="E3" s="142" t="s">
        <v>3</v>
      </c>
      <c r="F3" s="143" t="s">
        <v>4</v>
      </c>
      <c r="G3" s="144" t="s">
        <v>5</v>
      </c>
      <c r="H3" s="145" t="s">
        <v>6</v>
      </c>
      <c r="I3" s="146" t="s">
        <v>4946</v>
      </c>
      <c r="J3" s="146" t="s">
        <v>4947</v>
      </c>
      <c r="K3" s="147" t="s">
        <v>4847</v>
      </c>
      <c r="L3" s="148" t="s">
        <v>4948</v>
      </c>
    </row>
    <row r="4" spans="2:12" x14ac:dyDescent="0.3">
      <c r="B4" s="127">
        <f>Tabela7[[#This Row],[ID]]</f>
        <v>0</v>
      </c>
      <c r="C4" s="128" t="str">
        <f>IFERROR(VLOOKUP(Tabela8[[#This Row],[ID]],Tabela7[],2,0),"")</f>
        <v/>
      </c>
      <c r="D4" s="128" t="e">
        <f>VLOOKUP(Tabela8[[#This Row],[ID]],Tabela1[],3,0)</f>
        <v>#N/A</v>
      </c>
      <c r="E4" s="127" t="str">
        <f>IFERROR(VLOOKUP(Tabela8[[#This Row],[ID]],Tabela1[],4,0),"")</f>
        <v/>
      </c>
      <c r="F4" s="127" t="str">
        <f>IFERROR(VLOOKUP(Tabela8[[#This Row],[ID]],Tabela1[],5,0),"")</f>
        <v/>
      </c>
      <c r="G4" s="127" t="str">
        <f>IFERROR(VLOOKUP(Tabela8[[#This Row],[ID]],Tabela1[],6,0),"")</f>
        <v/>
      </c>
      <c r="H4" s="127" t="str">
        <f>IFERROR(VLOOKUP(Tabela8[[#This Row],[ID]],Tabela1[],7,0),"")</f>
        <v/>
      </c>
      <c r="I4" s="126"/>
      <c r="J4" s="126"/>
      <c r="K4" s="129" t="str">
        <f>IFERROR(VLOOKUP(Tabela8[[#This Row],[ID]],Tabela7[],11,0),"")</f>
        <v/>
      </c>
      <c r="L4" s="130" t="e">
        <f>Tabela8[[#This Row],[Latas a Pagar]]*Tabela9[VALOR LATA]</f>
        <v>#VALUE!</v>
      </c>
    </row>
    <row r="5" spans="2:12" x14ac:dyDescent="0.3">
      <c r="B5" s="127">
        <f>VALUE('CONTROLE DE PRODUÇÃO'!B5)</f>
        <v>0</v>
      </c>
      <c r="C5" s="128" t="str">
        <f>IFERROR(VLOOKUP(Tabela8[[#This Row],[ID]],Tabela7[],2,0),"")</f>
        <v/>
      </c>
      <c r="D5" s="128" t="e">
        <f>VLOOKUP(Tabela8[[#This Row],[ID]],Tabela1[],3,0)</f>
        <v>#N/A</v>
      </c>
      <c r="E5" s="127" t="str">
        <f>IFERROR(VLOOKUP(Tabela8[[#This Row],[ID]],Tabela1[],4,0),"")</f>
        <v/>
      </c>
      <c r="F5" s="127" t="str">
        <f>IFERROR(VLOOKUP(Tabela8[[#This Row],[ID]],Tabela1[],5,0),"")</f>
        <v/>
      </c>
      <c r="G5" s="127" t="str">
        <f>IFERROR(VLOOKUP(Tabela8[[#This Row],[ID]],Tabela1[],6,0),"")</f>
        <v/>
      </c>
      <c r="H5" s="127" t="str">
        <f>IFERROR(VLOOKUP(Tabela8[[#This Row],[ID]],Tabela1[],7,0),"")</f>
        <v/>
      </c>
      <c r="I5" s="126"/>
      <c r="J5" s="126"/>
      <c r="K5" s="129" t="str">
        <f>IFERROR(VLOOKUP(Tabela8[[#This Row],[ID]],Tabela7[],11,0),"")</f>
        <v/>
      </c>
      <c r="L5" s="130" t="e">
        <f>Tabela8[[#This Row],[Latas a Pagar]]*Tabela9[VALOR LATA]</f>
        <v>#VALUE!</v>
      </c>
    </row>
    <row r="6" spans="2:12" x14ac:dyDescent="0.3">
      <c r="B6" s="127">
        <f>VALUE('CONTROLE DE PRODUÇÃO'!B6)</f>
        <v>0</v>
      </c>
      <c r="C6" s="128" t="str">
        <f>IFERROR(VLOOKUP(Tabela8[[#This Row],[ID]],Tabela7[],2,0),"")</f>
        <v/>
      </c>
      <c r="D6" s="128" t="e">
        <f>VLOOKUP(Tabela8[[#This Row],[ID]],Tabela1[],3,0)</f>
        <v>#N/A</v>
      </c>
      <c r="E6" s="127" t="str">
        <f>IFERROR(VLOOKUP(Tabela8[[#This Row],[ID]],Tabela1[],4,0),"")</f>
        <v/>
      </c>
      <c r="F6" s="127" t="str">
        <f>IFERROR(VLOOKUP(Tabela8[[#This Row],[ID]],Tabela1[],5,0),"")</f>
        <v/>
      </c>
      <c r="G6" s="127" t="str">
        <f>IFERROR(VLOOKUP(Tabela8[[#This Row],[ID]],Tabela1[],6,0),"")</f>
        <v/>
      </c>
      <c r="H6" s="127" t="str">
        <f>IFERROR(VLOOKUP(Tabela8[[#This Row],[ID]],Tabela1[],7,0),"")</f>
        <v/>
      </c>
      <c r="I6" s="126"/>
      <c r="J6" s="126"/>
      <c r="K6" s="129" t="str">
        <f>IFERROR(VLOOKUP(Tabela8[[#This Row],[ID]],Tabela7[],11,0),"")</f>
        <v/>
      </c>
      <c r="L6" s="130" t="e">
        <f>Tabela8[[#This Row],[Latas a Pagar]]*Tabela9[VALOR LATA]</f>
        <v>#VALUE!</v>
      </c>
    </row>
    <row r="7" spans="2:12" ht="20.25" customHeight="1" x14ac:dyDescent="0.3">
      <c r="B7" s="127">
        <f>VALUE('CONTROLE DE PRODUÇÃO'!B7)</f>
        <v>0</v>
      </c>
      <c r="C7" s="128" t="str">
        <f>IFERROR(VLOOKUP(Tabela8[[#This Row],[ID]],Tabela7[],2,0),"")</f>
        <v/>
      </c>
      <c r="D7" s="128" t="e">
        <f>VLOOKUP(Tabela8[[#This Row],[ID]],Tabela1[],3,0)</f>
        <v>#N/A</v>
      </c>
      <c r="E7" s="127" t="str">
        <f>IFERROR(VLOOKUP(Tabela8[[#This Row],[ID]],Tabela1[],4,0),"")</f>
        <v/>
      </c>
      <c r="F7" s="127" t="str">
        <f>IFERROR(VLOOKUP(Tabela8[[#This Row],[ID]],Tabela1[],5,0),"")</f>
        <v/>
      </c>
      <c r="G7" s="127" t="str">
        <f>IFERROR(VLOOKUP(Tabela8[[#This Row],[ID]],Tabela1[],6,0),"")</f>
        <v/>
      </c>
      <c r="H7" s="127" t="str">
        <f>IFERROR(VLOOKUP(Tabela8[[#This Row],[ID]],Tabela1[],7,0),"")</f>
        <v/>
      </c>
      <c r="I7" s="126"/>
      <c r="J7" s="126"/>
      <c r="K7" s="129" t="str">
        <f>IFERROR(VLOOKUP(Tabela8[[#This Row],[ID]],Tabela7[],11,0),"")</f>
        <v/>
      </c>
      <c r="L7" s="130" t="e">
        <f>Tabela8[[#This Row],[Latas a Pagar]]*Tabela9[VALOR LATA]</f>
        <v>#VALUE!</v>
      </c>
    </row>
    <row r="8" spans="2:12" x14ac:dyDescent="0.3">
      <c r="B8" s="127">
        <f>VALUE('CONTROLE DE PRODUÇÃO'!B8)</f>
        <v>0</v>
      </c>
      <c r="C8" s="128" t="str">
        <f>IFERROR(VLOOKUP(Tabela8[[#This Row],[ID]],Tabela7[],2,0),"")</f>
        <v/>
      </c>
      <c r="D8" s="128" t="e">
        <f>VLOOKUP(Tabela8[[#This Row],[ID]],Tabela1[],3,0)</f>
        <v>#N/A</v>
      </c>
      <c r="E8" s="127" t="str">
        <f>IFERROR(VLOOKUP(Tabela8[[#This Row],[ID]],Tabela1[],4,0),"")</f>
        <v/>
      </c>
      <c r="F8" s="127" t="str">
        <f>IFERROR(VLOOKUP(Tabela8[[#This Row],[ID]],Tabela1[],5,0),"")</f>
        <v/>
      </c>
      <c r="G8" s="127" t="str">
        <f>IFERROR(VLOOKUP(Tabela8[[#This Row],[ID]],Tabela1[],6,0),"")</f>
        <v/>
      </c>
      <c r="H8" s="127" t="str">
        <f>IFERROR(VLOOKUP(Tabela8[[#This Row],[ID]],Tabela1[],7,0),"")</f>
        <v/>
      </c>
      <c r="I8" s="126"/>
      <c r="J8" s="126"/>
      <c r="K8" s="129" t="str">
        <f>IFERROR(VLOOKUP(Tabela8[[#This Row],[ID]],Tabela7[],11,0),"")</f>
        <v/>
      </c>
      <c r="L8" s="130" t="e">
        <f>Tabela8[[#This Row],[Latas a Pagar]]*Tabela9[VALOR LATA]</f>
        <v>#VALUE!</v>
      </c>
    </row>
    <row r="9" spans="2:12" x14ac:dyDescent="0.3">
      <c r="B9" s="127">
        <f>VALUE('CONTROLE DE PRODUÇÃO'!B9)</f>
        <v>0</v>
      </c>
      <c r="C9" s="128" t="str">
        <f>IFERROR(VLOOKUP(Tabela8[[#This Row],[ID]],Tabela7[],2,0),"")</f>
        <v/>
      </c>
      <c r="D9" s="128" t="e">
        <f>VLOOKUP(Tabela8[[#This Row],[ID]],Tabela1[],3,0)</f>
        <v>#N/A</v>
      </c>
      <c r="E9" s="127" t="str">
        <f>IFERROR(VLOOKUP(Tabela8[[#This Row],[ID]],Tabela1[],4,0),"")</f>
        <v/>
      </c>
      <c r="F9" s="127" t="str">
        <f>IFERROR(VLOOKUP(Tabela8[[#This Row],[ID]],Tabela1[],5,0),"")</f>
        <v/>
      </c>
      <c r="G9" s="127" t="str">
        <f>IFERROR(VLOOKUP(Tabela8[[#This Row],[ID]],Tabela1[],6,0),"")</f>
        <v/>
      </c>
      <c r="H9" s="127" t="str">
        <f>IFERROR(VLOOKUP(Tabela8[[#This Row],[ID]],Tabela1[],7,0),"")</f>
        <v/>
      </c>
      <c r="I9" s="126"/>
      <c r="J9" s="126"/>
      <c r="K9" s="129" t="str">
        <f>IFERROR(VLOOKUP(Tabela8[[#This Row],[ID]],Tabela7[],11,0),"")</f>
        <v/>
      </c>
      <c r="L9" s="130" t="e">
        <f>Tabela8[[#This Row],[Latas a Pagar]]*Tabela9[VALOR LATA]</f>
        <v>#VALUE!</v>
      </c>
    </row>
    <row r="10" spans="2:12" x14ac:dyDescent="0.3">
      <c r="B10" s="127">
        <f>VALUE('CONTROLE DE PRODUÇÃO'!B10)</f>
        <v>0</v>
      </c>
      <c r="C10" s="128" t="str">
        <f>IFERROR(VLOOKUP(Tabela8[[#This Row],[ID]],Tabela7[],2,0),"")</f>
        <v/>
      </c>
      <c r="D10" s="128" t="e">
        <f>VLOOKUP(Tabela8[[#This Row],[ID]],Tabela1[],3,0)</f>
        <v>#N/A</v>
      </c>
      <c r="E10" s="127" t="str">
        <f>IFERROR(VLOOKUP(Tabela8[[#This Row],[ID]],Tabela1[],4,0),"")</f>
        <v/>
      </c>
      <c r="F10" s="127" t="str">
        <f>IFERROR(VLOOKUP(Tabela8[[#This Row],[ID]],Tabela1[],5,0),"")</f>
        <v/>
      </c>
      <c r="G10" s="127" t="str">
        <f>IFERROR(VLOOKUP(Tabela8[[#This Row],[ID]],Tabela1[],6,0),"")</f>
        <v/>
      </c>
      <c r="H10" s="127" t="str">
        <f>IFERROR(VLOOKUP(Tabela8[[#This Row],[ID]],Tabela1[],7,0),"")</f>
        <v/>
      </c>
      <c r="I10" s="126"/>
      <c r="J10" s="126"/>
      <c r="K10" s="129" t="str">
        <f>IFERROR(VLOOKUP(Tabela8[[#This Row],[ID]],Tabela7[],11,0),"")</f>
        <v/>
      </c>
      <c r="L10" s="130" t="e">
        <f>Tabela8[[#This Row],[Latas a Pagar]]*Tabela9[VALOR LATA]</f>
        <v>#VALUE!</v>
      </c>
    </row>
    <row r="11" spans="2:12" ht="20.25" hidden="1" customHeight="1" x14ac:dyDescent="0.3">
      <c r="B11" s="127">
        <f>VALUE('CONTROLE DE PRODUÇÃO'!B11)</f>
        <v>0</v>
      </c>
      <c r="C11" s="128" t="str">
        <f>IFERROR(VLOOKUP(Tabela8[[#This Row],[ID]],Tabela7[],2,0),"")</f>
        <v/>
      </c>
      <c r="D11" s="128" t="e">
        <f>VLOOKUP(Tabela8[[#This Row],[ID]],Tabela1[],3,0)</f>
        <v>#N/A</v>
      </c>
      <c r="E11" s="127" t="str">
        <f>IFERROR(VLOOKUP(Tabela8[[#This Row],[ID]],Tabela1[],4,0),"")</f>
        <v/>
      </c>
      <c r="F11" s="127" t="str">
        <f>IFERROR(VLOOKUP(Tabela8[[#This Row],[ID]],Tabela1[],5,0),"")</f>
        <v/>
      </c>
      <c r="G11" s="127" t="str">
        <f>IFERROR(VLOOKUP(Tabela8[[#This Row],[ID]],Tabela1[],6,0),"")</f>
        <v/>
      </c>
      <c r="H11" s="127" t="str">
        <f>IFERROR(VLOOKUP(Tabela8[[#This Row],[ID]],Tabela1[],7,0),"")</f>
        <v/>
      </c>
      <c r="I11" s="126"/>
      <c r="J11" s="126"/>
      <c r="K11" s="129" t="str">
        <f>IFERROR(VLOOKUP(Tabela8[[#This Row],[ID]],Tabela7[],11,0),"")</f>
        <v/>
      </c>
      <c r="L11" s="130" t="e">
        <f>Tabela8[[#This Row],[Latas a Pagar]]*Tabela9[VALOR LATA]</f>
        <v>#VALUE!</v>
      </c>
    </row>
    <row r="12" spans="2:12" ht="18.75" hidden="1" customHeight="1" x14ac:dyDescent="0.3">
      <c r="B12" s="127">
        <f>VALUE('CONTROLE DE PRODUÇÃO'!B12)</f>
        <v>0</v>
      </c>
      <c r="C12" s="128" t="str">
        <f>IFERROR(VLOOKUP(Tabela8[[#This Row],[ID]],Tabela7[],2,0),"")</f>
        <v/>
      </c>
      <c r="D12" s="128" t="e">
        <f>VLOOKUP(Tabela8[[#This Row],[ID]],Tabela1[],3,0)</f>
        <v>#N/A</v>
      </c>
      <c r="E12" s="127" t="str">
        <f>IFERROR(VLOOKUP(Tabela8[[#This Row],[ID]],Tabela1[],4,0),"")</f>
        <v/>
      </c>
      <c r="F12" s="127" t="str">
        <f>IFERROR(VLOOKUP(Tabela8[[#This Row],[ID]],Tabela1[],5,0),"")</f>
        <v/>
      </c>
      <c r="G12" s="127" t="str">
        <f>IFERROR(VLOOKUP(Tabela8[[#This Row],[ID]],Tabela1[],6,0),"")</f>
        <v/>
      </c>
      <c r="H12" s="127" t="str">
        <f>IFERROR(VLOOKUP(Tabela8[[#This Row],[ID]],Tabela1[],7,0),"")</f>
        <v/>
      </c>
      <c r="I12" s="126"/>
      <c r="J12" s="126"/>
      <c r="K12" s="129" t="str">
        <f>IFERROR(VLOOKUP(Tabela8[[#This Row],[ID]],Tabela7[],11,0),"")</f>
        <v/>
      </c>
      <c r="L12" s="130" t="e">
        <f>Tabela8[[#This Row],[Latas a Pagar]]*Tabela9[VALOR LATA]</f>
        <v>#VALUE!</v>
      </c>
    </row>
    <row r="13" spans="2:12" hidden="1" x14ac:dyDescent="0.3">
      <c r="B13" s="127">
        <f>VALUE('CONTROLE DE PRODUÇÃO'!B13)</f>
        <v>0</v>
      </c>
      <c r="C13" s="128" t="str">
        <f>IFERROR(VLOOKUP(Tabela8[[#This Row],[ID]],Tabela7[],2,0),"")</f>
        <v/>
      </c>
      <c r="D13" s="128" t="e">
        <f>VLOOKUP(Tabela8[[#This Row],[ID]],Tabela1[],3,0)</f>
        <v>#N/A</v>
      </c>
      <c r="E13" s="127" t="str">
        <f>IFERROR(VLOOKUP(Tabela8[[#This Row],[ID]],Tabela1[],4,0),"")</f>
        <v/>
      </c>
      <c r="F13" s="127" t="str">
        <f>IFERROR(VLOOKUP(Tabela8[[#This Row],[ID]],Tabela1[],5,0),"")</f>
        <v/>
      </c>
      <c r="G13" s="127" t="str">
        <f>IFERROR(VLOOKUP(Tabela8[[#This Row],[ID]],Tabela1[],6,0),"")</f>
        <v/>
      </c>
      <c r="H13" s="127" t="str">
        <f>IFERROR(VLOOKUP(Tabela8[[#This Row],[ID]],Tabela1[],7,0),"")</f>
        <v/>
      </c>
      <c r="I13" s="126"/>
      <c r="J13" s="126"/>
      <c r="K13" s="129" t="str">
        <f>IFERROR(VLOOKUP(Tabela8[[#This Row],[ID]],Tabela7[],11,0),"")</f>
        <v/>
      </c>
      <c r="L13" s="130" t="e">
        <f>Tabela8[[#This Row],[Latas a Pagar]]*Tabela9[VALOR LATA]</f>
        <v>#VALUE!</v>
      </c>
    </row>
    <row r="14" spans="2:12" hidden="1" x14ac:dyDescent="0.3">
      <c r="B14" s="127">
        <f>VALUE('CONTROLE DE PRODUÇÃO'!B14)</f>
        <v>0</v>
      </c>
      <c r="C14" s="128" t="str">
        <f>IFERROR(VLOOKUP(Tabela8[[#This Row],[ID]],Tabela7[],2,0),"")</f>
        <v/>
      </c>
      <c r="D14" s="128" t="e">
        <f>VLOOKUP(Tabela8[[#This Row],[ID]],Tabela1[],3,0)</f>
        <v>#N/A</v>
      </c>
      <c r="E14" s="127" t="str">
        <f>IFERROR(VLOOKUP(Tabela8[[#This Row],[ID]],Tabela1[],4,0),"")</f>
        <v/>
      </c>
      <c r="F14" s="127" t="str">
        <f>IFERROR(VLOOKUP(Tabela8[[#This Row],[ID]],Tabela1[],5,0),"")</f>
        <v/>
      </c>
      <c r="G14" s="127" t="str">
        <f>IFERROR(VLOOKUP(Tabela8[[#This Row],[ID]],Tabela1[],6,0),"")</f>
        <v/>
      </c>
      <c r="H14" s="127" t="str">
        <f>IFERROR(VLOOKUP(Tabela8[[#This Row],[ID]],Tabela1[],7,0),"")</f>
        <v/>
      </c>
      <c r="I14" s="126"/>
      <c r="J14" s="126"/>
      <c r="K14" s="129" t="str">
        <f>IFERROR(VLOOKUP(Tabela8[[#This Row],[ID]],Tabela7[],11,0),"")</f>
        <v/>
      </c>
      <c r="L14" s="130" t="e">
        <f>Tabela8[[#This Row],[Latas a Pagar]]*Tabela9[VALOR LATA]</f>
        <v>#VALUE!</v>
      </c>
    </row>
    <row r="15" spans="2:12" hidden="1" x14ac:dyDescent="0.3">
      <c r="B15" s="127">
        <f>VALUE('CONTROLE DE PRODUÇÃO'!B15)</f>
        <v>0</v>
      </c>
      <c r="C15" s="128" t="str">
        <f>IFERROR(VLOOKUP(Tabela8[[#This Row],[ID]],Tabela7[],2,0),"")</f>
        <v/>
      </c>
      <c r="D15" s="128" t="e">
        <f>VLOOKUP(Tabela8[[#This Row],[ID]],Tabela1[],3,0)</f>
        <v>#N/A</v>
      </c>
      <c r="E15" s="127" t="str">
        <f>IFERROR(VLOOKUP(Tabela8[[#This Row],[ID]],Tabela1[],4,0),"")</f>
        <v/>
      </c>
      <c r="F15" s="127" t="str">
        <f>IFERROR(VLOOKUP(Tabela8[[#This Row],[ID]],Tabela1[],5,0),"")</f>
        <v/>
      </c>
      <c r="G15" s="127" t="str">
        <f>IFERROR(VLOOKUP(Tabela8[[#This Row],[ID]],Tabela1[],6,0),"")</f>
        <v/>
      </c>
      <c r="H15" s="127" t="str">
        <f>IFERROR(VLOOKUP(Tabela8[[#This Row],[ID]],Tabela1[],7,0),"")</f>
        <v/>
      </c>
      <c r="I15" s="126"/>
      <c r="J15" s="126"/>
      <c r="K15" s="129" t="str">
        <f>IFERROR(VLOOKUP(Tabela8[[#This Row],[ID]],Tabela7[],11,0),"")</f>
        <v/>
      </c>
      <c r="L15" s="130" t="e">
        <f>Tabela8[[#This Row],[Latas a Pagar]]*Tabela9[VALOR LATA]</f>
        <v>#VALUE!</v>
      </c>
    </row>
    <row r="16" spans="2:12" hidden="1" x14ac:dyDescent="0.3">
      <c r="B16" s="127">
        <f>VALUE('CONTROLE DE PRODUÇÃO'!B16)</f>
        <v>0</v>
      </c>
      <c r="C16" s="128" t="str">
        <f>IFERROR(VLOOKUP(Tabela8[[#This Row],[ID]],Tabela7[],2,0),"")</f>
        <v/>
      </c>
      <c r="D16" s="128" t="e">
        <f>VLOOKUP(Tabela8[[#This Row],[ID]],Tabela1[],3,0)</f>
        <v>#N/A</v>
      </c>
      <c r="E16" s="127" t="str">
        <f>IFERROR(VLOOKUP(Tabela8[[#This Row],[ID]],Tabela1[],4,0),"")</f>
        <v/>
      </c>
      <c r="F16" s="127" t="str">
        <f>IFERROR(VLOOKUP(Tabela8[[#This Row],[ID]],Tabela1[],5,0),"")</f>
        <v/>
      </c>
      <c r="G16" s="127" t="str">
        <f>IFERROR(VLOOKUP(Tabela8[[#This Row],[ID]],Tabela1[],6,0),"")</f>
        <v/>
      </c>
      <c r="H16" s="127" t="str">
        <f>IFERROR(VLOOKUP(Tabela8[[#This Row],[ID]],Tabela1[],7,0),"")</f>
        <v/>
      </c>
      <c r="I16" s="126"/>
      <c r="J16" s="126"/>
      <c r="K16" s="129" t="str">
        <f>IFERROR(VLOOKUP(Tabela8[[#This Row],[ID]],Tabela7[],11,0),"")</f>
        <v/>
      </c>
      <c r="L16" s="130" t="e">
        <f>Tabela8[[#This Row],[Latas a Pagar]]*Tabela9[VALOR LATA]</f>
        <v>#VALUE!</v>
      </c>
    </row>
    <row r="17" spans="1:12" hidden="1" x14ac:dyDescent="0.3">
      <c r="B17" s="127">
        <f>VALUE('CONTROLE DE PRODUÇÃO'!B17)</f>
        <v>0</v>
      </c>
      <c r="C17" s="128" t="str">
        <f>IFERROR(VLOOKUP(Tabela8[[#This Row],[ID]],Tabela7[],2,0),"")</f>
        <v/>
      </c>
      <c r="D17" s="128" t="e">
        <f>VLOOKUP(Tabela8[[#This Row],[ID]],Tabela1[],3,0)</f>
        <v>#N/A</v>
      </c>
      <c r="E17" s="127" t="str">
        <f>IFERROR(VLOOKUP(Tabela8[[#This Row],[ID]],Tabela1[],4,0),"")</f>
        <v/>
      </c>
      <c r="F17" s="127" t="str">
        <f>IFERROR(VLOOKUP(Tabela8[[#This Row],[ID]],Tabela1[],5,0),"")</f>
        <v/>
      </c>
      <c r="G17" s="127" t="str">
        <f>IFERROR(VLOOKUP(Tabela8[[#This Row],[ID]],Tabela1[],6,0),"")</f>
        <v/>
      </c>
      <c r="H17" s="127" t="str">
        <f>IFERROR(VLOOKUP(Tabela8[[#This Row],[ID]],Tabela1[],7,0),"")</f>
        <v/>
      </c>
      <c r="I17" s="126"/>
      <c r="J17" s="126"/>
      <c r="K17" s="129" t="str">
        <f>IFERROR(VLOOKUP(Tabela8[[#This Row],[ID]],Tabela7[],11,0),"")</f>
        <v/>
      </c>
      <c r="L17" s="130" t="e">
        <f>Tabela8[[#This Row],[Latas a Pagar]]*Tabela9[VALOR LATA]</f>
        <v>#VALUE!</v>
      </c>
    </row>
    <row r="18" spans="1:12" hidden="1" x14ac:dyDescent="0.3">
      <c r="B18" s="127">
        <f>VALUE('CONTROLE DE PRODUÇÃO'!B18)</f>
        <v>0</v>
      </c>
      <c r="C18" s="128" t="str">
        <f>IFERROR(VLOOKUP(Tabela8[[#This Row],[ID]],Tabela7[],2,0),"")</f>
        <v/>
      </c>
      <c r="D18" s="128" t="e">
        <f>VLOOKUP(Tabela8[[#This Row],[ID]],Tabela1[],3,0)</f>
        <v>#N/A</v>
      </c>
      <c r="E18" s="127" t="str">
        <f>IFERROR(VLOOKUP(Tabela8[[#This Row],[ID]],Tabela1[],4,0),"")</f>
        <v/>
      </c>
      <c r="F18" s="127" t="str">
        <f>IFERROR(VLOOKUP(Tabela8[[#This Row],[ID]],Tabela1[],5,0),"")</f>
        <v/>
      </c>
      <c r="G18" s="127" t="str">
        <f>IFERROR(VLOOKUP(Tabela8[[#This Row],[ID]],Tabela1[],6,0),"")</f>
        <v/>
      </c>
      <c r="H18" s="127" t="str">
        <f>IFERROR(VLOOKUP(Tabela8[[#This Row],[ID]],Tabela1[],7,0),"")</f>
        <v/>
      </c>
      <c r="I18" s="126"/>
      <c r="J18" s="126"/>
      <c r="K18" s="129" t="str">
        <f>IFERROR(VLOOKUP(Tabela8[[#This Row],[ID]],Tabela7[],11,0),"")</f>
        <v/>
      </c>
      <c r="L18" s="130" t="e">
        <f>Tabela8[[#This Row],[Latas a Pagar]]*Tabela9[VALOR LATA]</f>
        <v>#VALUE!</v>
      </c>
    </row>
    <row r="19" spans="1:12" hidden="1" x14ac:dyDescent="0.3">
      <c r="B19" s="127">
        <f>VALUE('CONTROLE DE PRODUÇÃO'!B19)</f>
        <v>0</v>
      </c>
      <c r="C19" s="128" t="str">
        <f>IFERROR(VLOOKUP(Tabela8[[#This Row],[ID]],Tabela7[],2,0),"")</f>
        <v/>
      </c>
      <c r="D19" s="128" t="e">
        <f>VLOOKUP(Tabela8[[#This Row],[ID]],Tabela1[],3,0)</f>
        <v>#N/A</v>
      </c>
      <c r="E19" s="127" t="str">
        <f>IFERROR(VLOOKUP(Tabela8[[#This Row],[ID]],Tabela1[],4,0),"")</f>
        <v/>
      </c>
      <c r="F19" s="127" t="str">
        <f>IFERROR(VLOOKUP(Tabela8[[#This Row],[ID]],Tabela1[],5,0),"")</f>
        <v/>
      </c>
      <c r="G19" s="127" t="str">
        <f>IFERROR(VLOOKUP(Tabela8[[#This Row],[ID]],Tabela1[],6,0),"")</f>
        <v/>
      </c>
      <c r="H19" s="127" t="str">
        <f>IFERROR(VLOOKUP(Tabela8[[#This Row],[ID]],Tabela1[],7,0),"")</f>
        <v/>
      </c>
      <c r="I19" s="126"/>
      <c r="J19" s="126"/>
      <c r="K19" s="129" t="str">
        <f>IFERROR(VLOOKUP(Tabela8[[#This Row],[ID]],Tabela7[],11,0),"")</f>
        <v/>
      </c>
      <c r="L19" s="130" t="e">
        <f>Tabela8[[#This Row],[Latas a Pagar]]*Tabela9[VALOR LATA]</f>
        <v>#VALUE!</v>
      </c>
    </row>
    <row r="20" spans="1:12" hidden="1" x14ac:dyDescent="0.3">
      <c r="B20" s="127">
        <f>VALUE('CONTROLE DE PRODUÇÃO'!B20)</f>
        <v>0</v>
      </c>
      <c r="C20" s="128" t="str">
        <f>IFERROR(VLOOKUP(Tabela8[[#This Row],[ID]],Tabela7[],2,0),"")</f>
        <v/>
      </c>
      <c r="D20" s="128" t="e">
        <f>VLOOKUP(Tabela8[[#This Row],[ID]],Tabela1[],3,0)</f>
        <v>#N/A</v>
      </c>
      <c r="E20" s="127" t="str">
        <f>IFERROR(VLOOKUP(Tabela8[[#This Row],[ID]],Tabela1[],4,0),"")</f>
        <v/>
      </c>
      <c r="F20" s="127" t="str">
        <f>IFERROR(VLOOKUP(Tabela8[[#This Row],[ID]],Tabela1[],5,0),"")</f>
        <v/>
      </c>
      <c r="G20" s="127" t="str">
        <f>IFERROR(VLOOKUP(Tabela8[[#This Row],[ID]],Tabela1[],6,0),"")</f>
        <v/>
      </c>
      <c r="H20" s="127" t="str">
        <f>IFERROR(VLOOKUP(Tabela8[[#This Row],[ID]],Tabela1[],7,0),"")</f>
        <v/>
      </c>
      <c r="I20" s="126"/>
      <c r="J20" s="126"/>
      <c r="K20" s="129" t="str">
        <f>IFERROR(VLOOKUP(Tabela8[[#This Row],[ID]],Tabela7[],11,0),"")</f>
        <v/>
      </c>
      <c r="L20" s="130" t="e">
        <f>Tabela8[[#This Row],[Latas a Pagar]]*Tabela9[VALOR LATA]</f>
        <v>#VALUE!</v>
      </c>
    </row>
    <row r="21" spans="1:12" hidden="1" x14ac:dyDescent="0.3">
      <c r="B21" s="127">
        <f>VALUE('CONTROLE DE PRODUÇÃO'!B21)</f>
        <v>0</v>
      </c>
      <c r="C21" s="128" t="str">
        <f>IFERROR(VLOOKUP(Tabela8[[#This Row],[ID]],Tabela7[],2,0),"")</f>
        <v/>
      </c>
      <c r="D21" s="128" t="e">
        <f>VLOOKUP(Tabela8[[#This Row],[ID]],Tabela1[],3,0)</f>
        <v>#N/A</v>
      </c>
      <c r="E21" s="127" t="str">
        <f>IFERROR(VLOOKUP(Tabela8[[#This Row],[ID]],Tabela1[],4,0),"")</f>
        <v/>
      </c>
      <c r="F21" s="127" t="str">
        <f>IFERROR(VLOOKUP(Tabela8[[#This Row],[ID]],Tabela1[],5,0),"")</f>
        <v/>
      </c>
      <c r="G21" s="127" t="str">
        <f>IFERROR(VLOOKUP(Tabela8[[#This Row],[ID]],Tabela1[],6,0),"")</f>
        <v/>
      </c>
      <c r="H21" s="127" t="str">
        <f>IFERROR(VLOOKUP(Tabela8[[#This Row],[ID]],Tabela1[],7,0),"")</f>
        <v/>
      </c>
      <c r="I21" s="126"/>
      <c r="J21" s="126"/>
      <c r="K21" s="129" t="str">
        <f>IFERROR(VLOOKUP(Tabela8[[#This Row],[ID]],Tabela7[],11,0),"")</f>
        <v/>
      </c>
      <c r="L21" s="130" t="e">
        <f>Tabela8[[#This Row],[Latas a Pagar]]*Tabela9[VALOR LATA]</f>
        <v>#VALUE!</v>
      </c>
    </row>
    <row r="22" spans="1:12" hidden="1" x14ac:dyDescent="0.3">
      <c r="B22" s="127">
        <f>VALUE('CONTROLE DE PRODUÇÃO'!B22)</f>
        <v>0</v>
      </c>
      <c r="C22" s="128" t="str">
        <f>IFERROR(VLOOKUP(Tabela8[[#This Row],[ID]],Tabela7[],2,0),"")</f>
        <v/>
      </c>
      <c r="D22" s="128" t="e">
        <f>VLOOKUP(Tabela8[[#This Row],[ID]],Tabela1[],3,0)</f>
        <v>#N/A</v>
      </c>
      <c r="E22" s="127" t="str">
        <f>IFERROR(VLOOKUP(Tabela8[[#This Row],[ID]],Tabela1[],4,0),"")</f>
        <v/>
      </c>
      <c r="F22" s="127" t="str">
        <f>IFERROR(VLOOKUP(Tabela8[[#This Row],[ID]],Tabela1[],5,0),"")</f>
        <v/>
      </c>
      <c r="G22" s="127" t="str">
        <f>IFERROR(VLOOKUP(Tabela8[[#This Row],[ID]],Tabela1[],6,0),"")</f>
        <v/>
      </c>
      <c r="H22" s="127" t="str">
        <f>IFERROR(VLOOKUP(Tabela8[[#This Row],[ID]],Tabela1[],7,0),"")</f>
        <v/>
      </c>
      <c r="I22" s="126"/>
      <c r="J22" s="126"/>
      <c r="K22" s="129" t="str">
        <f>IFERROR(VLOOKUP(Tabela8[[#This Row],[ID]],Tabela7[],11,0),"")</f>
        <v/>
      </c>
      <c r="L22" s="130" t="e">
        <f>Tabela8[[#This Row],[Latas a Pagar]]*Tabela9[VALOR LATA]</f>
        <v>#VALUE!</v>
      </c>
    </row>
    <row r="23" spans="1:12" hidden="1" x14ac:dyDescent="0.3">
      <c r="A23" s="126" t="s">
        <v>4949</v>
      </c>
      <c r="B23" s="127">
        <f>VALUE('CONTROLE DE PRODUÇÃO'!B23)</f>
        <v>0</v>
      </c>
      <c r="C23" s="128" t="str">
        <f>IFERROR(VLOOKUP(Tabela8[[#This Row],[ID]],Tabela7[],2,0),"")</f>
        <v/>
      </c>
      <c r="D23" s="128" t="e">
        <f>VLOOKUP(Tabela8[[#This Row],[ID]],Tabela1[],3,0)</f>
        <v>#N/A</v>
      </c>
      <c r="E23" s="127" t="str">
        <f>IFERROR(VLOOKUP(Tabela8[[#This Row],[ID]],Tabela1[],4,0),"")</f>
        <v/>
      </c>
      <c r="F23" s="127" t="str">
        <f>IFERROR(VLOOKUP(Tabela8[[#This Row],[ID]],Tabela1[],5,0),"")</f>
        <v/>
      </c>
      <c r="G23" s="127" t="str">
        <f>IFERROR(VLOOKUP(Tabela8[[#This Row],[ID]],Tabela1[],6,0),"")</f>
        <v/>
      </c>
      <c r="H23" s="127" t="str">
        <f>IFERROR(VLOOKUP(Tabela8[[#This Row],[ID]],Tabela1[],7,0),"")</f>
        <v/>
      </c>
      <c r="I23" s="126"/>
      <c r="J23" s="126"/>
      <c r="K23" s="129" t="str">
        <f>IFERROR(VLOOKUP(Tabela8[[#This Row],[ID]],Tabela7[],11,0),"")</f>
        <v/>
      </c>
      <c r="L23" s="130" t="e">
        <f>Tabela8[[#This Row],[Latas a Pagar]]*Tabela9[VALOR LATA]</f>
        <v>#VALUE!</v>
      </c>
    </row>
    <row r="24" spans="1:12" hidden="1" x14ac:dyDescent="0.3">
      <c r="B24" s="127">
        <f>VALUE('CONTROLE DE PRODUÇÃO'!B24)</f>
        <v>0</v>
      </c>
      <c r="C24" s="128" t="str">
        <f>IFERROR(VLOOKUP(Tabela8[[#This Row],[ID]],Tabela7[],2,0),"")</f>
        <v/>
      </c>
      <c r="D24" s="128" t="e">
        <f>VLOOKUP(Tabela8[[#This Row],[ID]],Tabela1[],3,0)</f>
        <v>#N/A</v>
      </c>
      <c r="E24" s="127" t="str">
        <f>IFERROR(VLOOKUP(Tabela8[[#This Row],[ID]],Tabela1[],4,0),"")</f>
        <v/>
      </c>
      <c r="F24" s="127" t="str">
        <f>IFERROR(VLOOKUP(Tabela8[[#This Row],[ID]],Tabela1[],5,0),"")</f>
        <v/>
      </c>
      <c r="G24" s="127" t="str">
        <f>IFERROR(VLOOKUP(Tabela8[[#This Row],[ID]],Tabela1[],6,0),"")</f>
        <v/>
      </c>
      <c r="H24" s="127" t="str">
        <f>IFERROR(VLOOKUP(Tabela8[[#This Row],[ID]],Tabela1[],7,0),"")</f>
        <v/>
      </c>
      <c r="I24" s="126"/>
      <c r="J24" s="126"/>
      <c r="K24" s="129" t="str">
        <f>IFERROR(VLOOKUP(Tabela8[[#This Row],[ID]],Tabela7[],11,0),"")</f>
        <v/>
      </c>
      <c r="L24" s="130" t="e">
        <f>Tabela8[[#This Row],[Latas a Pagar]]*Tabela9[VALOR LATA]</f>
        <v>#VALUE!</v>
      </c>
    </row>
    <row r="25" spans="1:12" hidden="1" x14ac:dyDescent="0.3">
      <c r="B25" s="127">
        <f>VALUE('CONTROLE DE PRODUÇÃO'!B25)</f>
        <v>0</v>
      </c>
      <c r="C25" s="128" t="str">
        <f>IFERROR(VLOOKUP(Tabela8[[#This Row],[ID]],Tabela7[],2,0),"")</f>
        <v/>
      </c>
      <c r="D25" s="128" t="e">
        <f>VLOOKUP(Tabela8[[#This Row],[ID]],Tabela1[],3,0)</f>
        <v>#N/A</v>
      </c>
      <c r="E25" s="127" t="str">
        <f>IFERROR(VLOOKUP(Tabela8[[#This Row],[ID]],Tabela1[],4,0),"")</f>
        <v/>
      </c>
      <c r="F25" s="127" t="str">
        <f>IFERROR(VLOOKUP(Tabela8[[#This Row],[ID]],Tabela1[],5,0),"")</f>
        <v/>
      </c>
      <c r="G25" s="127" t="str">
        <f>IFERROR(VLOOKUP(Tabela8[[#This Row],[ID]],Tabela1[],6,0),"")</f>
        <v/>
      </c>
      <c r="H25" s="127" t="str">
        <f>IFERROR(VLOOKUP(Tabela8[[#This Row],[ID]],Tabela1[],7,0),"")</f>
        <v/>
      </c>
      <c r="I25" s="126"/>
      <c r="J25" s="126"/>
      <c r="K25" s="129" t="str">
        <f>IFERROR(VLOOKUP(Tabela8[[#This Row],[ID]],Tabela7[],11,0),"")</f>
        <v/>
      </c>
      <c r="L25" s="130" t="e">
        <f>Tabela8[[#This Row],[Latas a Pagar]]*Tabela9[VALOR LATA]</f>
        <v>#VALUE!</v>
      </c>
    </row>
    <row r="26" spans="1:12" hidden="1" x14ac:dyDescent="0.3">
      <c r="B26" s="127">
        <f>VALUE('CONTROLE DE PRODUÇÃO'!B26)</f>
        <v>0</v>
      </c>
      <c r="C26" s="128" t="str">
        <f>IFERROR(VLOOKUP(Tabela8[[#This Row],[ID]],Tabela7[],2,0),"")</f>
        <v/>
      </c>
      <c r="D26" s="128" t="e">
        <f>VLOOKUP(Tabela8[[#This Row],[ID]],Tabela1[],3,0)</f>
        <v>#N/A</v>
      </c>
      <c r="E26" s="127" t="str">
        <f>IFERROR(VLOOKUP(Tabela8[[#This Row],[ID]],Tabela1[],4,0),"")</f>
        <v/>
      </c>
      <c r="F26" s="127" t="str">
        <f>IFERROR(VLOOKUP(Tabela8[[#This Row],[ID]],Tabela1[],5,0),"")</f>
        <v/>
      </c>
      <c r="G26" s="127" t="str">
        <f>IFERROR(VLOOKUP(Tabela8[[#This Row],[ID]],Tabela1[],6,0),"")</f>
        <v/>
      </c>
      <c r="H26" s="127" t="str">
        <f>IFERROR(VLOOKUP(Tabela8[[#This Row],[ID]],Tabela1[],7,0),"")</f>
        <v/>
      </c>
      <c r="I26" s="126"/>
      <c r="J26" s="126"/>
      <c r="K26" s="129" t="str">
        <f>IFERROR(VLOOKUP(Tabela8[[#This Row],[ID]],Tabela7[],11,0),"")</f>
        <v/>
      </c>
      <c r="L26" s="130" t="e">
        <f>Tabela8[[#This Row],[Latas a Pagar]]*Tabela9[VALOR LATA]</f>
        <v>#VALUE!</v>
      </c>
    </row>
    <row r="27" spans="1:12" hidden="1" x14ac:dyDescent="0.3">
      <c r="B27" s="127">
        <f>VALUE('CONTROLE DE PRODUÇÃO'!B27)</f>
        <v>0</v>
      </c>
      <c r="C27" s="128" t="str">
        <f>IFERROR(VLOOKUP(Tabela8[[#This Row],[ID]],Tabela7[],2,0),"")</f>
        <v/>
      </c>
      <c r="D27" s="128" t="e">
        <f>VLOOKUP(Tabela8[[#This Row],[ID]],Tabela1[],3,0)</f>
        <v>#N/A</v>
      </c>
      <c r="E27" s="127" t="str">
        <f>IFERROR(VLOOKUP(Tabela8[[#This Row],[ID]],Tabela1[],4,0),"")</f>
        <v/>
      </c>
      <c r="F27" s="127" t="str">
        <f>IFERROR(VLOOKUP(Tabela8[[#This Row],[ID]],Tabela1[],5,0),"")</f>
        <v/>
      </c>
      <c r="G27" s="127" t="str">
        <f>IFERROR(VLOOKUP(Tabela8[[#This Row],[ID]],Tabela1[],6,0),"")</f>
        <v/>
      </c>
      <c r="H27" s="127" t="str">
        <f>IFERROR(VLOOKUP(Tabela8[[#This Row],[ID]],Tabela1[],7,0),"")</f>
        <v/>
      </c>
      <c r="I27" s="126"/>
      <c r="J27" s="126"/>
      <c r="K27" s="129" t="str">
        <f>IFERROR(VLOOKUP(Tabela8[[#This Row],[ID]],Tabela7[],11,0),"")</f>
        <v/>
      </c>
      <c r="L27" s="130" t="e">
        <f>Tabela8[[#This Row],[Latas a Pagar]]*Tabela9[VALOR LATA]</f>
        <v>#VALUE!</v>
      </c>
    </row>
    <row r="28" spans="1:12" hidden="1" x14ac:dyDescent="0.3">
      <c r="B28" s="127">
        <f>VALUE('CONTROLE DE PRODUÇÃO'!B28)</f>
        <v>0</v>
      </c>
      <c r="C28" s="128" t="str">
        <f>IFERROR(VLOOKUP(Tabela8[[#This Row],[ID]],Tabela7[],2,0),"")</f>
        <v/>
      </c>
      <c r="D28" s="128" t="e">
        <f>VLOOKUP(Tabela8[[#This Row],[ID]],Tabela1[],3,0)</f>
        <v>#N/A</v>
      </c>
      <c r="E28" s="127" t="str">
        <f>IFERROR(VLOOKUP(Tabela8[[#This Row],[ID]],Tabela1[],4,0),"")</f>
        <v/>
      </c>
      <c r="F28" s="127" t="str">
        <f>IFERROR(VLOOKUP(Tabela8[[#This Row],[ID]],Tabela1[],5,0),"")</f>
        <v/>
      </c>
      <c r="G28" s="127" t="str">
        <f>IFERROR(VLOOKUP(Tabela8[[#This Row],[ID]],Tabela1[],6,0),"")</f>
        <v/>
      </c>
      <c r="H28" s="127" t="str">
        <f>IFERROR(VLOOKUP(Tabela8[[#This Row],[ID]],Tabela1[],7,0),"")</f>
        <v/>
      </c>
      <c r="I28" s="126"/>
      <c r="J28" s="126"/>
      <c r="K28" s="129" t="str">
        <f>IFERROR(VLOOKUP(Tabela8[[#This Row],[ID]],Tabela7[],11,0),"")</f>
        <v/>
      </c>
      <c r="L28" s="130" t="e">
        <f>Tabela8[[#This Row],[Latas a Pagar]]*Tabela9[VALOR LATA]</f>
        <v>#VALUE!</v>
      </c>
    </row>
    <row r="29" spans="1:12" hidden="1" x14ac:dyDescent="0.3">
      <c r="B29" s="127">
        <f>VALUE('CONTROLE DE PRODUÇÃO'!B29)</f>
        <v>0</v>
      </c>
      <c r="C29" s="128" t="str">
        <f>IFERROR(VLOOKUP(Tabela8[[#This Row],[ID]],Tabela7[],2,0),"")</f>
        <v/>
      </c>
      <c r="D29" s="128" t="e">
        <f>VLOOKUP(Tabela8[[#This Row],[ID]],Tabela1[],3,0)</f>
        <v>#N/A</v>
      </c>
      <c r="E29" s="127" t="str">
        <f>IFERROR(VLOOKUP(Tabela8[[#This Row],[ID]],Tabela1[],4,0),"")</f>
        <v/>
      </c>
      <c r="F29" s="127" t="str">
        <f>IFERROR(VLOOKUP(Tabela8[[#This Row],[ID]],Tabela1[],5,0),"")</f>
        <v/>
      </c>
      <c r="G29" s="127" t="str">
        <f>IFERROR(VLOOKUP(Tabela8[[#This Row],[ID]],Tabela1[],6,0),"")</f>
        <v/>
      </c>
      <c r="H29" s="127" t="str">
        <f>IFERROR(VLOOKUP(Tabela8[[#This Row],[ID]],Tabela1[],7,0),"")</f>
        <v/>
      </c>
      <c r="I29" s="126"/>
      <c r="J29" s="126"/>
      <c r="K29" s="129" t="str">
        <f>IFERROR(VLOOKUP(Tabela8[[#This Row],[ID]],Tabela7[],11,0),"")</f>
        <v/>
      </c>
      <c r="L29" s="130" t="e">
        <f>Tabela8[[#This Row],[Latas a Pagar]]*Tabela9[VALOR LATA]</f>
        <v>#VALUE!</v>
      </c>
    </row>
    <row r="30" spans="1:12" hidden="1" x14ac:dyDescent="0.3">
      <c r="B30" s="127">
        <f>VALUE('CONTROLE DE PRODUÇÃO'!B30)</f>
        <v>0</v>
      </c>
      <c r="C30" s="128" t="str">
        <f>IFERROR(VLOOKUP(Tabela8[[#This Row],[ID]],Tabela7[],2,0),"")</f>
        <v/>
      </c>
      <c r="D30" s="128" t="e">
        <f>VLOOKUP(Tabela8[[#This Row],[ID]],Tabela1[],3,0)</f>
        <v>#N/A</v>
      </c>
      <c r="E30" s="127" t="str">
        <f>IFERROR(VLOOKUP(Tabela8[[#This Row],[ID]],Tabela1[],4,0),"")</f>
        <v/>
      </c>
      <c r="F30" s="127" t="str">
        <f>IFERROR(VLOOKUP(Tabela8[[#This Row],[ID]],Tabela1[],5,0),"")</f>
        <v/>
      </c>
      <c r="G30" s="127" t="str">
        <f>IFERROR(VLOOKUP(Tabela8[[#This Row],[ID]],Tabela1[],6,0),"")</f>
        <v/>
      </c>
      <c r="H30" s="127" t="str">
        <f>IFERROR(VLOOKUP(Tabela8[[#This Row],[ID]],Tabela1[],7,0),"")</f>
        <v/>
      </c>
      <c r="I30" s="126"/>
      <c r="J30" s="126"/>
      <c r="K30" s="129" t="str">
        <f>IFERROR(VLOOKUP(Tabela8[[#This Row],[ID]],Tabela7[],11,0),"")</f>
        <v/>
      </c>
      <c r="L30" s="130" t="e">
        <f>Tabela8[[#This Row],[Latas a Pagar]]*Tabela9[VALOR LATA]</f>
        <v>#VALUE!</v>
      </c>
    </row>
    <row r="31" spans="1:12" hidden="1" x14ac:dyDescent="0.3">
      <c r="B31" s="127">
        <f>VALUE('CONTROLE DE PRODUÇÃO'!B31)</f>
        <v>0</v>
      </c>
      <c r="C31" s="128" t="str">
        <f>IFERROR(VLOOKUP(Tabela8[[#This Row],[ID]],Tabela7[],2,0),"")</f>
        <v/>
      </c>
      <c r="D31" s="128" t="e">
        <f>VLOOKUP(Tabela8[[#This Row],[ID]],Tabela1[],3,0)</f>
        <v>#N/A</v>
      </c>
      <c r="E31" s="127" t="str">
        <f>IFERROR(VLOOKUP(Tabela8[[#This Row],[ID]],Tabela1[],4,0),"")</f>
        <v/>
      </c>
      <c r="F31" s="127" t="str">
        <f>IFERROR(VLOOKUP(Tabela8[[#This Row],[ID]],Tabela1[],5,0),"")</f>
        <v/>
      </c>
      <c r="G31" s="127" t="str">
        <f>IFERROR(VLOOKUP(Tabela8[[#This Row],[ID]],Tabela1[],6,0),"")</f>
        <v/>
      </c>
      <c r="H31" s="127" t="str">
        <f>IFERROR(VLOOKUP(Tabela8[[#This Row],[ID]],Tabela1[],7,0),"")</f>
        <v/>
      </c>
      <c r="I31" s="126"/>
      <c r="J31" s="126"/>
      <c r="K31" s="129" t="str">
        <f>IFERROR(VLOOKUP(Tabela8[[#This Row],[ID]],Tabela7[],11,0),"")</f>
        <v/>
      </c>
      <c r="L31" s="130" t="e">
        <f>Tabela8[[#This Row],[Latas a Pagar]]*Tabela9[VALOR LATA]</f>
        <v>#VALUE!</v>
      </c>
    </row>
    <row r="32" spans="1:12" hidden="1" x14ac:dyDescent="0.3">
      <c r="B32" s="127">
        <f>VALUE('CONTROLE DE PRODUÇÃO'!B32)</f>
        <v>0</v>
      </c>
      <c r="C32" s="128" t="str">
        <f>IFERROR(VLOOKUP(Tabela8[[#This Row],[ID]],Tabela7[],2,0),"")</f>
        <v/>
      </c>
      <c r="D32" s="128" t="e">
        <f>VLOOKUP(Tabela8[[#This Row],[ID]],Tabela1[],3,0)</f>
        <v>#N/A</v>
      </c>
      <c r="E32" s="127" t="str">
        <f>IFERROR(VLOOKUP(Tabela8[[#This Row],[ID]],Tabela1[],4,0),"")</f>
        <v/>
      </c>
      <c r="F32" s="127" t="str">
        <f>IFERROR(VLOOKUP(Tabela8[[#This Row],[ID]],Tabela1[],5,0),"")</f>
        <v/>
      </c>
      <c r="G32" s="127" t="str">
        <f>IFERROR(VLOOKUP(Tabela8[[#This Row],[ID]],Tabela1[],6,0),"")</f>
        <v/>
      </c>
      <c r="H32" s="127" t="str">
        <f>IFERROR(VLOOKUP(Tabela8[[#This Row],[ID]],Tabela1[],7,0),"")</f>
        <v/>
      </c>
      <c r="I32" s="126"/>
      <c r="J32" s="126"/>
      <c r="K32" s="129" t="str">
        <f>IFERROR(VLOOKUP(Tabela8[[#This Row],[ID]],Tabela7[],11,0),"")</f>
        <v/>
      </c>
      <c r="L32" s="130" t="e">
        <f>Tabela8[[#This Row],[Latas a Pagar]]*Tabela9[VALOR LATA]</f>
        <v>#VALUE!</v>
      </c>
    </row>
    <row r="33" spans="2:12" hidden="1" x14ac:dyDescent="0.3">
      <c r="B33" s="127">
        <f>VALUE('CONTROLE DE PRODUÇÃO'!B33)</f>
        <v>0</v>
      </c>
      <c r="C33" s="128" t="str">
        <f>IFERROR(VLOOKUP(Tabela8[[#This Row],[ID]],Tabela7[],2,0),"")</f>
        <v/>
      </c>
      <c r="D33" s="128" t="e">
        <f>VLOOKUP(Tabela8[[#This Row],[ID]],Tabela1[],3,0)</f>
        <v>#N/A</v>
      </c>
      <c r="E33" s="127" t="str">
        <f>IFERROR(VLOOKUP(Tabela8[[#This Row],[ID]],Tabela1[],4,0),"")</f>
        <v/>
      </c>
      <c r="F33" s="127" t="str">
        <f>IFERROR(VLOOKUP(Tabela8[[#This Row],[ID]],Tabela1[],5,0),"")</f>
        <v/>
      </c>
      <c r="G33" s="127" t="str">
        <f>IFERROR(VLOOKUP(Tabela8[[#This Row],[ID]],Tabela1[],6,0),"")</f>
        <v/>
      </c>
      <c r="H33" s="127" t="str">
        <f>IFERROR(VLOOKUP(Tabela8[[#This Row],[ID]],Tabela1[],7,0),"")</f>
        <v/>
      </c>
      <c r="I33" s="126"/>
      <c r="J33" s="126"/>
      <c r="K33" s="129" t="str">
        <f>IFERROR(VLOOKUP(Tabela8[[#This Row],[ID]],Tabela7[],11,0),"")</f>
        <v/>
      </c>
      <c r="L33" s="130" t="e">
        <f>Tabela8[[#This Row],[Latas a Pagar]]*Tabela9[VALOR LATA]</f>
        <v>#VALUE!</v>
      </c>
    </row>
    <row r="34" spans="2:12" hidden="1" x14ac:dyDescent="0.3">
      <c r="B34" s="127">
        <f>VALUE('CONTROLE DE PRODUÇÃO'!B34)</f>
        <v>0</v>
      </c>
      <c r="C34" s="128" t="str">
        <f>IFERROR(VLOOKUP(Tabela8[[#This Row],[ID]],Tabela7[],2,0),"")</f>
        <v/>
      </c>
      <c r="D34" s="128" t="e">
        <f>VLOOKUP(Tabela8[[#This Row],[ID]],Tabela1[],3,0)</f>
        <v>#N/A</v>
      </c>
      <c r="E34" s="127" t="str">
        <f>IFERROR(VLOOKUP(Tabela8[[#This Row],[ID]],Tabela1[],4,0),"")</f>
        <v/>
      </c>
      <c r="F34" s="127" t="str">
        <f>IFERROR(VLOOKUP(Tabela8[[#This Row],[ID]],Tabela1[],5,0),"")</f>
        <v/>
      </c>
      <c r="G34" s="127" t="str">
        <f>IFERROR(VLOOKUP(Tabela8[[#This Row],[ID]],Tabela1[],6,0),"")</f>
        <v/>
      </c>
      <c r="H34" s="127" t="str">
        <f>IFERROR(VLOOKUP(Tabela8[[#This Row],[ID]],Tabela1[],7,0),"")</f>
        <v/>
      </c>
      <c r="I34" s="126"/>
      <c r="J34" s="126"/>
      <c r="K34" s="129" t="str">
        <f>IFERROR(VLOOKUP(Tabela8[[#This Row],[ID]],Tabela7[],11,0),"")</f>
        <v/>
      </c>
      <c r="L34" s="130" t="e">
        <f>Tabela8[[#This Row],[Latas a Pagar]]*Tabela9[VALOR LATA]</f>
        <v>#VALUE!</v>
      </c>
    </row>
    <row r="35" spans="2:12" hidden="1" x14ac:dyDescent="0.3">
      <c r="B35" s="127">
        <f>VALUE('CONTROLE DE PRODUÇÃO'!B35)</f>
        <v>0</v>
      </c>
      <c r="C35" s="128" t="str">
        <f>IFERROR(VLOOKUP(Tabela8[[#This Row],[ID]],Tabela7[],2,0),"")</f>
        <v/>
      </c>
      <c r="D35" s="128" t="e">
        <f>VLOOKUP(Tabela8[[#This Row],[ID]],Tabela1[],3,0)</f>
        <v>#N/A</v>
      </c>
      <c r="E35" s="127" t="str">
        <f>IFERROR(VLOOKUP(Tabela8[[#This Row],[ID]],Tabela1[],4,0),"")</f>
        <v/>
      </c>
      <c r="F35" s="127" t="str">
        <f>IFERROR(VLOOKUP(Tabela8[[#This Row],[ID]],Tabela1[],5,0),"")</f>
        <v/>
      </c>
      <c r="G35" s="127" t="str">
        <f>IFERROR(VLOOKUP(Tabela8[[#This Row],[ID]],Tabela1[],6,0),"")</f>
        <v/>
      </c>
      <c r="H35" s="127" t="str">
        <f>IFERROR(VLOOKUP(Tabela8[[#This Row],[ID]],Tabela1[],7,0),"")</f>
        <v/>
      </c>
      <c r="I35" s="126"/>
      <c r="J35" s="126"/>
      <c r="K35" s="129" t="str">
        <f>IFERROR(VLOOKUP(Tabela8[[#This Row],[ID]],Tabela7[],11,0),"")</f>
        <v/>
      </c>
      <c r="L35" s="130" t="e">
        <f>Tabela8[[#This Row],[Latas a Pagar]]*Tabela9[VALOR LATA]</f>
        <v>#VALUE!</v>
      </c>
    </row>
    <row r="36" spans="2:12" hidden="1" x14ac:dyDescent="0.3">
      <c r="B36" s="127">
        <f>VALUE('CONTROLE DE PRODUÇÃO'!B36)</f>
        <v>0</v>
      </c>
      <c r="C36" s="128" t="str">
        <f>IFERROR(VLOOKUP(Tabela8[[#This Row],[ID]],Tabela7[],2,0),"")</f>
        <v/>
      </c>
      <c r="D36" s="128" t="e">
        <f>VLOOKUP(Tabela8[[#This Row],[ID]],Tabela1[],3,0)</f>
        <v>#N/A</v>
      </c>
      <c r="E36" s="127" t="str">
        <f>IFERROR(VLOOKUP(Tabela8[[#This Row],[ID]],Tabela1[],4,0),"")</f>
        <v/>
      </c>
      <c r="F36" s="127" t="str">
        <f>IFERROR(VLOOKUP(Tabela8[[#This Row],[ID]],Tabela1[],5,0),"")</f>
        <v/>
      </c>
      <c r="G36" s="127" t="str">
        <f>IFERROR(VLOOKUP(Tabela8[[#This Row],[ID]],Tabela1[],6,0),"")</f>
        <v/>
      </c>
      <c r="H36" s="127" t="str">
        <f>IFERROR(VLOOKUP(Tabela8[[#This Row],[ID]],Tabela1[],7,0),"")</f>
        <v/>
      </c>
      <c r="I36" s="126"/>
      <c r="J36" s="126"/>
      <c r="K36" s="129" t="str">
        <f>IFERROR(VLOOKUP(Tabela8[[#This Row],[ID]],Tabela7[],11,0),"")</f>
        <v/>
      </c>
      <c r="L36" s="130" t="e">
        <f>Tabela8[[#This Row],[Latas a Pagar]]*Tabela9[VALOR LATA]</f>
        <v>#VALUE!</v>
      </c>
    </row>
    <row r="37" spans="2:12" hidden="1" x14ac:dyDescent="0.3">
      <c r="B37" s="127">
        <f>VALUE('CONTROLE DE PRODUÇÃO'!B37)</f>
        <v>0</v>
      </c>
      <c r="C37" s="128" t="str">
        <f>IFERROR(VLOOKUP(Tabela8[[#This Row],[ID]],Tabela7[],2,0),"")</f>
        <v/>
      </c>
      <c r="D37" s="128" t="e">
        <f>VLOOKUP(Tabela8[[#This Row],[ID]],Tabela1[],3,0)</f>
        <v>#N/A</v>
      </c>
      <c r="E37" s="127" t="str">
        <f>IFERROR(VLOOKUP(Tabela8[[#This Row],[ID]],Tabela1[],4,0),"")</f>
        <v/>
      </c>
      <c r="F37" s="127" t="str">
        <f>IFERROR(VLOOKUP(Tabela8[[#This Row],[ID]],Tabela1[],5,0),"")</f>
        <v/>
      </c>
      <c r="G37" s="127" t="str">
        <f>IFERROR(VLOOKUP(Tabela8[[#This Row],[ID]],Tabela1[],6,0),"")</f>
        <v/>
      </c>
      <c r="H37" s="127" t="str">
        <f>IFERROR(VLOOKUP(Tabela8[[#This Row],[ID]],Tabela1[],7,0),"")</f>
        <v/>
      </c>
      <c r="I37" s="126"/>
      <c r="J37" s="126"/>
      <c r="K37" s="129" t="str">
        <f>IFERROR(VLOOKUP(Tabela8[[#This Row],[ID]],Tabela7[],11,0),"")</f>
        <v/>
      </c>
      <c r="L37" s="130" t="e">
        <f>Tabela8[[#This Row],[Latas a Pagar]]*Tabela9[VALOR LATA]</f>
        <v>#VALUE!</v>
      </c>
    </row>
    <row r="38" spans="2:12" hidden="1" x14ac:dyDescent="0.3">
      <c r="B38" s="127">
        <f>VALUE('CONTROLE DE PRODUÇÃO'!B38)</f>
        <v>0</v>
      </c>
      <c r="C38" s="128" t="str">
        <f>IFERROR(VLOOKUP(Tabela8[[#This Row],[ID]],Tabela7[],2,0),"")</f>
        <v/>
      </c>
      <c r="D38" s="128" t="e">
        <f>VLOOKUP(Tabela8[[#This Row],[ID]],Tabela1[],3,0)</f>
        <v>#N/A</v>
      </c>
      <c r="E38" s="127" t="str">
        <f>IFERROR(VLOOKUP(Tabela8[[#This Row],[ID]],Tabela1[],4,0),"")</f>
        <v/>
      </c>
      <c r="F38" s="127" t="str">
        <f>IFERROR(VLOOKUP(Tabela8[[#This Row],[ID]],Tabela1[],5,0),"")</f>
        <v/>
      </c>
      <c r="G38" s="127" t="str">
        <f>IFERROR(VLOOKUP(Tabela8[[#This Row],[ID]],Tabela1[],6,0),"")</f>
        <v/>
      </c>
      <c r="H38" s="127" t="str">
        <f>IFERROR(VLOOKUP(Tabela8[[#This Row],[ID]],Tabela1[],7,0),"")</f>
        <v/>
      </c>
      <c r="I38" s="126"/>
      <c r="J38" s="126"/>
      <c r="K38" s="129" t="str">
        <f>IFERROR(VLOOKUP(Tabela8[[#This Row],[ID]],Tabela7[],11,0),"")</f>
        <v/>
      </c>
      <c r="L38" s="130" t="e">
        <f>Tabela8[[#This Row],[Latas a Pagar]]*Tabela9[VALOR LATA]</f>
        <v>#VALUE!</v>
      </c>
    </row>
    <row r="39" spans="2:12" hidden="1" x14ac:dyDescent="0.3">
      <c r="B39" s="127">
        <f>VALUE('CONTROLE DE PRODUÇÃO'!B39)</f>
        <v>0</v>
      </c>
      <c r="C39" s="128" t="str">
        <f>IFERROR(VLOOKUP(Tabela8[[#This Row],[ID]],Tabela7[],2,0),"")</f>
        <v/>
      </c>
      <c r="D39" s="128" t="e">
        <f>VLOOKUP(Tabela8[[#This Row],[ID]],Tabela1[],3,0)</f>
        <v>#N/A</v>
      </c>
      <c r="E39" s="127" t="str">
        <f>IFERROR(VLOOKUP(Tabela8[[#This Row],[ID]],Tabela1[],4,0),"")</f>
        <v/>
      </c>
      <c r="F39" s="127" t="str">
        <f>IFERROR(VLOOKUP(Tabela8[[#This Row],[ID]],Tabela1[],5,0),"")</f>
        <v/>
      </c>
      <c r="G39" s="127" t="str">
        <f>IFERROR(VLOOKUP(Tabela8[[#This Row],[ID]],Tabela1[],6,0),"")</f>
        <v/>
      </c>
      <c r="H39" s="127" t="str">
        <f>IFERROR(VLOOKUP(Tabela8[[#This Row],[ID]],Tabela1[],7,0),"")</f>
        <v/>
      </c>
      <c r="I39" s="126"/>
      <c r="J39" s="126"/>
      <c r="K39" s="129" t="str">
        <f>IFERROR(VLOOKUP(Tabela8[[#This Row],[ID]],Tabela7[],11,0),"")</f>
        <v/>
      </c>
      <c r="L39" s="130" t="e">
        <f>Tabela8[[#This Row],[Latas a Pagar]]*Tabela9[VALOR LATA]</f>
        <v>#VALUE!</v>
      </c>
    </row>
    <row r="40" spans="2:12" hidden="1" x14ac:dyDescent="0.3">
      <c r="B40" s="127">
        <f>VALUE('CONTROLE DE PRODUÇÃO'!B40)</f>
        <v>0</v>
      </c>
      <c r="C40" s="128" t="str">
        <f>IFERROR(VLOOKUP(Tabela8[[#This Row],[ID]],Tabela7[],2,0),"")</f>
        <v/>
      </c>
      <c r="D40" s="128" t="e">
        <f>VLOOKUP(Tabela8[[#This Row],[ID]],Tabela1[],3,0)</f>
        <v>#N/A</v>
      </c>
      <c r="E40" s="127" t="str">
        <f>IFERROR(VLOOKUP(Tabela8[[#This Row],[ID]],Tabela1[],4,0),"")</f>
        <v/>
      </c>
      <c r="F40" s="127" t="str">
        <f>IFERROR(VLOOKUP(Tabela8[[#This Row],[ID]],Tabela1[],5,0),"")</f>
        <v/>
      </c>
      <c r="G40" s="127" t="str">
        <f>IFERROR(VLOOKUP(Tabela8[[#This Row],[ID]],Tabela1[],6,0),"")</f>
        <v/>
      </c>
      <c r="H40" s="127" t="str">
        <f>IFERROR(VLOOKUP(Tabela8[[#This Row],[ID]],Tabela1[],7,0),"")</f>
        <v/>
      </c>
      <c r="I40" s="126"/>
      <c r="J40" s="126"/>
      <c r="K40" s="129" t="str">
        <f>IFERROR(VLOOKUP(Tabela8[[#This Row],[ID]],Tabela7[],11,0),"")</f>
        <v/>
      </c>
      <c r="L40" s="130" t="e">
        <f>Tabela8[[#This Row],[Latas a Pagar]]*Tabela9[VALOR LATA]</f>
        <v>#VALUE!</v>
      </c>
    </row>
    <row r="41" spans="2:12" hidden="1" x14ac:dyDescent="0.3">
      <c r="B41" s="127">
        <f>VALUE('CONTROLE DE PRODUÇÃO'!B41)</f>
        <v>0</v>
      </c>
      <c r="C41" s="128" t="str">
        <f>IFERROR(VLOOKUP(Tabela8[[#This Row],[ID]],Tabela7[],2,0),"")</f>
        <v/>
      </c>
      <c r="D41" s="128" t="e">
        <f>VLOOKUP(Tabela8[[#This Row],[ID]],Tabela1[],3,0)</f>
        <v>#N/A</v>
      </c>
      <c r="E41" s="127" t="str">
        <f>IFERROR(VLOOKUP(Tabela8[[#This Row],[ID]],Tabela1[],4,0),"")</f>
        <v/>
      </c>
      <c r="F41" s="127" t="str">
        <f>IFERROR(VLOOKUP(Tabela8[[#This Row],[ID]],Tabela1[],5,0),"")</f>
        <v/>
      </c>
      <c r="G41" s="127" t="str">
        <f>IFERROR(VLOOKUP(Tabela8[[#This Row],[ID]],Tabela1[],6,0),"")</f>
        <v/>
      </c>
      <c r="H41" s="127" t="str">
        <f>IFERROR(VLOOKUP(Tabela8[[#This Row],[ID]],Tabela1[],7,0),"")</f>
        <v/>
      </c>
      <c r="I41" s="126"/>
      <c r="J41" s="126"/>
      <c r="K41" s="129" t="str">
        <f>IFERROR(VLOOKUP(Tabela8[[#This Row],[ID]],Tabela7[],11,0),"")</f>
        <v/>
      </c>
      <c r="L41" s="130" t="e">
        <f>Tabela8[[#This Row],[Latas a Pagar]]*Tabela9[VALOR LATA]</f>
        <v>#VALUE!</v>
      </c>
    </row>
    <row r="42" spans="2:12" hidden="1" x14ac:dyDescent="0.3">
      <c r="B42" s="127">
        <f>VALUE('CONTROLE DE PRODUÇÃO'!B42)</f>
        <v>0</v>
      </c>
      <c r="C42" s="128" t="str">
        <f>IFERROR(VLOOKUP(Tabela8[[#This Row],[ID]],Tabela7[],2,0),"")</f>
        <v/>
      </c>
      <c r="D42" s="128" t="e">
        <f>VLOOKUP(Tabela8[[#This Row],[ID]],Tabela1[],3,0)</f>
        <v>#N/A</v>
      </c>
      <c r="E42" s="127" t="str">
        <f>IFERROR(VLOOKUP(Tabela8[[#This Row],[ID]],Tabela1[],4,0),"")</f>
        <v/>
      </c>
      <c r="F42" s="127" t="str">
        <f>IFERROR(VLOOKUP(Tabela8[[#This Row],[ID]],Tabela1[],5,0),"")</f>
        <v/>
      </c>
      <c r="G42" s="127" t="str">
        <f>IFERROR(VLOOKUP(Tabela8[[#This Row],[ID]],Tabela1[],6,0),"")</f>
        <v/>
      </c>
      <c r="H42" s="127" t="str">
        <f>IFERROR(VLOOKUP(Tabela8[[#This Row],[ID]],Tabela1[],7,0),"")</f>
        <v/>
      </c>
      <c r="I42" s="126"/>
      <c r="J42" s="126"/>
      <c r="K42" s="129" t="str">
        <f>IFERROR(VLOOKUP(Tabela8[[#This Row],[ID]],Tabela7[],11,0),"")</f>
        <v/>
      </c>
      <c r="L42" s="130" t="e">
        <f>Tabela8[[#This Row],[Latas a Pagar]]*Tabela9[VALOR LATA]</f>
        <v>#VALUE!</v>
      </c>
    </row>
    <row r="43" spans="2:12" hidden="1" x14ac:dyDescent="0.3">
      <c r="B43" s="127">
        <f>VALUE('CONTROLE DE PRODUÇÃO'!B43)</f>
        <v>0</v>
      </c>
      <c r="C43" s="128" t="str">
        <f>IFERROR(VLOOKUP(Tabela8[[#This Row],[ID]],Tabela7[],2,0),"")</f>
        <v/>
      </c>
      <c r="D43" s="128" t="e">
        <f>VLOOKUP(Tabela8[[#This Row],[ID]],Tabela1[],3,0)</f>
        <v>#N/A</v>
      </c>
      <c r="E43" s="127" t="str">
        <f>IFERROR(VLOOKUP(Tabela8[[#This Row],[ID]],Tabela1[],4,0),"")</f>
        <v/>
      </c>
      <c r="F43" s="127" t="str">
        <f>IFERROR(VLOOKUP(Tabela8[[#This Row],[ID]],Tabela1[],5,0),"")</f>
        <v/>
      </c>
      <c r="G43" s="127" t="str">
        <f>IFERROR(VLOOKUP(Tabela8[[#This Row],[ID]],Tabela1[],6,0),"")</f>
        <v/>
      </c>
      <c r="H43" s="127" t="str">
        <f>IFERROR(VLOOKUP(Tabela8[[#This Row],[ID]],Tabela1[],7,0),"")</f>
        <v/>
      </c>
      <c r="I43" s="126"/>
      <c r="J43" s="126"/>
      <c r="K43" s="129" t="str">
        <f>IFERROR(VLOOKUP(Tabela8[[#This Row],[ID]],Tabela7[],11,0),"")</f>
        <v/>
      </c>
      <c r="L43" s="130" t="e">
        <f>Tabela8[[#This Row],[Latas a Pagar]]*Tabela9[VALOR LATA]</f>
        <v>#VALUE!</v>
      </c>
    </row>
    <row r="44" spans="2:12" hidden="1" x14ac:dyDescent="0.3">
      <c r="B44" s="127">
        <f>VALUE('CONTROLE DE PRODUÇÃO'!B44)</f>
        <v>0</v>
      </c>
      <c r="C44" s="128" t="str">
        <f>IFERROR(VLOOKUP(Tabela8[[#This Row],[ID]],Tabela7[],2,0),"")</f>
        <v/>
      </c>
      <c r="D44" s="128" t="e">
        <f>VLOOKUP(Tabela8[[#This Row],[ID]],Tabela1[],3,0)</f>
        <v>#N/A</v>
      </c>
      <c r="E44" s="127" t="str">
        <f>IFERROR(VLOOKUP(Tabela8[[#This Row],[ID]],Tabela1[],4,0),"")</f>
        <v/>
      </c>
      <c r="F44" s="127" t="str">
        <f>IFERROR(VLOOKUP(Tabela8[[#This Row],[ID]],Tabela1[],5,0),"")</f>
        <v/>
      </c>
      <c r="G44" s="127" t="str">
        <f>IFERROR(VLOOKUP(Tabela8[[#This Row],[ID]],Tabela1[],6,0),"")</f>
        <v/>
      </c>
      <c r="H44" s="127" t="str">
        <f>IFERROR(VLOOKUP(Tabela8[[#This Row],[ID]],Tabela1[],7,0),"")</f>
        <v/>
      </c>
      <c r="I44" s="126"/>
      <c r="J44" s="126"/>
      <c r="K44" s="129" t="str">
        <f>IFERROR(VLOOKUP(Tabela8[[#This Row],[ID]],Tabela7[],11,0),"")</f>
        <v/>
      </c>
      <c r="L44" s="130" t="e">
        <f>Tabela8[[#This Row],[Latas a Pagar]]*Tabela9[VALOR LATA]</f>
        <v>#VALUE!</v>
      </c>
    </row>
    <row r="45" spans="2:12" hidden="1" x14ac:dyDescent="0.3">
      <c r="B45" s="127">
        <f>VALUE('CONTROLE DE PRODUÇÃO'!B45)</f>
        <v>0</v>
      </c>
      <c r="C45" s="128" t="str">
        <f>IFERROR(VLOOKUP(Tabela8[[#This Row],[ID]],Tabela7[],2,0),"")</f>
        <v/>
      </c>
      <c r="D45" s="128" t="e">
        <f>VLOOKUP(Tabela8[[#This Row],[ID]],Tabela1[],3,0)</f>
        <v>#N/A</v>
      </c>
      <c r="E45" s="127" t="str">
        <f>IFERROR(VLOOKUP(Tabela8[[#This Row],[ID]],Tabela1[],4,0),"")</f>
        <v/>
      </c>
      <c r="F45" s="127" t="str">
        <f>IFERROR(VLOOKUP(Tabela8[[#This Row],[ID]],Tabela1[],5,0),"")</f>
        <v/>
      </c>
      <c r="G45" s="127" t="str">
        <f>IFERROR(VLOOKUP(Tabela8[[#This Row],[ID]],Tabela1[],6,0),"")</f>
        <v/>
      </c>
      <c r="H45" s="127" t="str">
        <f>IFERROR(VLOOKUP(Tabela8[[#This Row],[ID]],Tabela1[],7,0),"")</f>
        <v/>
      </c>
      <c r="I45" s="126"/>
      <c r="J45" s="126"/>
      <c r="K45" s="129" t="str">
        <f>IFERROR(VLOOKUP(Tabela8[[#This Row],[ID]],Tabela7[],11,0),"")</f>
        <v/>
      </c>
      <c r="L45" s="130" t="e">
        <f>Tabela8[[#This Row],[Latas a Pagar]]*Tabela9[VALOR LATA]</f>
        <v>#VALUE!</v>
      </c>
    </row>
    <row r="46" spans="2:12" hidden="1" x14ac:dyDescent="0.3">
      <c r="B46" s="127">
        <f>VALUE('CONTROLE DE PRODUÇÃO'!B46)</f>
        <v>0</v>
      </c>
      <c r="C46" s="128" t="str">
        <f>IFERROR(VLOOKUP(Tabela8[[#This Row],[ID]],Tabela7[],2,0),"")</f>
        <v/>
      </c>
      <c r="D46" s="128" t="e">
        <f>VLOOKUP(Tabela8[[#This Row],[ID]],Tabela1[],3,0)</f>
        <v>#N/A</v>
      </c>
      <c r="E46" s="127" t="str">
        <f>IFERROR(VLOOKUP(Tabela8[[#This Row],[ID]],Tabela1[],4,0),"")</f>
        <v/>
      </c>
      <c r="F46" s="127" t="str">
        <f>IFERROR(VLOOKUP(Tabela8[[#This Row],[ID]],Tabela1[],5,0),"")</f>
        <v/>
      </c>
      <c r="G46" s="127" t="str">
        <f>IFERROR(VLOOKUP(Tabela8[[#This Row],[ID]],Tabela1[],6,0),"")</f>
        <v/>
      </c>
      <c r="H46" s="127" t="str">
        <f>IFERROR(VLOOKUP(Tabela8[[#This Row],[ID]],Tabela1[],7,0),"")</f>
        <v/>
      </c>
      <c r="I46" s="126"/>
      <c r="J46" s="126"/>
      <c r="K46" s="129" t="str">
        <f>IFERROR(VLOOKUP(Tabela8[[#This Row],[ID]],Tabela7[],11,0),"")</f>
        <v/>
      </c>
      <c r="L46" s="130" t="e">
        <f>Tabela8[[#This Row],[Latas a Pagar]]*Tabela9[VALOR LATA]</f>
        <v>#VALUE!</v>
      </c>
    </row>
    <row r="47" spans="2:12" hidden="1" x14ac:dyDescent="0.3">
      <c r="B47" s="127">
        <f>VALUE('CONTROLE DE PRODUÇÃO'!B47)</f>
        <v>0</v>
      </c>
      <c r="C47" s="128" t="str">
        <f>IFERROR(VLOOKUP(Tabela8[[#This Row],[ID]],Tabela7[],2,0),"")</f>
        <v/>
      </c>
      <c r="D47" s="128" t="e">
        <f>VLOOKUP(Tabela8[[#This Row],[ID]],Tabela1[],3,0)</f>
        <v>#N/A</v>
      </c>
      <c r="E47" s="127" t="str">
        <f>IFERROR(VLOOKUP(Tabela8[[#This Row],[ID]],Tabela1[],4,0),"")</f>
        <v/>
      </c>
      <c r="F47" s="127" t="str">
        <f>IFERROR(VLOOKUP(Tabela8[[#This Row],[ID]],Tabela1[],5,0),"")</f>
        <v/>
      </c>
      <c r="G47" s="127" t="str">
        <f>IFERROR(VLOOKUP(Tabela8[[#This Row],[ID]],Tabela1[],6,0),"")</f>
        <v/>
      </c>
      <c r="H47" s="127" t="str">
        <f>IFERROR(VLOOKUP(Tabela8[[#This Row],[ID]],Tabela1[],7,0),"")</f>
        <v/>
      </c>
      <c r="I47" s="126"/>
      <c r="J47" s="126"/>
      <c r="K47" s="129" t="str">
        <f>IFERROR(VLOOKUP(Tabela8[[#This Row],[ID]],Tabela7[],11,0),"")</f>
        <v/>
      </c>
      <c r="L47" s="130" t="e">
        <f>Tabela8[[#This Row],[Latas a Pagar]]*Tabela9[VALOR LATA]</f>
        <v>#VALUE!</v>
      </c>
    </row>
    <row r="48" spans="2:12" hidden="1" x14ac:dyDescent="0.3">
      <c r="B48" s="127">
        <f>VALUE('CONTROLE DE PRODUÇÃO'!B48)</f>
        <v>0</v>
      </c>
      <c r="C48" s="128" t="str">
        <f>IFERROR(VLOOKUP(Tabela8[[#This Row],[ID]],Tabela7[],2,0),"")</f>
        <v/>
      </c>
      <c r="D48" s="128" t="e">
        <f>VLOOKUP(Tabela8[[#This Row],[ID]],Tabela1[],3,0)</f>
        <v>#N/A</v>
      </c>
      <c r="E48" s="127" t="str">
        <f>IFERROR(VLOOKUP(Tabela8[[#This Row],[ID]],Tabela1[],4,0),"")</f>
        <v/>
      </c>
      <c r="F48" s="127" t="str">
        <f>IFERROR(VLOOKUP(Tabela8[[#This Row],[ID]],Tabela1[],5,0),"")</f>
        <v/>
      </c>
      <c r="G48" s="127" t="str">
        <f>IFERROR(VLOOKUP(Tabela8[[#This Row],[ID]],Tabela1[],6,0),"")</f>
        <v/>
      </c>
      <c r="H48" s="127" t="str">
        <f>IFERROR(VLOOKUP(Tabela8[[#This Row],[ID]],Tabela1[],7,0),"")</f>
        <v/>
      </c>
      <c r="I48" s="126"/>
      <c r="J48" s="126"/>
      <c r="K48" s="129" t="str">
        <f>IFERROR(VLOOKUP(Tabela8[[#This Row],[ID]],Tabela7[],11,0),"")</f>
        <v/>
      </c>
      <c r="L48" s="130" t="e">
        <f>Tabela8[[#This Row],[Latas a Pagar]]*Tabela9[VALOR LATA]</f>
        <v>#VALUE!</v>
      </c>
    </row>
    <row r="49" spans="2:12" hidden="1" x14ac:dyDescent="0.3">
      <c r="B49" s="127">
        <f>VALUE('CONTROLE DE PRODUÇÃO'!B49)</f>
        <v>0</v>
      </c>
      <c r="C49" s="128" t="str">
        <f>IFERROR(VLOOKUP(Tabela8[[#This Row],[ID]],Tabela7[],2,0),"")</f>
        <v/>
      </c>
      <c r="D49" s="128" t="e">
        <f>VLOOKUP(Tabela8[[#This Row],[ID]],Tabela1[],3,0)</f>
        <v>#N/A</v>
      </c>
      <c r="E49" s="127" t="str">
        <f>IFERROR(VLOOKUP(Tabela8[[#This Row],[ID]],Tabela1[],4,0),"")</f>
        <v/>
      </c>
      <c r="F49" s="127" t="str">
        <f>IFERROR(VLOOKUP(Tabela8[[#This Row],[ID]],Tabela1[],5,0),"")</f>
        <v/>
      </c>
      <c r="G49" s="127" t="str">
        <f>IFERROR(VLOOKUP(Tabela8[[#This Row],[ID]],Tabela1[],6,0),"")</f>
        <v/>
      </c>
      <c r="H49" s="127" t="str">
        <f>IFERROR(VLOOKUP(Tabela8[[#This Row],[ID]],Tabela1[],7,0),"")</f>
        <v/>
      </c>
      <c r="I49" s="126"/>
      <c r="J49" s="126"/>
      <c r="K49" s="129" t="str">
        <f>IFERROR(VLOOKUP(Tabela8[[#This Row],[ID]],Tabela7[],11,0),"")</f>
        <v/>
      </c>
      <c r="L49" s="130" t="e">
        <f>Tabela8[[#This Row],[Latas a Pagar]]*Tabela9[VALOR LATA]</f>
        <v>#VALUE!</v>
      </c>
    </row>
    <row r="50" spans="2:12" hidden="1" x14ac:dyDescent="0.3">
      <c r="B50" s="127">
        <f>VALUE('CONTROLE DE PRODUÇÃO'!B50)</f>
        <v>0</v>
      </c>
      <c r="C50" s="128" t="str">
        <f>IFERROR(VLOOKUP(Tabela8[[#This Row],[ID]],Tabela7[],2,0),"")</f>
        <v/>
      </c>
      <c r="D50" s="128" t="e">
        <f>VLOOKUP(Tabela8[[#This Row],[ID]],Tabela1[],3,0)</f>
        <v>#N/A</v>
      </c>
      <c r="E50" s="127" t="str">
        <f>IFERROR(VLOOKUP(Tabela8[[#This Row],[ID]],Tabela1[],4,0),"")</f>
        <v/>
      </c>
      <c r="F50" s="127" t="str">
        <f>IFERROR(VLOOKUP(Tabela8[[#This Row],[ID]],Tabela1[],5,0),"")</f>
        <v/>
      </c>
      <c r="G50" s="127" t="str">
        <f>IFERROR(VLOOKUP(Tabela8[[#This Row],[ID]],Tabela1[],6,0),"")</f>
        <v/>
      </c>
      <c r="H50" s="127" t="str">
        <f>IFERROR(VLOOKUP(Tabela8[[#This Row],[ID]],Tabela1[],7,0),"")</f>
        <v/>
      </c>
      <c r="I50" s="126"/>
      <c r="J50" s="126"/>
      <c r="K50" s="129" t="str">
        <f>IFERROR(VLOOKUP(Tabela8[[#This Row],[ID]],Tabela7[],11,0),"")</f>
        <v/>
      </c>
      <c r="L50" s="130" t="e">
        <f>Tabela8[[#This Row],[Latas a Pagar]]*Tabela9[VALOR LATA]</f>
        <v>#VALUE!</v>
      </c>
    </row>
    <row r="51" spans="2:12" hidden="1" x14ac:dyDescent="0.3">
      <c r="B51" s="127">
        <f>VALUE('CONTROLE DE PRODUÇÃO'!B49)</f>
        <v>0</v>
      </c>
      <c r="C51" s="128" t="str">
        <f>IFERROR(VLOOKUP(Tabela8[[#This Row],[ID]],Tabela7[],2,0),"")</f>
        <v/>
      </c>
      <c r="D51" s="128" t="e">
        <f>VLOOKUP(Tabela8[[#This Row],[ID]],Tabela1[],3,0)</f>
        <v>#N/A</v>
      </c>
      <c r="E51" s="127" t="str">
        <f>IFERROR(VLOOKUP(Tabela8[[#This Row],[ID]],Tabela1[],4,0),"")</f>
        <v/>
      </c>
      <c r="F51" s="127" t="str">
        <f>IFERROR(VLOOKUP(Tabela8[[#This Row],[ID]],Tabela1[],5,0),"")</f>
        <v/>
      </c>
      <c r="G51" s="127" t="str">
        <f>IFERROR(VLOOKUP(Tabela8[[#This Row],[ID]],Tabela1[],6,0),"")</f>
        <v/>
      </c>
      <c r="H51" s="127" t="str">
        <f>IFERROR(VLOOKUP(Tabela8[[#This Row],[ID]],Tabela1[],7,0),"")</f>
        <v/>
      </c>
      <c r="I51" s="126"/>
      <c r="J51" s="126"/>
      <c r="K51" s="129" t="str">
        <f>IFERROR(VLOOKUP(Tabela8[[#This Row],[ID]],Tabela7[],11,0),"")</f>
        <v/>
      </c>
      <c r="L51" s="130" t="e">
        <f>Tabela8[[#This Row],[Latas a Pagar]]*Tabela9[VALOR LATA]</f>
        <v>#VALUE!</v>
      </c>
    </row>
    <row r="52" spans="2:12" hidden="1" x14ac:dyDescent="0.3">
      <c r="B52" s="127">
        <f>VALUE('CONTROLE DE PRODUÇÃO'!B50)</f>
        <v>0</v>
      </c>
      <c r="C52" s="128" t="str">
        <f>IFERROR(VLOOKUP(Tabela8[[#This Row],[ID]],Tabela7[],2,0),"")</f>
        <v/>
      </c>
      <c r="D52" s="128" t="e">
        <f>VLOOKUP(Tabela8[[#This Row],[ID]],Tabela1[],3,0)</f>
        <v>#N/A</v>
      </c>
      <c r="E52" s="127" t="str">
        <f>IFERROR(VLOOKUP(Tabela8[[#This Row],[ID]],Tabela1[],4,0),"")</f>
        <v/>
      </c>
      <c r="F52" s="127" t="str">
        <f>IFERROR(VLOOKUP(Tabela8[[#This Row],[ID]],Tabela1[],5,0),"")</f>
        <v/>
      </c>
      <c r="G52" s="127" t="str">
        <f>IFERROR(VLOOKUP(Tabela8[[#This Row],[ID]],Tabela1[],6,0),"")</f>
        <v/>
      </c>
      <c r="H52" s="127" t="str">
        <f>IFERROR(VLOOKUP(Tabela8[[#This Row],[ID]],Tabela1[],7,0),"")</f>
        <v/>
      </c>
      <c r="I52" s="126"/>
      <c r="J52" s="126"/>
      <c r="K52" s="129" t="str">
        <f>IFERROR(VLOOKUP(Tabela8[[#This Row],[ID]],Tabela7[],11,0),"")</f>
        <v/>
      </c>
      <c r="L52" s="130" t="e">
        <f>Tabela8[[#This Row],[Latas a Pagar]]*Tabela9[VALOR LATA]</f>
        <v>#VALUE!</v>
      </c>
    </row>
    <row r="53" spans="2:12" hidden="1" x14ac:dyDescent="0.3">
      <c r="B53" s="127">
        <f>VALUE('CONTROLE DE PRODUÇÃO'!B51)</f>
        <v>0</v>
      </c>
      <c r="C53" s="128" t="str">
        <f>IFERROR(VLOOKUP(Tabela8[[#This Row],[ID]],Tabela7[],2,0),"")</f>
        <v/>
      </c>
      <c r="D53" s="128" t="e">
        <f>VLOOKUP(Tabela8[[#This Row],[ID]],Tabela1[],3,0)</f>
        <v>#N/A</v>
      </c>
      <c r="E53" s="127" t="str">
        <f>IFERROR(VLOOKUP(Tabela8[[#This Row],[ID]],Tabela1[],4,0),"")</f>
        <v/>
      </c>
      <c r="F53" s="127" t="str">
        <f>IFERROR(VLOOKUP(Tabela8[[#This Row],[ID]],Tabela1[],5,0),"")</f>
        <v/>
      </c>
      <c r="G53" s="127" t="str">
        <f>IFERROR(VLOOKUP(Tabela8[[#This Row],[ID]],Tabela1[],6,0),"")</f>
        <v/>
      </c>
      <c r="H53" s="127" t="str">
        <f>IFERROR(VLOOKUP(Tabela8[[#This Row],[ID]],Tabela1[],7,0),"")</f>
        <v/>
      </c>
      <c r="I53" s="126"/>
      <c r="J53" s="126"/>
      <c r="K53" s="129" t="str">
        <f>IFERROR(VLOOKUP(Tabela8[[#This Row],[ID]],Tabela7[],11,0),"")</f>
        <v/>
      </c>
      <c r="L53" s="130" t="e">
        <f>Tabela8[[#This Row],[Latas a Pagar]]*Tabela9[VALOR LATA]</f>
        <v>#VALUE!</v>
      </c>
    </row>
    <row r="54" spans="2:12" hidden="1" x14ac:dyDescent="0.3">
      <c r="B54" s="127">
        <f>VALUE('CONTROLE DE PRODUÇÃO'!B52)</f>
        <v>0</v>
      </c>
      <c r="C54" s="128" t="str">
        <f>IFERROR(VLOOKUP(Tabela8[[#This Row],[ID]],Tabela7[],2,0),"")</f>
        <v/>
      </c>
      <c r="D54" s="128" t="e">
        <f>VLOOKUP(Tabela8[[#This Row],[ID]],Tabela1[],3,0)</f>
        <v>#N/A</v>
      </c>
      <c r="E54" s="127" t="str">
        <f>IFERROR(VLOOKUP(Tabela8[[#This Row],[ID]],Tabela1[],4,0),"")</f>
        <v/>
      </c>
      <c r="F54" s="127" t="str">
        <f>IFERROR(VLOOKUP(Tabela8[[#This Row],[ID]],Tabela1[],5,0),"")</f>
        <v/>
      </c>
      <c r="G54" s="127" t="str">
        <f>IFERROR(VLOOKUP(Tabela8[[#This Row],[ID]],Tabela1[],6,0),"")</f>
        <v/>
      </c>
      <c r="H54" s="127" t="str">
        <f>IFERROR(VLOOKUP(Tabela8[[#This Row],[ID]],Tabela1[],7,0),"")</f>
        <v/>
      </c>
      <c r="I54" s="126"/>
      <c r="J54" s="126"/>
      <c r="K54" s="129" t="str">
        <f>IFERROR(VLOOKUP(Tabela8[[#This Row],[ID]],Tabela7[],11,0),"")</f>
        <v/>
      </c>
      <c r="L54" s="130" t="e">
        <f>Tabela8[[#This Row],[Latas a Pagar]]*Tabela9[VALOR LATA]</f>
        <v>#VALUE!</v>
      </c>
    </row>
    <row r="55" spans="2:12" hidden="1" x14ac:dyDescent="0.3">
      <c r="B55" s="127">
        <f>VALUE('CONTROLE DE PRODUÇÃO'!B53)</f>
        <v>0</v>
      </c>
      <c r="C55" s="128" t="str">
        <f>IFERROR(VLOOKUP(Tabela8[[#This Row],[ID]],Tabela7[],2,0),"")</f>
        <v/>
      </c>
      <c r="D55" s="128" t="e">
        <f>VLOOKUP(Tabela8[[#This Row],[ID]],Tabela1[],3,0)</f>
        <v>#N/A</v>
      </c>
      <c r="E55" s="127" t="str">
        <f>IFERROR(VLOOKUP(Tabela8[[#This Row],[ID]],Tabela1[],4,0),"")</f>
        <v/>
      </c>
      <c r="F55" s="127" t="str">
        <f>IFERROR(VLOOKUP(Tabela8[[#This Row],[ID]],Tabela1[],5,0),"")</f>
        <v/>
      </c>
      <c r="G55" s="127" t="str">
        <f>IFERROR(VLOOKUP(Tabela8[[#This Row],[ID]],Tabela1[],6,0),"")</f>
        <v/>
      </c>
      <c r="H55" s="127" t="str">
        <f>IFERROR(VLOOKUP(Tabela8[[#This Row],[ID]],Tabela1[],7,0),"")</f>
        <v/>
      </c>
      <c r="I55" s="126"/>
      <c r="J55" s="126"/>
      <c r="K55" s="129" t="str">
        <f>IFERROR(VLOOKUP(Tabela8[[#This Row],[ID]],Tabela7[],11,0),"")</f>
        <v/>
      </c>
      <c r="L55" s="130" t="e">
        <f>Tabela8[[#This Row],[Latas a Pagar]]*Tabela9[VALOR LATA]</f>
        <v>#VALUE!</v>
      </c>
    </row>
    <row r="56" spans="2:12" hidden="1" x14ac:dyDescent="0.3">
      <c r="B56" s="127">
        <f>VALUE('CONTROLE DE PRODUÇÃO'!B54)</f>
        <v>0</v>
      </c>
      <c r="C56" s="128" t="str">
        <f>IFERROR(VLOOKUP(Tabela8[[#This Row],[ID]],Tabela7[],2,0),"")</f>
        <v/>
      </c>
      <c r="D56" s="128" t="e">
        <f>VLOOKUP(Tabela8[[#This Row],[ID]],Tabela1[],3,0)</f>
        <v>#N/A</v>
      </c>
      <c r="E56" s="127" t="str">
        <f>IFERROR(VLOOKUP(Tabela8[[#This Row],[ID]],Tabela1[],4,0),"")</f>
        <v/>
      </c>
      <c r="F56" s="127" t="str">
        <f>IFERROR(VLOOKUP(Tabela8[[#This Row],[ID]],Tabela1[],5,0),"")</f>
        <v/>
      </c>
      <c r="G56" s="127" t="str">
        <f>IFERROR(VLOOKUP(Tabela8[[#This Row],[ID]],Tabela1[],6,0),"")</f>
        <v/>
      </c>
      <c r="H56" s="127" t="str">
        <f>IFERROR(VLOOKUP(Tabela8[[#This Row],[ID]],Tabela1[],7,0),"")</f>
        <v/>
      </c>
      <c r="I56" s="126"/>
      <c r="J56" s="126"/>
      <c r="K56" s="129" t="str">
        <f>IFERROR(VLOOKUP(Tabela8[[#This Row],[ID]],Tabela7[],11,0),"")</f>
        <v/>
      </c>
      <c r="L56" s="130" t="e">
        <f>Tabela8[[#This Row],[Latas a Pagar]]*Tabela9[VALOR LATA]</f>
        <v>#VALUE!</v>
      </c>
    </row>
    <row r="57" spans="2:12" hidden="1" x14ac:dyDescent="0.3">
      <c r="B57" s="127">
        <f>VALUE('CONTROLE DE PRODUÇÃO'!B55)</f>
        <v>0</v>
      </c>
      <c r="C57" s="128" t="str">
        <f>IFERROR(VLOOKUP(Tabela8[[#This Row],[ID]],Tabela7[],2,0),"")</f>
        <v/>
      </c>
      <c r="D57" s="128" t="e">
        <f>VLOOKUP(Tabela8[[#This Row],[ID]],Tabela1[],3,0)</f>
        <v>#N/A</v>
      </c>
      <c r="E57" s="127" t="str">
        <f>IFERROR(VLOOKUP(Tabela8[[#This Row],[ID]],Tabela1[],4,0),"")</f>
        <v/>
      </c>
      <c r="F57" s="127" t="str">
        <f>IFERROR(VLOOKUP(Tabela8[[#This Row],[ID]],Tabela1[],5,0),"")</f>
        <v/>
      </c>
      <c r="G57" s="127" t="str">
        <f>IFERROR(VLOOKUP(Tabela8[[#This Row],[ID]],Tabela1[],6,0),"")</f>
        <v/>
      </c>
      <c r="H57" s="127" t="str">
        <f>IFERROR(VLOOKUP(Tabela8[[#This Row],[ID]],Tabela1[],7,0),"")</f>
        <v/>
      </c>
      <c r="I57" s="126"/>
      <c r="J57" s="126"/>
      <c r="K57" s="129" t="str">
        <f>IFERROR(VLOOKUP(Tabela8[[#This Row],[ID]],Tabela7[],11,0),"")</f>
        <v/>
      </c>
      <c r="L57" s="130" t="e">
        <f>Tabela8[[#This Row],[Latas a Pagar]]*Tabela9[VALOR LATA]</f>
        <v>#VALUE!</v>
      </c>
    </row>
    <row r="58" spans="2:12" hidden="1" x14ac:dyDescent="0.3">
      <c r="B58" s="127">
        <f>VALUE('CONTROLE DE PRODUÇÃO'!B56)</f>
        <v>0</v>
      </c>
      <c r="C58" s="128" t="str">
        <f>IFERROR(VLOOKUP(Tabela8[[#This Row],[ID]],Tabela7[],2,0),"")</f>
        <v/>
      </c>
      <c r="D58" s="128" t="e">
        <f>VLOOKUP(Tabela8[[#This Row],[ID]],Tabela1[],3,0)</f>
        <v>#N/A</v>
      </c>
      <c r="E58" s="127" t="str">
        <f>IFERROR(VLOOKUP(Tabela8[[#This Row],[ID]],Tabela1[],4,0),"")</f>
        <v/>
      </c>
      <c r="F58" s="127" t="str">
        <f>IFERROR(VLOOKUP(Tabela8[[#This Row],[ID]],Tabela1[],5,0),"")</f>
        <v/>
      </c>
      <c r="G58" s="127" t="str">
        <f>IFERROR(VLOOKUP(Tabela8[[#This Row],[ID]],Tabela1[],6,0),"")</f>
        <v/>
      </c>
      <c r="H58" s="127" t="str">
        <f>IFERROR(VLOOKUP(Tabela8[[#This Row],[ID]],Tabela1[],7,0),"")</f>
        <v/>
      </c>
      <c r="I58" s="126"/>
      <c r="J58" s="126"/>
      <c r="K58" s="129" t="str">
        <f>IFERROR(VLOOKUP(Tabela8[[#This Row],[ID]],Tabela7[],11,0),"")</f>
        <v/>
      </c>
      <c r="L58" s="130" t="e">
        <f>Tabela8[[#This Row],[Latas a Pagar]]*Tabela9[VALOR LATA]</f>
        <v>#VALUE!</v>
      </c>
    </row>
    <row r="59" spans="2:12" hidden="1" x14ac:dyDescent="0.3">
      <c r="B59" s="127">
        <f>VALUE('CONTROLE DE PRODUÇÃO'!B57)</f>
        <v>0</v>
      </c>
      <c r="C59" s="128" t="str">
        <f>IFERROR(VLOOKUP(Tabela8[[#This Row],[ID]],Tabela7[],2,0),"")</f>
        <v/>
      </c>
      <c r="D59" s="128" t="e">
        <f>VLOOKUP(Tabela8[[#This Row],[ID]],Tabela1[],3,0)</f>
        <v>#N/A</v>
      </c>
      <c r="E59" s="127" t="str">
        <f>IFERROR(VLOOKUP(Tabela8[[#This Row],[ID]],Tabela1[],4,0),"")</f>
        <v/>
      </c>
      <c r="F59" s="127" t="str">
        <f>IFERROR(VLOOKUP(Tabela8[[#This Row],[ID]],Tabela1[],5,0),"")</f>
        <v/>
      </c>
      <c r="G59" s="127" t="str">
        <f>IFERROR(VLOOKUP(Tabela8[[#This Row],[ID]],Tabela1[],6,0),"")</f>
        <v/>
      </c>
      <c r="H59" s="127" t="str">
        <f>IFERROR(VLOOKUP(Tabela8[[#This Row],[ID]],Tabela1[],7,0),"")</f>
        <v/>
      </c>
      <c r="I59" s="126"/>
      <c r="J59" s="126"/>
      <c r="K59" s="129" t="str">
        <f>IFERROR(VLOOKUP(Tabela8[[#This Row],[ID]],Tabela7[],11,0),"")</f>
        <v/>
      </c>
      <c r="L59" s="130" t="e">
        <f>Tabela8[[#This Row],[Latas a Pagar]]*Tabela9[VALOR LATA]</f>
        <v>#VALUE!</v>
      </c>
    </row>
    <row r="60" spans="2:12" hidden="1" x14ac:dyDescent="0.3">
      <c r="B60" s="127">
        <f>VALUE('CONTROLE DE PRODUÇÃO'!B58)</f>
        <v>0</v>
      </c>
      <c r="C60" s="128" t="str">
        <f>IFERROR(VLOOKUP(Tabela8[[#This Row],[ID]],Tabela7[],2,0),"")</f>
        <v/>
      </c>
      <c r="D60" s="128" t="e">
        <f>VLOOKUP(Tabela8[[#This Row],[ID]],Tabela1[],3,0)</f>
        <v>#N/A</v>
      </c>
      <c r="E60" s="127" t="str">
        <f>IFERROR(VLOOKUP(Tabela8[[#This Row],[ID]],Tabela1[],4,0),"")</f>
        <v/>
      </c>
      <c r="F60" s="127" t="str">
        <f>IFERROR(VLOOKUP(Tabela8[[#This Row],[ID]],Tabela1[],5,0),"")</f>
        <v/>
      </c>
      <c r="G60" s="127" t="str">
        <f>IFERROR(VLOOKUP(Tabela8[[#This Row],[ID]],Tabela1[],6,0),"")</f>
        <v/>
      </c>
      <c r="H60" s="127" t="str">
        <f>IFERROR(VLOOKUP(Tabela8[[#This Row],[ID]],Tabela1[],7,0),"")</f>
        <v/>
      </c>
      <c r="I60" s="126"/>
      <c r="J60" s="126"/>
      <c r="K60" s="129" t="str">
        <f>IFERROR(VLOOKUP(Tabela8[[#This Row],[ID]],Tabela7[],11,0),"")</f>
        <v/>
      </c>
      <c r="L60" s="130" t="e">
        <f>Tabela8[[#This Row],[Latas a Pagar]]*Tabela9[VALOR LATA]</f>
        <v>#VALUE!</v>
      </c>
    </row>
    <row r="61" spans="2:12" hidden="1" x14ac:dyDescent="0.3">
      <c r="B61" s="127">
        <f>VALUE('CONTROLE DE PRODUÇÃO'!B59)</f>
        <v>0</v>
      </c>
      <c r="C61" s="128" t="str">
        <f>IFERROR(VLOOKUP(Tabela8[[#This Row],[ID]],Tabela7[],2,0),"")</f>
        <v/>
      </c>
      <c r="D61" s="128" t="e">
        <f>VLOOKUP(Tabela8[[#This Row],[ID]],Tabela1[],3,0)</f>
        <v>#N/A</v>
      </c>
      <c r="E61" s="127" t="str">
        <f>IFERROR(VLOOKUP(Tabela8[[#This Row],[ID]],Tabela1[],4,0),"")</f>
        <v/>
      </c>
      <c r="F61" s="127" t="str">
        <f>IFERROR(VLOOKUP(Tabela8[[#This Row],[ID]],Tabela1[],5,0),"")</f>
        <v/>
      </c>
      <c r="G61" s="127" t="str">
        <f>IFERROR(VLOOKUP(Tabela8[[#This Row],[ID]],Tabela1[],6,0),"")</f>
        <v/>
      </c>
      <c r="H61" s="127" t="str">
        <f>IFERROR(VLOOKUP(Tabela8[[#This Row],[ID]],Tabela1[],7,0),"")</f>
        <v/>
      </c>
      <c r="I61" s="126"/>
      <c r="J61" s="126"/>
      <c r="K61" s="129" t="str">
        <f>IFERROR(VLOOKUP(Tabela8[[#This Row],[ID]],Tabela7[],11,0),"")</f>
        <v/>
      </c>
      <c r="L61" s="130" t="e">
        <f>Tabela8[[#This Row],[Latas a Pagar]]*Tabela9[VALOR LATA]</f>
        <v>#VALUE!</v>
      </c>
    </row>
    <row r="62" spans="2:12" hidden="1" x14ac:dyDescent="0.3">
      <c r="B62" s="127">
        <f>VALUE('CONTROLE DE PRODUÇÃO'!B60)</f>
        <v>0</v>
      </c>
      <c r="C62" s="128" t="str">
        <f>IFERROR(VLOOKUP(Tabela8[[#This Row],[ID]],Tabela7[],2,0),"")</f>
        <v/>
      </c>
      <c r="D62" s="128" t="e">
        <f>VLOOKUP(Tabela8[[#This Row],[ID]],Tabela1[],3,0)</f>
        <v>#N/A</v>
      </c>
      <c r="E62" s="127" t="str">
        <f>IFERROR(VLOOKUP(Tabela8[[#This Row],[ID]],Tabela1[],4,0),"")</f>
        <v/>
      </c>
      <c r="F62" s="127" t="str">
        <f>IFERROR(VLOOKUP(Tabela8[[#This Row],[ID]],Tabela1[],5,0),"")</f>
        <v/>
      </c>
      <c r="G62" s="127" t="str">
        <f>IFERROR(VLOOKUP(Tabela8[[#This Row],[ID]],Tabela1[],6,0),"")</f>
        <v/>
      </c>
      <c r="H62" s="127" t="str">
        <f>IFERROR(VLOOKUP(Tabela8[[#This Row],[ID]],Tabela1[],7,0),"")</f>
        <v/>
      </c>
      <c r="I62" s="126"/>
      <c r="J62" s="126"/>
      <c r="K62" s="129" t="str">
        <f>IFERROR(VLOOKUP(Tabela8[[#This Row],[ID]],Tabela7[],11,0),"")</f>
        <v/>
      </c>
      <c r="L62" s="130" t="e">
        <f>Tabela8[[#This Row],[Latas a Pagar]]*Tabela9[VALOR LATA]</f>
        <v>#VALUE!</v>
      </c>
    </row>
    <row r="63" spans="2:12" hidden="1" x14ac:dyDescent="0.3">
      <c r="B63" s="127">
        <f>VALUE('CONTROLE DE PRODUÇÃO'!B61)</f>
        <v>0</v>
      </c>
      <c r="C63" s="128" t="str">
        <f>IFERROR(VLOOKUP(Tabela8[[#This Row],[ID]],Tabela7[],2,0),"")</f>
        <v/>
      </c>
      <c r="D63" s="128" t="e">
        <f>VLOOKUP(Tabela8[[#This Row],[ID]],Tabela1[],3,0)</f>
        <v>#N/A</v>
      </c>
      <c r="E63" s="127" t="str">
        <f>IFERROR(VLOOKUP(Tabela8[[#This Row],[ID]],Tabela1[],4,0),"")</f>
        <v/>
      </c>
      <c r="F63" s="127" t="str">
        <f>IFERROR(VLOOKUP(Tabela8[[#This Row],[ID]],Tabela1[],5,0),"")</f>
        <v/>
      </c>
      <c r="G63" s="127" t="str">
        <f>IFERROR(VLOOKUP(Tabela8[[#This Row],[ID]],Tabela1[],6,0),"")</f>
        <v/>
      </c>
      <c r="H63" s="127" t="str">
        <f>IFERROR(VLOOKUP(Tabela8[[#This Row],[ID]],Tabela1[],7,0),"")</f>
        <v/>
      </c>
      <c r="I63" s="126"/>
      <c r="J63" s="126"/>
      <c r="K63" s="129" t="str">
        <f>IFERROR(VLOOKUP(Tabela8[[#This Row],[ID]],Tabela7[],11,0),"")</f>
        <v/>
      </c>
      <c r="L63" s="130" t="e">
        <f>Tabela8[[#This Row],[Latas a Pagar]]*Tabela9[VALOR LATA]</f>
        <v>#VALUE!</v>
      </c>
    </row>
    <row r="64" spans="2:12" hidden="1" x14ac:dyDescent="0.3">
      <c r="B64" s="127">
        <f>VALUE('CONTROLE DE PRODUÇÃO'!B62)</f>
        <v>0</v>
      </c>
      <c r="C64" s="128" t="str">
        <f>IFERROR(VLOOKUP(Tabela8[[#This Row],[ID]],Tabela7[],2,0),"")</f>
        <v/>
      </c>
      <c r="D64" s="128" t="e">
        <f>VLOOKUP(Tabela8[[#This Row],[ID]],Tabela1[],3,0)</f>
        <v>#N/A</v>
      </c>
      <c r="E64" s="127" t="str">
        <f>IFERROR(VLOOKUP(Tabela8[[#This Row],[ID]],Tabela1[],4,0),"")</f>
        <v/>
      </c>
      <c r="F64" s="127" t="str">
        <f>IFERROR(VLOOKUP(Tabela8[[#This Row],[ID]],Tabela1[],5,0),"")</f>
        <v/>
      </c>
      <c r="G64" s="127" t="str">
        <f>IFERROR(VLOOKUP(Tabela8[[#This Row],[ID]],Tabela1[],6,0),"")</f>
        <v/>
      </c>
      <c r="H64" s="127" t="str">
        <f>IFERROR(VLOOKUP(Tabela8[[#This Row],[ID]],Tabela1[],7,0),"")</f>
        <v/>
      </c>
      <c r="I64" s="126"/>
      <c r="J64" s="126"/>
      <c r="K64" s="129" t="str">
        <f>IFERROR(VLOOKUP(Tabela8[[#This Row],[ID]],Tabela7[],11,0),"")</f>
        <v/>
      </c>
      <c r="L64" s="130" t="e">
        <f>Tabela8[[#This Row],[Latas a Pagar]]*Tabela9[VALOR LATA]</f>
        <v>#VALUE!</v>
      </c>
    </row>
    <row r="65" spans="2:12" hidden="1" x14ac:dyDescent="0.3">
      <c r="B65" s="127">
        <f>VALUE('CONTROLE DE PRODUÇÃO'!B63)</f>
        <v>0</v>
      </c>
      <c r="C65" s="128" t="str">
        <f>IFERROR(VLOOKUP(Tabela8[[#This Row],[ID]],Tabela7[],2,0),"")</f>
        <v/>
      </c>
      <c r="D65" s="128" t="e">
        <f>VLOOKUP(Tabela8[[#This Row],[ID]],Tabela1[],3,0)</f>
        <v>#N/A</v>
      </c>
      <c r="E65" s="127" t="str">
        <f>IFERROR(VLOOKUP(Tabela8[[#This Row],[ID]],Tabela1[],4,0),"")</f>
        <v/>
      </c>
      <c r="F65" s="127" t="str">
        <f>IFERROR(VLOOKUP(Tabela8[[#This Row],[ID]],Tabela1[],5,0),"")</f>
        <v/>
      </c>
      <c r="G65" s="127" t="str">
        <f>IFERROR(VLOOKUP(Tabela8[[#This Row],[ID]],Tabela1[],6,0),"")</f>
        <v/>
      </c>
      <c r="H65" s="127" t="str">
        <f>IFERROR(VLOOKUP(Tabela8[[#This Row],[ID]],Tabela1[],7,0),"")</f>
        <v/>
      </c>
      <c r="I65" s="126"/>
      <c r="J65" s="126"/>
      <c r="K65" s="129" t="str">
        <f>IFERROR(VLOOKUP(Tabela8[[#This Row],[ID]],Tabela7[],11,0),"")</f>
        <v/>
      </c>
      <c r="L65" s="130" t="e">
        <f>Tabela8[[#This Row],[Latas a Pagar]]*Tabela9[VALOR LATA]</f>
        <v>#VALUE!</v>
      </c>
    </row>
    <row r="66" spans="2:12" hidden="1" x14ac:dyDescent="0.3">
      <c r="B66" s="127">
        <f>VALUE('CONTROLE DE PRODUÇÃO'!B64)</f>
        <v>0</v>
      </c>
      <c r="C66" s="128" t="str">
        <f>IFERROR(VLOOKUP(Tabela8[[#This Row],[ID]],Tabela7[],2,0),"")</f>
        <v/>
      </c>
      <c r="D66" s="128" t="e">
        <f>VLOOKUP(Tabela8[[#This Row],[ID]],Tabela1[],3,0)</f>
        <v>#N/A</v>
      </c>
      <c r="E66" s="127" t="str">
        <f>IFERROR(VLOOKUP(Tabela8[[#This Row],[ID]],Tabela1[],4,0),"")</f>
        <v/>
      </c>
      <c r="F66" s="127" t="str">
        <f>IFERROR(VLOOKUP(Tabela8[[#This Row],[ID]],Tabela1[],5,0),"")</f>
        <v/>
      </c>
      <c r="G66" s="127" t="str">
        <f>IFERROR(VLOOKUP(Tabela8[[#This Row],[ID]],Tabela1[],6,0),"")</f>
        <v/>
      </c>
      <c r="H66" s="127" t="str">
        <f>IFERROR(VLOOKUP(Tabela8[[#This Row],[ID]],Tabela1[],7,0),"")</f>
        <v/>
      </c>
      <c r="I66" s="126"/>
      <c r="J66" s="126"/>
      <c r="K66" s="129" t="str">
        <f>IFERROR(VLOOKUP(Tabela8[[#This Row],[ID]],Tabela7[],11,0),"")</f>
        <v/>
      </c>
      <c r="L66" s="130" t="e">
        <f>Tabela8[[#This Row],[Latas a Pagar]]*Tabela9[VALOR LATA]</f>
        <v>#VALUE!</v>
      </c>
    </row>
    <row r="67" spans="2:12" hidden="1" x14ac:dyDescent="0.3">
      <c r="B67" s="127">
        <f>VALUE('CONTROLE DE PRODUÇÃO'!B65)</f>
        <v>0</v>
      </c>
      <c r="C67" s="128" t="str">
        <f>IFERROR(VLOOKUP(Tabela8[[#This Row],[ID]],Tabela7[],2,0),"")</f>
        <v/>
      </c>
      <c r="D67" s="128" t="e">
        <f>VLOOKUP(Tabela8[[#This Row],[ID]],Tabela1[],3,0)</f>
        <v>#N/A</v>
      </c>
      <c r="E67" s="127" t="str">
        <f>IFERROR(VLOOKUP(Tabela8[[#This Row],[ID]],Tabela1[],4,0),"")</f>
        <v/>
      </c>
      <c r="F67" s="127" t="str">
        <f>IFERROR(VLOOKUP(Tabela8[[#This Row],[ID]],Tabela1[],5,0),"")</f>
        <v/>
      </c>
      <c r="G67" s="127" t="str">
        <f>IFERROR(VLOOKUP(Tabela8[[#This Row],[ID]],Tabela1[],6,0),"")</f>
        <v/>
      </c>
      <c r="H67" s="127" t="str">
        <f>IFERROR(VLOOKUP(Tabela8[[#This Row],[ID]],Tabela1[],7,0),"")</f>
        <v/>
      </c>
      <c r="I67" s="126"/>
      <c r="J67" s="126"/>
      <c r="K67" s="129" t="str">
        <f>IFERROR(VLOOKUP(Tabela8[[#This Row],[ID]],Tabela7[],11,0),"")</f>
        <v/>
      </c>
      <c r="L67" s="130" t="e">
        <f>Tabela8[[#This Row],[Latas a Pagar]]*Tabela9[VALOR LATA]</f>
        <v>#VALUE!</v>
      </c>
    </row>
    <row r="68" spans="2:12" hidden="1" x14ac:dyDescent="0.3">
      <c r="B68" s="127">
        <f>VALUE('CONTROLE DE PRODUÇÃO'!B66)</f>
        <v>0</v>
      </c>
      <c r="C68" s="128" t="str">
        <f>IFERROR(VLOOKUP(Tabela8[[#This Row],[ID]],Tabela7[],2,0),"")</f>
        <v/>
      </c>
      <c r="D68" s="128" t="e">
        <f>VLOOKUP(Tabela8[[#This Row],[ID]],Tabela1[],3,0)</f>
        <v>#N/A</v>
      </c>
      <c r="E68" s="127" t="str">
        <f>IFERROR(VLOOKUP(Tabela8[[#This Row],[ID]],Tabela1[],4,0),"")</f>
        <v/>
      </c>
      <c r="F68" s="127" t="str">
        <f>IFERROR(VLOOKUP(Tabela8[[#This Row],[ID]],Tabela1[],5,0),"")</f>
        <v/>
      </c>
      <c r="G68" s="127" t="str">
        <f>IFERROR(VLOOKUP(Tabela8[[#This Row],[ID]],Tabela1[],6,0),"")</f>
        <v/>
      </c>
      <c r="H68" s="127" t="str">
        <f>IFERROR(VLOOKUP(Tabela8[[#This Row],[ID]],Tabela1[],7,0),"")</f>
        <v/>
      </c>
      <c r="I68" s="126"/>
      <c r="J68" s="126"/>
      <c r="K68" s="129" t="str">
        <f>IFERROR(VLOOKUP(Tabela8[[#This Row],[ID]],Tabela7[],11,0),"")</f>
        <v/>
      </c>
      <c r="L68" s="130" t="e">
        <f>Tabela8[[#This Row],[Latas a Pagar]]*Tabela9[VALOR LATA]</f>
        <v>#VALUE!</v>
      </c>
    </row>
    <row r="69" spans="2:12" hidden="1" x14ac:dyDescent="0.3">
      <c r="B69" s="127">
        <f>VALUE('CONTROLE DE PRODUÇÃO'!B67)</f>
        <v>0</v>
      </c>
      <c r="C69" s="128" t="str">
        <f>IFERROR(VLOOKUP(Tabela8[[#This Row],[ID]],Tabela7[],2,0),"")</f>
        <v/>
      </c>
      <c r="D69" s="128" t="e">
        <f>VLOOKUP(Tabela8[[#This Row],[ID]],Tabela1[],3,0)</f>
        <v>#N/A</v>
      </c>
      <c r="E69" s="127" t="str">
        <f>IFERROR(VLOOKUP(Tabela8[[#This Row],[ID]],Tabela1[],4,0),"")</f>
        <v/>
      </c>
      <c r="F69" s="127" t="str">
        <f>IFERROR(VLOOKUP(Tabela8[[#This Row],[ID]],Tabela1[],5,0),"")</f>
        <v/>
      </c>
      <c r="G69" s="127" t="str">
        <f>IFERROR(VLOOKUP(Tabela8[[#This Row],[ID]],Tabela1[],6,0),"")</f>
        <v/>
      </c>
      <c r="H69" s="127" t="str">
        <f>IFERROR(VLOOKUP(Tabela8[[#This Row],[ID]],Tabela1[],7,0),"")</f>
        <v/>
      </c>
      <c r="I69" s="126"/>
      <c r="J69" s="126"/>
      <c r="K69" s="129" t="str">
        <f>IFERROR(VLOOKUP(Tabela8[[#This Row],[ID]],Tabela7[],11,0),"")</f>
        <v/>
      </c>
      <c r="L69" s="130" t="e">
        <f>Tabela8[[#This Row],[Latas a Pagar]]*Tabela9[VALOR LATA]</f>
        <v>#VALUE!</v>
      </c>
    </row>
    <row r="70" spans="2:12" hidden="1" x14ac:dyDescent="0.3">
      <c r="B70" s="127">
        <f>VALUE('CONTROLE DE PRODUÇÃO'!B68)</f>
        <v>0</v>
      </c>
      <c r="C70" s="128" t="str">
        <f>IFERROR(VLOOKUP(Tabela8[[#This Row],[ID]],Tabela7[],2,0),"")</f>
        <v/>
      </c>
      <c r="D70" s="128" t="e">
        <f>VLOOKUP(Tabela8[[#This Row],[ID]],Tabela1[],3,0)</f>
        <v>#N/A</v>
      </c>
      <c r="E70" s="127" t="str">
        <f>IFERROR(VLOOKUP(Tabela8[[#This Row],[ID]],Tabela1[],4,0),"")</f>
        <v/>
      </c>
      <c r="F70" s="127" t="str">
        <f>IFERROR(VLOOKUP(Tabela8[[#This Row],[ID]],Tabela1[],5,0),"")</f>
        <v/>
      </c>
      <c r="G70" s="127" t="str">
        <f>IFERROR(VLOOKUP(Tabela8[[#This Row],[ID]],Tabela1[],6,0),"")</f>
        <v/>
      </c>
      <c r="H70" s="127" t="str">
        <f>IFERROR(VLOOKUP(Tabela8[[#This Row],[ID]],Tabela1[],7,0),"")</f>
        <v/>
      </c>
      <c r="I70" s="126"/>
      <c r="J70" s="126"/>
      <c r="K70" s="129" t="str">
        <f>IFERROR(VLOOKUP(Tabela8[[#This Row],[ID]],Tabela7[],11,0),"")</f>
        <v/>
      </c>
      <c r="L70" s="130" t="e">
        <f>Tabela8[[#This Row],[Latas a Pagar]]*Tabela9[VALOR LATA]</f>
        <v>#VALUE!</v>
      </c>
    </row>
    <row r="71" spans="2:12" hidden="1" x14ac:dyDescent="0.3">
      <c r="B71" s="127">
        <f>VALUE('CONTROLE DE PRODUÇÃO'!B69)</f>
        <v>0</v>
      </c>
      <c r="C71" s="128" t="str">
        <f>IFERROR(VLOOKUP(Tabela8[[#This Row],[ID]],Tabela7[],2,0),"")</f>
        <v/>
      </c>
      <c r="D71" s="128" t="e">
        <f>VLOOKUP(Tabela8[[#This Row],[ID]],Tabela1[],3,0)</f>
        <v>#N/A</v>
      </c>
      <c r="E71" s="127" t="str">
        <f>IFERROR(VLOOKUP(Tabela8[[#This Row],[ID]],Tabela1[],4,0),"")</f>
        <v/>
      </c>
      <c r="F71" s="127" t="str">
        <f>IFERROR(VLOOKUP(Tabela8[[#This Row],[ID]],Tabela1[],5,0),"")</f>
        <v/>
      </c>
      <c r="G71" s="127" t="str">
        <f>IFERROR(VLOOKUP(Tabela8[[#This Row],[ID]],Tabela1[],6,0),"")</f>
        <v/>
      </c>
      <c r="H71" s="127" t="str">
        <f>IFERROR(VLOOKUP(Tabela8[[#This Row],[ID]],Tabela1[],7,0),"")</f>
        <v/>
      </c>
      <c r="I71" s="126"/>
      <c r="J71" s="126"/>
      <c r="K71" s="129" t="str">
        <f>IFERROR(VLOOKUP(Tabela8[[#This Row],[ID]],Tabela7[],11,0),"")</f>
        <v/>
      </c>
      <c r="L71" s="130" t="e">
        <f>Tabela8[[#This Row],[Latas a Pagar]]*Tabela9[VALOR LATA]</f>
        <v>#VALUE!</v>
      </c>
    </row>
    <row r="72" spans="2:12" hidden="1" x14ac:dyDescent="0.3">
      <c r="B72" s="127">
        <f>VALUE('CONTROLE DE PRODUÇÃO'!B70)</f>
        <v>0</v>
      </c>
      <c r="C72" s="128" t="str">
        <f>IFERROR(VLOOKUP(Tabela8[[#This Row],[ID]],Tabela7[],2,0),"")</f>
        <v/>
      </c>
      <c r="D72" s="128" t="e">
        <f>VLOOKUP(Tabela8[[#This Row],[ID]],Tabela1[],3,0)</f>
        <v>#N/A</v>
      </c>
      <c r="E72" s="127" t="str">
        <f>IFERROR(VLOOKUP(Tabela8[[#This Row],[ID]],Tabela1[],4,0),"")</f>
        <v/>
      </c>
      <c r="F72" s="127" t="str">
        <f>IFERROR(VLOOKUP(Tabela8[[#This Row],[ID]],Tabela1[],5,0),"")</f>
        <v/>
      </c>
      <c r="G72" s="127" t="str">
        <f>IFERROR(VLOOKUP(Tabela8[[#This Row],[ID]],Tabela1[],6,0),"")</f>
        <v/>
      </c>
      <c r="H72" s="127" t="str">
        <f>IFERROR(VLOOKUP(Tabela8[[#This Row],[ID]],Tabela1[],7,0),"")</f>
        <v/>
      </c>
      <c r="I72" s="126"/>
      <c r="J72" s="126"/>
      <c r="K72" s="129" t="str">
        <f>IFERROR(VLOOKUP(Tabela8[[#This Row],[ID]],Tabela7[],11,0),"")</f>
        <v/>
      </c>
      <c r="L72" s="130" t="e">
        <f>Tabela8[[#This Row],[Latas a Pagar]]*Tabela9[VALOR LATA]</f>
        <v>#VALUE!</v>
      </c>
    </row>
    <row r="73" spans="2:12" hidden="1" x14ac:dyDescent="0.3">
      <c r="B73" s="127">
        <f>VALUE('CONTROLE DE PRODUÇÃO'!B71)</f>
        <v>0</v>
      </c>
      <c r="C73" s="128" t="str">
        <f>IFERROR(VLOOKUP(Tabela8[[#This Row],[ID]],Tabela7[],2,0),"")</f>
        <v/>
      </c>
      <c r="D73" s="128" t="e">
        <f>VLOOKUP(Tabela8[[#This Row],[ID]],Tabela1[],3,0)</f>
        <v>#N/A</v>
      </c>
      <c r="E73" s="127" t="str">
        <f>IFERROR(VLOOKUP(Tabela8[[#This Row],[ID]],Tabela1[],4,0),"")</f>
        <v/>
      </c>
      <c r="F73" s="127" t="str">
        <f>IFERROR(VLOOKUP(Tabela8[[#This Row],[ID]],Tabela1[],5,0),"")</f>
        <v/>
      </c>
      <c r="G73" s="127" t="str">
        <f>IFERROR(VLOOKUP(Tabela8[[#This Row],[ID]],Tabela1[],6,0),"")</f>
        <v/>
      </c>
      <c r="H73" s="127" t="str">
        <f>IFERROR(VLOOKUP(Tabela8[[#This Row],[ID]],Tabela1[],7,0),"")</f>
        <v/>
      </c>
      <c r="I73" s="126"/>
      <c r="J73" s="126"/>
      <c r="K73" s="129" t="str">
        <f>IFERROR(VLOOKUP(Tabela8[[#This Row],[ID]],Tabela7[],11,0),"")</f>
        <v/>
      </c>
      <c r="L73" s="130" t="e">
        <f>Tabela8[[#This Row],[Latas a Pagar]]*Tabela9[VALOR LATA]</f>
        <v>#VALUE!</v>
      </c>
    </row>
    <row r="74" spans="2:12" hidden="1" x14ac:dyDescent="0.3">
      <c r="B74" s="127">
        <f>VALUE('CONTROLE DE PRODUÇÃO'!B72)</f>
        <v>0</v>
      </c>
      <c r="C74" s="128" t="str">
        <f>IFERROR(VLOOKUP(Tabela8[[#This Row],[ID]],Tabela7[],2,0),"")</f>
        <v/>
      </c>
      <c r="D74" s="128" t="e">
        <f>VLOOKUP(Tabela8[[#This Row],[ID]],Tabela1[],3,0)</f>
        <v>#N/A</v>
      </c>
      <c r="E74" s="127" t="str">
        <f>IFERROR(VLOOKUP(Tabela8[[#This Row],[ID]],Tabela1[],4,0),"")</f>
        <v/>
      </c>
      <c r="F74" s="127" t="str">
        <f>IFERROR(VLOOKUP(Tabela8[[#This Row],[ID]],Tabela1[],5,0),"")</f>
        <v/>
      </c>
      <c r="G74" s="127" t="str">
        <f>IFERROR(VLOOKUP(Tabela8[[#This Row],[ID]],Tabela1[],6,0),"")</f>
        <v/>
      </c>
      <c r="H74" s="127" t="str">
        <f>IFERROR(VLOOKUP(Tabela8[[#This Row],[ID]],Tabela1[],7,0),"")</f>
        <v/>
      </c>
      <c r="I74" s="126"/>
      <c r="J74" s="126"/>
      <c r="K74" s="129" t="str">
        <f>IFERROR(VLOOKUP(Tabela8[[#This Row],[ID]],Tabela7[],11,0),"")</f>
        <v/>
      </c>
      <c r="L74" s="130" t="e">
        <f>Tabela8[[#This Row],[Latas a Pagar]]*Tabela9[VALOR LATA]</f>
        <v>#VALUE!</v>
      </c>
    </row>
    <row r="75" spans="2:12" hidden="1" x14ac:dyDescent="0.3">
      <c r="B75" s="127">
        <f>VALUE('CONTROLE DE PRODUÇÃO'!B73)</f>
        <v>0</v>
      </c>
      <c r="C75" s="128" t="str">
        <f>IFERROR(VLOOKUP(Tabela8[[#This Row],[ID]],Tabela7[],2,0),"")</f>
        <v/>
      </c>
      <c r="D75" s="128" t="e">
        <f>VLOOKUP(Tabela8[[#This Row],[ID]],Tabela1[],3,0)</f>
        <v>#N/A</v>
      </c>
      <c r="E75" s="127" t="str">
        <f>IFERROR(VLOOKUP(Tabela8[[#This Row],[ID]],Tabela1[],4,0),"")</f>
        <v/>
      </c>
      <c r="F75" s="127" t="str">
        <f>IFERROR(VLOOKUP(Tabela8[[#This Row],[ID]],Tabela1[],5,0),"")</f>
        <v/>
      </c>
      <c r="G75" s="127" t="str">
        <f>IFERROR(VLOOKUP(Tabela8[[#This Row],[ID]],Tabela1[],6,0),"")</f>
        <v/>
      </c>
      <c r="H75" s="127" t="str">
        <f>IFERROR(VLOOKUP(Tabela8[[#This Row],[ID]],Tabela1[],7,0),"")</f>
        <v/>
      </c>
      <c r="I75" s="126"/>
      <c r="J75" s="126"/>
      <c r="K75" s="129" t="str">
        <f>IFERROR(VLOOKUP(Tabela8[[#This Row],[ID]],Tabela7[],11,0),"")</f>
        <v/>
      </c>
      <c r="L75" s="130" t="e">
        <f>Tabela8[[#This Row],[Latas a Pagar]]*Tabela9[VALOR LATA]</f>
        <v>#VALUE!</v>
      </c>
    </row>
    <row r="76" spans="2:12" hidden="1" x14ac:dyDescent="0.3">
      <c r="B76" s="127">
        <f>VALUE('CONTROLE DE PRODUÇÃO'!B74)</f>
        <v>0</v>
      </c>
      <c r="C76" s="128" t="str">
        <f>IFERROR(VLOOKUP(Tabela8[[#This Row],[ID]],Tabela7[],2,0),"")</f>
        <v/>
      </c>
      <c r="D76" s="128" t="e">
        <f>VLOOKUP(Tabela8[[#This Row],[ID]],Tabela1[],3,0)</f>
        <v>#N/A</v>
      </c>
      <c r="E76" s="127" t="str">
        <f>IFERROR(VLOOKUP(Tabela8[[#This Row],[ID]],Tabela1[],4,0),"")</f>
        <v/>
      </c>
      <c r="F76" s="127" t="str">
        <f>IFERROR(VLOOKUP(Tabela8[[#This Row],[ID]],Tabela1[],5,0),"")</f>
        <v/>
      </c>
      <c r="G76" s="127" t="str">
        <f>IFERROR(VLOOKUP(Tabela8[[#This Row],[ID]],Tabela1[],6,0),"")</f>
        <v/>
      </c>
      <c r="H76" s="127" t="str">
        <f>IFERROR(VLOOKUP(Tabela8[[#This Row],[ID]],Tabela1[],7,0),"")</f>
        <v/>
      </c>
      <c r="I76" s="126"/>
      <c r="J76" s="126"/>
      <c r="K76" s="129" t="str">
        <f>IFERROR(VLOOKUP(Tabela8[[#This Row],[ID]],Tabela7[],11,0),"")</f>
        <v/>
      </c>
      <c r="L76" s="130" t="e">
        <f>Tabela8[[#This Row],[Latas a Pagar]]*Tabela9[VALOR LATA]</f>
        <v>#VALUE!</v>
      </c>
    </row>
    <row r="77" spans="2:12" hidden="1" x14ac:dyDescent="0.3">
      <c r="B77" s="127">
        <f>VALUE('CONTROLE DE PRODUÇÃO'!B75)</f>
        <v>0</v>
      </c>
      <c r="C77" s="128" t="str">
        <f>IFERROR(VLOOKUP(Tabela8[[#This Row],[ID]],Tabela7[],2,0),"")</f>
        <v/>
      </c>
      <c r="D77" s="128" t="e">
        <f>VLOOKUP(Tabela8[[#This Row],[ID]],Tabela1[],3,0)</f>
        <v>#N/A</v>
      </c>
      <c r="E77" s="127" t="str">
        <f>IFERROR(VLOOKUP(Tabela8[[#This Row],[ID]],Tabela1[],4,0),"")</f>
        <v/>
      </c>
      <c r="F77" s="127" t="str">
        <f>IFERROR(VLOOKUP(Tabela8[[#This Row],[ID]],Tabela1[],5,0),"")</f>
        <v/>
      </c>
      <c r="G77" s="127" t="str">
        <f>IFERROR(VLOOKUP(Tabela8[[#This Row],[ID]],Tabela1[],6,0),"")</f>
        <v/>
      </c>
      <c r="H77" s="127" t="str">
        <f>IFERROR(VLOOKUP(Tabela8[[#This Row],[ID]],Tabela1[],7,0),"")</f>
        <v/>
      </c>
      <c r="I77" s="126"/>
      <c r="J77" s="126"/>
      <c r="K77" s="129" t="str">
        <f>IFERROR(VLOOKUP(Tabela8[[#This Row],[ID]],Tabela7[],11,0),"")</f>
        <v/>
      </c>
      <c r="L77" s="130" t="e">
        <f>Tabela8[[#This Row],[Latas a Pagar]]*Tabela9[VALOR LATA]</f>
        <v>#VALUE!</v>
      </c>
    </row>
    <row r="78" spans="2:12" hidden="1" x14ac:dyDescent="0.3">
      <c r="B78" s="127">
        <f>VALUE('CONTROLE DE PRODUÇÃO'!B76)</f>
        <v>0</v>
      </c>
      <c r="C78" s="128" t="str">
        <f>IFERROR(VLOOKUP(Tabela8[[#This Row],[ID]],Tabela7[],2,0),"")</f>
        <v/>
      </c>
      <c r="D78" s="128" t="e">
        <f>VLOOKUP(Tabela8[[#This Row],[ID]],Tabela1[],3,0)</f>
        <v>#N/A</v>
      </c>
      <c r="E78" s="127" t="str">
        <f>IFERROR(VLOOKUP(Tabela8[[#This Row],[ID]],Tabela1[],4,0),"")</f>
        <v/>
      </c>
      <c r="F78" s="127" t="str">
        <f>IFERROR(VLOOKUP(Tabela8[[#This Row],[ID]],Tabela1[],5,0),"")</f>
        <v/>
      </c>
      <c r="G78" s="127" t="str">
        <f>IFERROR(VLOOKUP(Tabela8[[#This Row],[ID]],Tabela1[],6,0),"")</f>
        <v/>
      </c>
      <c r="H78" s="127" t="str">
        <f>IFERROR(VLOOKUP(Tabela8[[#This Row],[ID]],Tabela1[],7,0),"")</f>
        <v/>
      </c>
      <c r="I78" s="126"/>
      <c r="J78" s="126"/>
      <c r="K78" s="129" t="str">
        <f>IFERROR(VLOOKUP(Tabela8[[#This Row],[ID]],Tabela7[],11,0),"")</f>
        <v/>
      </c>
      <c r="L78" s="130" t="e">
        <f>Tabela8[[#This Row],[Latas a Pagar]]*Tabela9[VALOR LATA]</f>
        <v>#VALUE!</v>
      </c>
    </row>
    <row r="79" spans="2:12" hidden="1" x14ac:dyDescent="0.3">
      <c r="B79" s="127">
        <f>VALUE('CONTROLE DE PRODUÇÃO'!B77)</f>
        <v>0</v>
      </c>
      <c r="C79" s="128" t="str">
        <f>IFERROR(VLOOKUP(Tabela8[[#This Row],[ID]],Tabela7[],2,0),"")</f>
        <v/>
      </c>
      <c r="D79" s="128" t="e">
        <f>VLOOKUP(Tabela8[[#This Row],[ID]],Tabela1[],3,0)</f>
        <v>#N/A</v>
      </c>
      <c r="E79" s="127" t="str">
        <f>IFERROR(VLOOKUP(Tabela8[[#This Row],[ID]],Tabela1[],4,0),"")</f>
        <v/>
      </c>
      <c r="F79" s="127" t="str">
        <f>IFERROR(VLOOKUP(Tabela8[[#This Row],[ID]],Tabela1[],5,0),"")</f>
        <v/>
      </c>
      <c r="G79" s="127" t="str">
        <f>IFERROR(VLOOKUP(Tabela8[[#This Row],[ID]],Tabela1[],6,0),"")</f>
        <v/>
      </c>
      <c r="H79" s="127" t="str">
        <f>IFERROR(VLOOKUP(Tabela8[[#This Row],[ID]],Tabela1[],7,0),"")</f>
        <v/>
      </c>
      <c r="I79" s="126"/>
      <c r="J79" s="126"/>
      <c r="K79" s="129" t="str">
        <f>IFERROR(VLOOKUP(Tabela8[[#This Row],[ID]],Tabela7[],11,0),"")</f>
        <v/>
      </c>
      <c r="L79" s="130" t="e">
        <f>Tabela8[[#This Row],[Latas a Pagar]]*Tabela9[VALOR LATA]</f>
        <v>#VALUE!</v>
      </c>
    </row>
    <row r="80" spans="2:12" hidden="1" x14ac:dyDescent="0.3">
      <c r="B80" s="127">
        <f>VALUE('CONTROLE DE PRODUÇÃO'!B78)</f>
        <v>0</v>
      </c>
      <c r="C80" s="128" t="str">
        <f>IFERROR(VLOOKUP(Tabela8[[#This Row],[ID]],Tabela7[],2,0),"")</f>
        <v/>
      </c>
      <c r="D80" s="128" t="e">
        <f>VLOOKUP(Tabela8[[#This Row],[ID]],Tabela1[],3,0)</f>
        <v>#N/A</v>
      </c>
      <c r="E80" s="127" t="str">
        <f>IFERROR(VLOOKUP(Tabela8[[#This Row],[ID]],Tabela1[],4,0),"")</f>
        <v/>
      </c>
      <c r="F80" s="127" t="str">
        <f>IFERROR(VLOOKUP(Tabela8[[#This Row],[ID]],Tabela1[],5,0),"")</f>
        <v/>
      </c>
      <c r="G80" s="127" t="str">
        <f>IFERROR(VLOOKUP(Tabela8[[#This Row],[ID]],Tabela1[],6,0),"")</f>
        <v/>
      </c>
      <c r="H80" s="127" t="str">
        <f>IFERROR(VLOOKUP(Tabela8[[#This Row],[ID]],Tabela1[],7,0),"")</f>
        <v/>
      </c>
      <c r="I80" s="126"/>
      <c r="J80" s="126"/>
      <c r="K80" s="129" t="str">
        <f>IFERROR(VLOOKUP(Tabela8[[#This Row],[ID]],Tabela7[],11,0),"")</f>
        <v/>
      </c>
      <c r="L80" s="130" t="e">
        <f>Tabela8[[#This Row],[Latas a Pagar]]*Tabela9[VALOR LATA]</f>
        <v>#VALUE!</v>
      </c>
    </row>
    <row r="81" spans="2:12" hidden="1" x14ac:dyDescent="0.3">
      <c r="B81" s="127">
        <f>VALUE('CONTROLE DE PRODUÇÃO'!B79)</f>
        <v>0</v>
      </c>
      <c r="C81" s="128" t="str">
        <f>IFERROR(VLOOKUP(Tabela8[[#This Row],[ID]],Tabela7[],2,0),"")</f>
        <v/>
      </c>
      <c r="D81" s="128" t="e">
        <f>VLOOKUP(Tabela8[[#This Row],[ID]],Tabela1[],3,0)</f>
        <v>#N/A</v>
      </c>
      <c r="E81" s="127" t="str">
        <f>IFERROR(VLOOKUP(Tabela8[[#This Row],[ID]],Tabela1[],4,0),"")</f>
        <v/>
      </c>
      <c r="F81" s="127" t="str">
        <f>IFERROR(VLOOKUP(Tabela8[[#This Row],[ID]],Tabela1[],5,0),"")</f>
        <v/>
      </c>
      <c r="G81" s="127" t="str">
        <f>IFERROR(VLOOKUP(Tabela8[[#This Row],[ID]],Tabela1[],6,0),"")</f>
        <v/>
      </c>
      <c r="H81" s="127" t="str">
        <f>IFERROR(VLOOKUP(Tabela8[[#This Row],[ID]],Tabela1[],7,0),"")</f>
        <v/>
      </c>
      <c r="I81" s="126"/>
      <c r="J81" s="126"/>
      <c r="K81" s="129" t="str">
        <f>IFERROR(VLOOKUP(Tabela8[[#This Row],[ID]],Tabela7[],11,0),"")</f>
        <v/>
      </c>
      <c r="L81" s="130" t="e">
        <f>Tabela8[[#This Row],[Latas a Pagar]]*Tabela9[VALOR LATA]</f>
        <v>#VALUE!</v>
      </c>
    </row>
    <row r="82" spans="2:12" hidden="1" x14ac:dyDescent="0.3">
      <c r="B82" s="127">
        <f>VALUE('CONTROLE DE PRODUÇÃO'!B80)</f>
        <v>0</v>
      </c>
      <c r="C82" s="128" t="str">
        <f>IFERROR(VLOOKUP(Tabela8[[#This Row],[ID]],Tabela7[],2,0),"")</f>
        <v/>
      </c>
      <c r="D82" s="128" t="e">
        <f>VLOOKUP(Tabela8[[#This Row],[ID]],Tabela1[],3,0)</f>
        <v>#N/A</v>
      </c>
      <c r="E82" s="127" t="str">
        <f>IFERROR(VLOOKUP(Tabela8[[#This Row],[ID]],Tabela1[],4,0),"")</f>
        <v/>
      </c>
      <c r="F82" s="127" t="str">
        <f>IFERROR(VLOOKUP(Tabela8[[#This Row],[ID]],Tabela1[],5,0),"")</f>
        <v/>
      </c>
      <c r="G82" s="127" t="str">
        <f>IFERROR(VLOOKUP(Tabela8[[#This Row],[ID]],Tabela1[],6,0),"")</f>
        <v/>
      </c>
      <c r="H82" s="127" t="str">
        <f>IFERROR(VLOOKUP(Tabela8[[#This Row],[ID]],Tabela1[],7,0),"")</f>
        <v/>
      </c>
      <c r="I82" s="126"/>
      <c r="J82" s="126"/>
      <c r="K82" s="129" t="str">
        <f>IFERROR(VLOOKUP(Tabela8[[#This Row],[ID]],Tabela7[],11,0),"")</f>
        <v/>
      </c>
      <c r="L82" s="130" t="e">
        <f>Tabela8[[#This Row],[Latas a Pagar]]*Tabela9[VALOR LATA]</f>
        <v>#VALUE!</v>
      </c>
    </row>
    <row r="83" spans="2:12" hidden="1" x14ac:dyDescent="0.3">
      <c r="B83" s="127">
        <f>VALUE('CONTROLE DE PRODUÇÃO'!B81)</f>
        <v>0</v>
      </c>
      <c r="C83" s="128" t="str">
        <f>IFERROR(VLOOKUP(Tabela8[[#This Row],[ID]],Tabela7[],2,0),"")</f>
        <v/>
      </c>
      <c r="D83" s="128" t="e">
        <f>VLOOKUP(Tabela8[[#This Row],[ID]],Tabela1[],3,0)</f>
        <v>#N/A</v>
      </c>
      <c r="E83" s="127" t="str">
        <f>IFERROR(VLOOKUP(Tabela8[[#This Row],[ID]],Tabela1[],4,0),"")</f>
        <v/>
      </c>
      <c r="F83" s="127" t="str">
        <f>IFERROR(VLOOKUP(Tabela8[[#This Row],[ID]],Tabela1[],5,0),"")</f>
        <v/>
      </c>
      <c r="G83" s="127" t="str">
        <f>IFERROR(VLOOKUP(Tabela8[[#This Row],[ID]],Tabela1[],6,0),"")</f>
        <v/>
      </c>
      <c r="H83" s="127" t="str">
        <f>IFERROR(VLOOKUP(Tabela8[[#This Row],[ID]],Tabela1[],7,0),"")</f>
        <v/>
      </c>
      <c r="I83" s="126"/>
      <c r="J83" s="126"/>
      <c r="K83" s="129" t="str">
        <f>IFERROR(VLOOKUP(Tabela8[[#This Row],[ID]],Tabela7[],11,0),"")</f>
        <v/>
      </c>
      <c r="L83" s="130" t="e">
        <f>Tabela8[[#This Row],[Latas a Pagar]]*Tabela9[VALOR LATA]</f>
        <v>#VALUE!</v>
      </c>
    </row>
    <row r="84" spans="2:12" hidden="1" x14ac:dyDescent="0.3">
      <c r="B84" s="127">
        <f>VALUE('CONTROLE DE PRODUÇÃO'!B82)</f>
        <v>0</v>
      </c>
      <c r="C84" s="128" t="str">
        <f>IFERROR(VLOOKUP(Tabela8[[#This Row],[ID]],Tabela7[],2,0),"")</f>
        <v/>
      </c>
      <c r="D84" s="128" t="e">
        <f>VLOOKUP(Tabela8[[#This Row],[ID]],Tabela1[],3,0)</f>
        <v>#N/A</v>
      </c>
      <c r="E84" s="127" t="str">
        <f>IFERROR(VLOOKUP(Tabela8[[#This Row],[ID]],Tabela1[],4,0),"")</f>
        <v/>
      </c>
      <c r="F84" s="127" t="str">
        <f>IFERROR(VLOOKUP(Tabela8[[#This Row],[ID]],Tabela1[],5,0),"")</f>
        <v/>
      </c>
      <c r="G84" s="127" t="str">
        <f>IFERROR(VLOOKUP(Tabela8[[#This Row],[ID]],Tabela1[],6,0),"")</f>
        <v/>
      </c>
      <c r="H84" s="127" t="str">
        <f>IFERROR(VLOOKUP(Tabela8[[#This Row],[ID]],Tabela1[],7,0),"")</f>
        <v/>
      </c>
      <c r="I84" s="126"/>
      <c r="J84" s="126"/>
      <c r="K84" s="129" t="str">
        <f>IFERROR(VLOOKUP(Tabela8[[#This Row],[ID]],Tabela7[],11,0),"")</f>
        <v/>
      </c>
      <c r="L84" s="130" t="e">
        <f>Tabela8[[#This Row],[Latas a Pagar]]*Tabela9[VALOR LATA]</f>
        <v>#VALUE!</v>
      </c>
    </row>
    <row r="85" spans="2:12" hidden="1" x14ac:dyDescent="0.3">
      <c r="B85" s="127">
        <f>VALUE('CONTROLE DE PRODUÇÃO'!B83)</f>
        <v>0</v>
      </c>
      <c r="C85" s="128" t="str">
        <f>IFERROR(VLOOKUP(Tabela8[[#This Row],[ID]],Tabela7[],2,0),"")</f>
        <v/>
      </c>
      <c r="D85" s="128" t="e">
        <f>VLOOKUP(Tabela8[[#This Row],[ID]],Tabela1[],3,0)</f>
        <v>#N/A</v>
      </c>
      <c r="E85" s="127" t="str">
        <f>IFERROR(VLOOKUP(Tabela8[[#This Row],[ID]],Tabela1[],4,0),"")</f>
        <v/>
      </c>
      <c r="F85" s="127" t="str">
        <f>IFERROR(VLOOKUP(Tabela8[[#This Row],[ID]],Tabela1[],5,0),"")</f>
        <v/>
      </c>
      <c r="G85" s="127" t="str">
        <f>IFERROR(VLOOKUP(Tabela8[[#This Row],[ID]],Tabela1[],6,0),"")</f>
        <v/>
      </c>
      <c r="H85" s="127" t="str">
        <f>IFERROR(VLOOKUP(Tabela8[[#This Row],[ID]],Tabela1[],7,0),"")</f>
        <v/>
      </c>
      <c r="I85" s="126"/>
      <c r="J85" s="126"/>
      <c r="K85" s="129" t="str">
        <f>IFERROR(VLOOKUP(Tabela8[[#This Row],[ID]],Tabela7[],11,0),"")</f>
        <v/>
      </c>
      <c r="L85" s="130" t="e">
        <f>Tabela8[[#This Row],[Latas a Pagar]]*Tabela9[VALOR LATA]</f>
        <v>#VALUE!</v>
      </c>
    </row>
    <row r="86" spans="2:12" hidden="1" x14ac:dyDescent="0.3">
      <c r="B86" s="127">
        <f>VALUE('CONTROLE DE PRODUÇÃO'!B84)</f>
        <v>0</v>
      </c>
      <c r="C86" s="128" t="str">
        <f>IFERROR(VLOOKUP(Tabela8[[#This Row],[ID]],Tabela7[],2,0),"")</f>
        <v/>
      </c>
      <c r="D86" s="128" t="e">
        <f>VLOOKUP(Tabela8[[#This Row],[ID]],Tabela1[],3,0)</f>
        <v>#N/A</v>
      </c>
      <c r="E86" s="127" t="str">
        <f>IFERROR(VLOOKUP(Tabela8[[#This Row],[ID]],Tabela1[],4,0),"")</f>
        <v/>
      </c>
      <c r="F86" s="127" t="str">
        <f>IFERROR(VLOOKUP(Tabela8[[#This Row],[ID]],Tabela1[],5,0),"")</f>
        <v/>
      </c>
      <c r="G86" s="127" t="str">
        <f>IFERROR(VLOOKUP(Tabela8[[#This Row],[ID]],Tabela1[],6,0),"")</f>
        <v/>
      </c>
      <c r="H86" s="127" t="str">
        <f>IFERROR(VLOOKUP(Tabela8[[#This Row],[ID]],Tabela1[],7,0),"")</f>
        <v/>
      </c>
      <c r="I86" s="126"/>
      <c r="J86" s="126"/>
      <c r="K86" s="129" t="str">
        <f>IFERROR(VLOOKUP(Tabela8[[#This Row],[ID]],Tabela7[],11,0),"")</f>
        <v/>
      </c>
      <c r="L86" s="130" t="e">
        <f>Tabela8[[#This Row],[Latas a Pagar]]*Tabela9[VALOR LATA]</f>
        <v>#VALUE!</v>
      </c>
    </row>
    <row r="87" spans="2:12" hidden="1" x14ac:dyDescent="0.3">
      <c r="B87" s="127">
        <f>VALUE('CONTROLE DE PRODUÇÃO'!B85)</f>
        <v>0</v>
      </c>
      <c r="C87" s="128" t="str">
        <f>IFERROR(VLOOKUP(Tabela8[[#This Row],[ID]],Tabela7[],2,0),"")</f>
        <v/>
      </c>
      <c r="D87" s="128" t="e">
        <f>VLOOKUP(Tabela8[[#This Row],[ID]],Tabela1[],3,0)</f>
        <v>#N/A</v>
      </c>
      <c r="E87" s="127" t="str">
        <f>IFERROR(VLOOKUP(Tabela8[[#This Row],[ID]],Tabela1[],4,0),"")</f>
        <v/>
      </c>
      <c r="F87" s="127" t="str">
        <f>IFERROR(VLOOKUP(Tabela8[[#This Row],[ID]],Tabela1[],5,0),"")</f>
        <v/>
      </c>
      <c r="G87" s="127" t="str">
        <f>IFERROR(VLOOKUP(Tabela8[[#This Row],[ID]],Tabela1[],6,0),"")</f>
        <v/>
      </c>
      <c r="H87" s="127" t="str">
        <f>IFERROR(VLOOKUP(Tabela8[[#This Row],[ID]],Tabela1[],7,0),"")</f>
        <v/>
      </c>
      <c r="I87" s="126"/>
      <c r="J87" s="126"/>
      <c r="K87" s="129" t="str">
        <f>IFERROR(VLOOKUP(Tabela8[[#This Row],[ID]],Tabela7[],11,0),"")</f>
        <v/>
      </c>
      <c r="L87" s="130" t="e">
        <f>Tabela8[[#This Row],[Latas a Pagar]]*Tabela9[VALOR LATA]</f>
        <v>#VALUE!</v>
      </c>
    </row>
    <row r="88" spans="2:12" hidden="1" x14ac:dyDescent="0.3">
      <c r="B88" s="127">
        <f>VALUE('CONTROLE DE PRODUÇÃO'!B86)</f>
        <v>0</v>
      </c>
      <c r="C88" s="128" t="str">
        <f>IFERROR(VLOOKUP(Tabela8[[#This Row],[ID]],Tabela7[],2,0),"")</f>
        <v/>
      </c>
      <c r="D88" s="128" t="e">
        <f>VLOOKUP(Tabela8[[#This Row],[ID]],Tabela1[],3,0)</f>
        <v>#N/A</v>
      </c>
      <c r="E88" s="127" t="str">
        <f>IFERROR(VLOOKUP(Tabela8[[#This Row],[ID]],Tabela1[],4,0),"")</f>
        <v/>
      </c>
      <c r="F88" s="127" t="str">
        <f>IFERROR(VLOOKUP(Tabela8[[#This Row],[ID]],Tabela1[],5,0),"")</f>
        <v/>
      </c>
      <c r="G88" s="127" t="str">
        <f>IFERROR(VLOOKUP(Tabela8[[#This Row],[ID]],Tabela1[],6,0),"")</f>
        <v/>
      </c>
      <c r="H88" s="127" t="str">
        <f>IFERROR(VLOOKUP(Tabela8[[#This Row],[ID]],Tabela1[],7,0),"")</f>
        <v/>
      </c>
      <c r="I88" s="126"/>
      <c r="J88" s="126"/>
      <c r="K88" s="129" t="str">
        <f>IFERROR(VLOOKUP(Tabela8[[#This Row],[ID]],Tabela7[],11,0),"")</f>
        <v/>
      </c>
      <c r="L88" s="130" t="e">
        <f>Tabela8[[#This Row],[Latas a Pagar]]*Tabela9[VALOR LATA]</f>
        <v>#VALUE!</v>
      </c>
    </row>
    <row r="89" spans="2:12" hidden="1" x14ac:dyDescent="0.3">
      <c r="B89" s="127">
        <f>VALUE('CONTROLE DE PRODUÇÃO'!B87)</f>
        <v>0</v>
      </c>
      <c r="C89" s="128" t="str">
        <f>IFERROR(VLOOKUP(Tabela8[[#This Row],[ID]],Tabela7[],2,0),"")</f>
        <v/>
      </c>
      <c r="D89" s="128" t="e">
        <f>VLOOKUP(Tabela8[[#This Row],[ID]],Tabela1[],3,0)</f>
        <v>#N/A</v>
      </c>
      <c r="E89" s="127" t="str">
        <f>IFERROR(VLOOKUP(Tabela8[[#This Row],[ID]],Tabela1[],4,0),"")</f>
        <v/>
      </c>
      <c r="F89" s="127" t="str">
        <f>IFERROR(VLOOKUP(Tabela8[[#This Row],[ID]],Tabela1[],5,0),"")</f>
        <v/>
      </c>
      <c r="G89" s="127" t="str">
        <f>IFERROR(VLOOKUP(Tabela8[[#This Row],[ID]],Tabela1[],6,0),"")</f>
        <v/>
      </c>
      <c r="H89" s="127" t="str">
        <f>IFERROR(VLOOKUP(Tabela8[[#This Row],[ID]],Tabela1[],7,0),"")</f>
        <v/>
      </c>
      <c r="I89" s="126"/>
      <c r="J89" s="126"/>
      <c r="K89" s="129" t="str">
        <f>IFERROR(VLOOKUP(Tabela8[[#This Row],[ID]],Tabela7[],11,0),"")</f>
        <v/>
      </c>
      <c r="L89" s="130" t="e">
        <f>Tabela8[[#This Row],[Latas a Pagar]]*Tabela9[VALOR LATA]</f>
        <v>#VALUE!</v>
      </c>
    </row>
    <row r="90" spans="2:12" hidden="1" x14ac:dyDescent="0.3">
      <c r="B90" s="127">
        <f>VALUE('CONTROLE DE PRODUÇÃO'!B88)</f>
        <v>0</v>
      </c>
      <c r="C90" s="128" t="str">
        <f>IFERROR(VLOOKUP(Tabela8[[#This Row],[ID]],Tabela7[],2,0),"")</f>
        <v/>
      </c>
      <c r="D90" s="128" t="e">
        <f>VLOOKUP(Tabela8[[#This Row],[ID]],Tabela1[],3,0)</f>
        <v>#N/A</v>
      </c>
      <c r="E90" s="127" t="str">
        <f>IFERROR(VLOOKUP(Tabela8[[#This Row],[ID]],Tabela1[],4,0),"")</f>
        <v/>
      </c>
      <c r="F90" s="127" t="str">
        <f>IFERROR(VLOOKUP(Tabela8[[#This Row],[ID]],Tabela1[],5,0),"")</f>
        <v/>
      </c>
      <c r="G90" s="127" t="str">
        <f>IFERROR(VLOOKUP(Tabela8[[#This Row],[ID]],Tabela1[],6,0),"")</f>
        <v/>
      </c>
      <c r="H90" s="127" t="str">
        <f>IFERROR(VLOOKUP(Tabela8[[#This Row],[ID]],Tabela1[],7,0),"")</f>
        <v/>
      </c>
      <c r="I90" s="126"/>
      <c r="J90" s="126"/>
      <c r="K90" s="129" t="str">
        <f>IFERROR(VLOOKUP(Tabela8[[#This Row],[ID]],Tabela7[],11,0),"")</f>
        <v/>
      </c>
      <c r="L90" s="130" t="e">
        <f>Tabela8[[#This Row],[Latas a Pagar]]*Tabela9[VALOR LATA]</f>
        <v>#VALUE!</v>
      </c>
    </row>
    <row r="91" spans="2:12" hidden="1" x14ac:dyDescent="0.3">
      <c r="B91" s="127">
        <f>VALUE('CONTROLE DE PRODUÇÃO'!B89)</f>
        <v>0</v>
      </c>
      <c r="C91" s="128" t="str">
        <f>IFERROR(VLOOKUP(Tabela8[[#This Row],[ID]],Tabela7[],2,0),"")</f>
        <v/>
      </c>
      <c r="D91" s="128" t="e">
        <f>VLOOKUP(Tabela8[[#This Row],[ID]],Tabela1[],3,0)</f>
        <v>#N/A</v>
      </c>
      <c r="E91" s="127" t="str">
        <f>IFERROR(VLOOKUP(Tabela8[[#This Row],[ID]],Tabela1[],4,0),"")</f>
        <v/>
      </c>
      <c r="F91" s="127" t="str">
        <f>IFERROR(VLOOKUP(Tabela8[[#This Row],[ID]],Tabela1[],5,0),"")</f>
        <v/>
      </c>
      <c r="G91" s="127" t="str">
        <f>IFERROR(VLOOKUP(Tabela8[[#This Row],[ID]],Tabela1[],6,0),"")</f>
        <v/>
      </c>
      <c r="H91" s="127" t="str">
        <f>IFERROR(VLOOKUP(Tabela8[[#This Row],[ID]],Tabela1[],7,0),"")</f>
        <v/>
      </c>
      <c r="I91" s="126"/>
      <c r="J91" s="126"/>
      <c r="K91" s="129" t="str">
        <f>IFERROR(VLOOKUP(Tabela8[[#This Row],[ID]],Tabela7[],11,0),"")</f>
        <v/>
      </c>
      <c r="L91" s="130" t="e">
        <f>Tabela8[[#This Row],[Latas a Pagar]]*Tabela9[VALOR LATA]</f>
        <v>#VALUE!</v>
      </c>
    </row>
    <row r="92" spans="2:12" hidden="1" x14ac:dyDescent="0.3">
      <c r="B92" s="127">
        <f>VALUE('CONTROLE DE PRODUÇÃO'!B90)</f>
        <v>0</v>
      </c>
      <c r="C92" s="128" t="str">
        <f>IFERROR(VLOOKUP(Tabela8[[#This Row],[ID]],Tabela7[],2,0),"")</f>
        <v/>
      </c>
      <c r="D92" s="128" t="e">
        <f>VLOOKUP(Tabela8[[#This Row],[ID]],Tabela1[],3,0)</f>
        <v>#N/A</v>
      </c>
      <c r="E92" s="127" t="str">
        <f>IFERROR(VLOOKUP(Tabela8[[#This Row],[ID]],Tabela1[],4,0),"")</f>
        <v/>
      </c>
      <c r="F92" s="127" t="str">
        <f>IFERROR(VLOOKUP(Tabela8[[#This Row],[ID]],Tabela1[],5,0),"")</f>
        <v/>
      </c>
      <c r="G92" s="127" t="str">
        <f>IFERROR(VLOOKUP(Tabela8[[#This Row],[ID]],Tabela1[],6,0),"")</f>
        <v/>
      </c>
      <c r="H92" s="127" t="str">
        <f>IFERROR(VLOOKUP(Tabela8[[#This Row],[ID]],Tabela1[],7,0),"")</f>
        <v/>
      </c>
      <c r="I92" s="126"/>
      <c r="J92" s="126"/>
      <c r="K92" s="129" t="str">
        <f>IFERROR(VLOOKUP(Tabela8[[#This Row],[ID]],Tabela7[],11,0),"")</f>
        <v/>
      </c>
      <c r="L92" s="130" t="e">
        <f>Tabela8[[#This Row],[Latas a Pagar]]*Tabela9[VALOR LATA]</f>
        <v>#VALUE!</v>
      </c>
    </row>
    <row r="93" spans="2:12" hidden="1" x14ac:dyDescent="0.3">
      <c r="B93" s="127">
        <f>VALUE('CONTROLE DE PRODUÇÃO'!B91)</f>
        <v>0</v>
      </c>
      <c r="C93" s="128" t="str">
        <f>IFERROR(VLOOKUP(Tabela8[[#This Row],[ID]],Tabela7[],2,0),"")</f>
        <v/>
      </c>
      <c r="D93" s="128" t="e">
        <f>VLOOKUP(Tabela8[[#This Row],[ID]],Tabela1[],3,0)</f>
        <v>#N/A</v>
      </c>
      <c r="E93" s="127" t="str">
        <f>IFERROR(VLOOKUP(Tabela8[[#This Row],[ID]],Tabela1[],4,0),"")</f>
        <v/>
      </c>
      <c r="F93" s="127" t="str">
        <f>IFERROR(VLOOKUP(Tabela8[[#This Row],[ID]],Tabela1[],5,0),"")</f>
        <v/>
      </c>
      <c r="G93" s="127" t="str">
        <f>IFERROR(VLOOKUP(Tabela8[[#This Row],[ID]],Tabela1[],6,0),"")</f>
        <v/>
      </c>
      <c r="H93" s="127" t="str">
        <f>IFERROR(VLOOKUP(Tabela8[[#This Row],[ID]],Tabela1[],7,0),"")</f>
        <v/>
      </c>
      <c r="I93" s="126"/>
      <c r="J93" s="126"/>
      <c r="K93" s="129" t="str">
        <f>IFERROR(VLOOKUP(Tabela8[[#This Row],[ID]],Tabela7[],11,0),"")</f>
        <v/>
      </c>
      <c r="L93" s="130" t="e">
        <f>Tabela8[[#This Row],[Latas a Pagar]]*Tabela9[VALOR LATA]</f>
        <v>#VALUE!</v>
      </c>
    </row>
    <row r="94" spans="2:12" hidden="1" x14ac:dyDescent="0.3">
      <c r="B94" s="127">
        <f>VALUE('CONTROLE DE PRODUÇÃO'!B92)</f>
        <v>0</v>
      </c>
      <c r="C94" s="128" t="str">
        <f>IFERROR(VLOOKUP(Tabela8[[#This Row],[ID]],Tabela7[],2,0),"")</f>
        <v/>
      </c>
      <c r="D94" s="128" t="e">
        <f>VLOOKUP(Tabela8[[#This Row],[ID]],Tabela1[],3,0)</f>
        <v>#N/A</v>
      </c>
      <c r="E94" s="127" t="str">
        <f>IFERROR(VLOOKUP(Tabela8[[#This Row],[ID]],Tabela1[],4,0),"")</f>
        <v/>
      </c>
      <c r="F94" s="127" t="str">
        <f>IFERROR(VLOOKUP(Tabela8[[#This Row],[ID]],Tabela1[],5,0),"")</f>
        <v/>
      </c>
      <c r="G94" s="127" t="str">
        <f>IFERROR(VLOOKUP(Tabela8[[#This Row],[ID]],Tabela1[],6,0),"")</f>
        <v/>
      </c>
      <c r="H94" s="127" t="str">
        <f>IFERROR(VLOOKUP(Tabela8[[#This Row],[ID]],Tabela1[],7,0),"")</f>
        <v/>
      </c>
      <c r="I94" s="126"/>
      <c r="J94" s="126"/>
      <c r="K94" s="129" t="str">
        <f>IFERROR(VLOOKUP(Tabela8[[#This Row],[ID]],Tabela7[],11,0),"")</f>
        <v/>
      </c>
      <c r="L94" s="130" t="e">
        <f>Tabela8[[#This Row],[Latas a Pagar]]*Tabela9[VALOR LATA]</f>
        <v>#VALUE!</v>
      </c>
    </row>
    <row r="95" spans="2:12" hidden="1" x14ac:dyDescent="0.3">
      <c r="B95" s="127">
        <f>VALUE('CONTROLE DE PRODUÇÃO'!B93)</f>
        <v>0</v>
      </c>
      <c r="C95" s="128" t="str">
        <f>IFERROR(VLOOKUP(Tabela8[[#This Row],[ID]],Tabela7[],2,0),"")</f>
        <v/>
      </c>
      <c r="D95" s="128" t="e">
        <f>VLOOKUP(Tabela8[[#This Row],[ID]],Tabela1[],3,0)</f>
        <v>#N/A</v>
      </c>
      <c r="E95" s="127" t="str">
        <f>IFERROR(VLOOKUP(Tabela8[[#This Row],[ID]],Tabela1[],4,0),"")</f>
        <v/>
      </c>
      <c r="F95" s="127" t="str">
        <f>IFERROR(VLOOKUP(Tabela8[[#This Row],[ID]],Tabela1[],5,0),"")</f>
        <v/>
      </c>
      <c r="G95" s="127" t="str">
        <f>IFERROR(VLOOKUP(Tabela8[[#This Row],[ID]],Tabela1[],6,0),"")</f>
        <v/>
      </c>
      <c r="H95" s="127" t="str">
        <f>IFERROR(VLOOKUP(Tabela8[[#This Row],[ID]],Tabela1[],7,0),"")</f>
        <v/>
      </c>
      <c r="I95" s="126"/>
      <c r="J95" s="126"/>
      <c r="K95" s="129" t="str">
        <f>IFERROR(VLOOKUP(Tabela8[[#This Row],[ID]],Tabela7[],11,0),"")</f>
        <v/>
      </c>
      <c r="L95" s="130" t="e">
        <f>Tabela8[[#This Row],[Latas a Pagar]]*Tabela9[VALOR LATA]</f>
        <v>#VALUE!</v>
      </c>
    </row>
    <row r="96" spans="2:12" hidden="1" x14ac:dyDescent="0.3">
      <c r="B96" s="127">
        <f>VALUE('CONTROLE DE PRODUÇÃO'!B94)</f>
        <v>0</v>
      </c>
      <c r="C96" s="128" t="str">
        <f>IFERROR(VLOOKUP(Tabela8[[#This Row],[ID]],Tabela7[],2,0),"")</f>
        <v/>
      </c>
      <c r="D96" s="128" t="e">
        <f>VLOOKUP(Tabela8[[#This Row],[ID]],Tabela1[],3,0)</f>
        <v>#N/A</v>
      </c>
      <c r="E96" s="127" t="str">
        <f>IFERROR(VLOOKUP(Tabela8[[#This Row],[ID]],Tabela1[],4,0),"")</f>
        <v/>
      </c>
      <c r="F96" s="127" t="str">
        <f>IFERROR(VLOOKUP(Tabela8[[#This Row],[ID]],Tabela1[],5,0),"")</f>
        <v/>
      </c>
      <c r="G96" s="127" t="str">
        <f>IFERROR(VLOOKUP(Tabela8[[#This Row],[ID]],Tabela1[],6,0),"")</f>
        <v/>
      </c>
      <c r="H96" s="127" t="str">
        <f>IFERROR(VLOOKUP(Tabela8[[#This Row],[ID]],Tabela1[],7,0),"")</f>
        <v/>
      </c>
      <c r="I96" s="126"/>
      <c r="J96" s="126"/>
      <c r="K96" s="129" t="str">
        <f>IFERROR(VLOOKUP(Tabela8[[#This Row],[ID]],Tabela7[],11,0),"")</f>
        <v/>
      </c>
      <c r="L96" s="130" t="e">
        <f>Tabela8[[#This Row],[Latas a Pagar]]*Tabela9[VALOR LATA]</f>
        <v>#VALUE!</v>
      </c>
    </row>
    <row r="97" spans="2:12" hidden="1" x14ac:dyDescent="0.3">
      <c r="B97" s="127">
        <f>VALUE('CONTROLE DE PRODUÇÃO'!B95)</f>
        <v>0</v>
      </c>
      <c r="C97" s="128" t="str">
        <f>IFERROR(VLOOKUP(Tabela8[[#This Row],[ID]],Tabela7[],2,0),"")</f>
        <v/>
      </c>
      <c r="D97" s="128" t="e">
        <f>VLOOKUP(Tabela8[[#This Row],[ID]],Tabela1[],3,0)</f>
        <v>#N/A</v>
      </c>
      <c r="E97" s="127" t="str">
        <f>IFERROR(VLOOKUP(Tabela8[[#This Row],[ID]],Tabela1[],4,0),"")</f>
        <v/>
      </c>
      <c r="F97" s="127" t="str">
        <f>IFERROR(VLOOKUP(Tabela8[[#This Row],[ID]],Tabela1[],5,0),"")</f>
        <v/>
      </c>
      <c r="G97" s="127" t="str">
        <f>IFERROR(VLOOKUP(Tabela8[[#This Row],[ID]],Tabela1[],6,0),"")</f>
        <v/>
      </c>
      <c r="H97" s="127" t="str">
        <f>IFERROR(VLOOKUP(Tabela8[[#This Row],[ID]],Tabela1[],7,0),"")</f>
        <v/>
      </c>
      <c r="I97" s="126"/>
      <c r="J97" s="126"/>
      <c r="K97" s="129" t="str">
        <f>IFERROR(VLOOKUP(Tabela8[[#This Row],[ID]],Tabela7[],11,0),"")</f>
        <v/>
      </c>
      <c r="L97" s="130" t="e">
        <f>Tabela8[[#This Row],[Latas a Pagar]]*Tabela9[VALOR LATA]</f>
        <v>#VALUE!</v>
      </c>
    </row>
    <row r="98" spans="2:12" hidden="1" x14ac:dyDescent="0.3">
      <c r="B98" s="127">
        <f>VALUE('CONTROLE DE PRODUÇÃO'!B96)</f>
        <v>0</v>
      </c>
      <c r="C98" s="128" t="str">
        <f>IFERROR(VLOOKUP(Tabela8[[#This Row],[ID]],Tabela7[],2,0),"")</f>
        <v/>
      </c>
      <c r="D98" s="128" t="e">
        <f>VLOOKUP(Tabela8[[#This Row],[ID]],Tabela1[],3,0)</f>
        <v>#N/A</v>
      </c>
      <c r="E98" s="127" t="str">
        <f>IFERROR(VLOOKUP(Tabela8[[#This Row],[ID]],Tabela1[],4,0),"")</f>
        <v/>
      </c>
      <c r="F98" s="127" t="str">
        <f>IFERROR(VLOOKUP(Tabela8[[#This Row],[ID]],Tabela1[],5,0),"")</f>
        <v/>
      </c>
      <c r="G98" s="127" t="str">
        <f>IFERROR(VLOOKUP(Tabela8[[#This Row],[ID]],Tabela1[],6,0),"")</f>
        <v/>
      </c>
      <c r="H98" s="127" t="str">
        <f>IFERROR(VLOOKUP(Tabela8[[#This Row],[ID]],Tabela1[],7,0),"")</f>
        <v/>
      </c>
      <c r="I98" s="126"/>
      <c r="J98" s="126"/>
      <c r="K98" s="129" t="str">
        <f>IFERROR(VLOOKUP(Tabela8[[#This Row],[ID]],Tabela7[],11,0),"")</f>
        <v/>
      </c>
      <c r="L98" s="130" t="e">
        <f>Tabela8[[#This Row],[Latas a Pagar]]*Tabela9[VALOR LATA]</f>
        <v>#VALUE!</v>
      </c>
    </row>
    <row r="99" spans="2:12" hidden="1" x14ac:dyDescent="0.3">
      <c r="B99" s="127">
        <f>VALUE('CONTROLE DE PRODUÇÃO'!B97)</f>
        <v>0</v>
      </c>
      <c r="C99" s="128" t="str">
        <f>IFERROR(VLOOKUP(Tabela8[[#This Row],[ID]],Tabela7[],2,0),"")</f>
        <v/>
      </c>
      <c r="D99" s="128" t="e">
        <f>VLOOKUP(Tabela8[[#This Row],[ID]],Tabela1[],3,0)</f>
        <v>#N/A</v>
      </c>
      <c r="E99" s="127" t="str">
        <f>IFERROR(VLOOKUP(Tabela8[[#This Row],[ID]],Tabela1[],4,0),"")</f>
        <v/>
      </c>
      <c r="F99" s="127" t="str">
        <f>IFERROR(VLOOKUP(Tabela8[[#This Row],[ID]],Tabela1[],5,0),"")</f>
        <v/>
      </c>
      <c r="G99" s="127" t="str">
        <f>IFERROR(VLOOKUP(Tabela8[[#This Row],[ID]],Tabela1[],6,0),"")</f>
        <v/>
      </c>
      <c r="H99" s="127" t="str">
        <f>IFERROR(VLOOKUP(Tabela8[[#This Row],[ID]],Tabela1[],7,0),"")</f>
        <v/>
      </c>
      <c r="I99" s="126"/>
      <c r="J99" s="126"/>
      <c r="K99" s="129" t="str">
        <f>IFERROR(VLOOKUP(Tabela8[[#This Row],[ID]],Tabela7[],11,0),"")</f>
        <v/>
      </c>
      <c r="L99" s="130" t="e">
        <f>Tabela8[[#This Row],[Latas a Pagar]]*Tabela9[VALOR LATA]</f>
        <v>#VALUE!</v>
      </c>
    </row>
    <row r="100" spans="2:12" hidden="1" x14ac:dyDescent="0.3">
      <c r="B100" s="127">
        <f>VALUE('CONTROLE DE PRODUÇÃO'!B98)</f>
        <v>0</v>
      </c>
      <c r="C100" s="128" t="str">
        <f>IFERROR(VLOOKUP(Tabela8[[#This Row],[ID]],Tabela7[],2,0),"")</f>
        <v/>
      </c>
      <c r="D100" s="128" t="e">
        <f>VLOOKUP(Tabela8[[#This Row],[ID]],Tabela1[],3,0)</f>
        <v>#N/A</v>
      </c>
      <c r="E100" s="127" t="str">
        <f>IFERROR(VLOOKUP(Tabela8[[#This Row],[ID]],Tabela1[],4,0),"")</f>
        <v/>
      </c>
      <c r="F100" s="127" t="str">
        <f>IFERROR(VLOOKUP(Tabela8[[#This Row],[ID]],Tabela1[],5,0),"")</f>
        <v/>
      </c>
      <c r="G100" s="127" t="str">
        <f>IFERROR(VLOOKUP(Tabela8[[#This Row],[ID]],Tabela1[],6,0),"")</f>
        <v/>
      </c>
      <c r="H100" s="127" t="str">
        <f>IFERROR(VLOOKUP(Tabela8[[#This Row],[ID]],Tabela1[],7,0),"")</f>
        <v/>
      </c>
      <c r="I100" s="126"/>
      <c r="J100" s="126"/>
      <c r="K100" s="129" t="str">
        <f>IFERROR(VLOOKUP(Tabela8[[#This Row],[ID]],Tabela7[],11,0),"")</f>
        <v/>
      </c>
      <c r="L100" s="130" t="e">
        <f>Tabela8[[#This Row],[Latas a Pagar]]*Tabela9[VALOR LATA]</f>
        <v>#VALUE!</v>
      </c>
    </row>
    <row r="101" spans="2:12" hidden="1" x14ac:dyDescent="0.3">
      <c r="B101" s="127">
        <f>VALUE('CONTROLE DE PRODUÇÃO'!B99)</f>
        <v>0</v>
      </c>
      <c r="C101" s="128" t="str">
        <f>IFERROR(VLOOKUP(Tabela8[[#This Row],[ID]],Tabela7[],2,0),"")</f>
        <v/>
      </c>
      <c r="D101" s="128" t="e">
        <f>VLOOKUP(Tabela8[[#This Row],[ID]],Tabela1[],3,0)</f>
        <v>#N/A</v>
      </c>
      <c r="E101" s="127" t="str">
        <f>IFERROR(VLOOKUP(Tabela8[[#This Row],[ID]],Tabela1[],4,0),"")</f>
        <v/>
      </c>
      <c r="F101" s="127" t="str">
        <f>IFERROR(VLOOKUP(Tabela8[[#This Row],[ID]],Tabela1[],5,0),"")</f>
        <v/>
      </c>
      <c r="G101" s="127" t="str">
        <f>IFERROR(VLOOKUP(Tabela8[[#This Row],[ID]],Tabela1[],6,0),"")</f>
        <v/>
      </c>
      <c r="H101" s="127" t="str">
        <f>IFERROR(VLOOKUP(Tabela8[[#This Row],[ID]],Tabela1[],7,0),"")</f>
        <v/>
      </c>
      <c r="I101" s="126"/>
      <c r="J101" s="126"/>
      <c r="K101" s="129" t="str">
        <f>IFERROR(VLOOKUP(Tabela8[[#This Row],[ID]],Tabela7[],11,0),"")</f>
        <v/>
      </c>
      <c r="L101" s="130" t="e">
        <f>Tabela8[[#This Row],[Latas a Pagar]]*Tabela9[VALOR LATA]</f>
        <v>#VALUE!</v>
      </c>
    </row>
    <row r="102" spans="2:12" hidden="1" x14ac:dyDescent="0.3">
      <c r="B102" s="127">
        <f>VALUE('CONTROLE DE PRODUÇÃO'!B100)</f>
        <v>0</v>
      </c>
      <c r="C102" s="128" t="str">
        <f>IFERROR(VLOOKUP(Tabela8[[#This Row],[ID]],Tabela7[],2,0),"")</f>
        <v/>
      </c>
      <c r="D102" s="128" t="e">
        <f>VLOOKUP(Tabela8[[#This Row],[ID]],Tabela1[],3,0)</f>
        <v>#N/A</v>
      </c>
      <c r="E102" s="127" t="str">
        <f>IFERROR(VLOOKUP(Tabela8[[#This Row],[ID]],Tabela1[],4,0),"")</f>
        <v/>
      </c>
      <c r="F102" s="127" t="str">
        <f>IFERROR(VLOOKUP(Tabela8[[#This Row],[ID]],Tabela1[],5,0),"")</f>
        <v/>
      </c>
      <c r="G102" s="127" t="str">
        <f>IFERROR(VLOOKUP(Tabela8[[#This Row],[ID]],Tabela1[],6,0),"")</f>
        <v/>
      </c>
      <c r="H102" s="127" t="str">
        <f>IFERROR(VLOOKUP(Tabela8[[#This Row],[ID]],Tabela1[],7,0),"")</f>
        <v/>
      </c>
      <c r="I102" s="126"/>
      <c r="J102" s="126"/>
      <c r="K102" s="129" t="str">
        <f>IFERROR(VLOOKUP(Tabela8[[#This Row],[ID]],Tabela7[],11,0),"")</f>
        <v/>
      </c>
      <c r="L102" s="130" t="e">
        <f>Tabela8[[#This Row],[Latas a Pagar]]*Tabela9[VALOR LATA]</f>
        <v>#VALUE!</v>
      </c>
    </row>
    <row r="103" spans="2:12" hidden="1" x14ac:dyDescent="0.3">
      <c r="B103" s="127">
        <f>VALUE('CONTROLE DE PRODUÇÃO'!B101)</f>
        <v>0</v>
      </c>
      <c r="C103" s="128" t="str">
        <f>IFERROR(VLOOKUP(Tabela8[[#This Row],[ID]],Tabela7[],2,0),"")</f>
        <v/>
      </c>
      <c r="D103" s="128" t="e">
        <f>VLOOKUP(Tabela8[[#This Row],[ID]],Tabela1[],3,0)</f>
        <v>#N/A</v>
      </c>
      <c r="E103" s="127" t="str">
        <f>IFERROR(VLOOKUP(Tabela8[[#This Row],[ID]],Tabela1[],4,0),"")</f>
        <v/>
      </c>
      <c r="F103" s="127" t="str">
        <f>IFERROR(VLOOKUP(Tabela8[[#This Row],[ID]],Tabela1[],5,0),"")</f>
        <v/>
      </c>
      <c r="G103" s="127" t="str">
        <f>IFERROR(VLOOKUP(Tabela8[[#This Row],[ID]],Tabela1[],6,0),"")</f>
        <v/>
      </c>
      <c r="H103" s="127" t="str">
        <f>IFERROR(VLOOKUP(Tabela8[[#This Row],[ID]],Tabela1[],7,0),"")</f>
        <v/>
      </c>
      <c r="I103" s="126"/>
      <c r="J103" s="126"/>
      <c r="K103" s="129" t="str">
        <f>IFERROR(VLOOKUP(Tabela8[[#This Row],[ID]],Tabela7[],11,0),"")</f>
        <v/>
      </c>
      <c r="L103" s="130" t="e">
        <f>Tabela8[[#This Row],[Latas a Pagar]]*Tabela9[VALOR LATA]</f>
        <v>#VALUE!</v>
      </c>
    </row>
    <row r="104" spans="2:12" hidden="1" x14ac:dyDescent="0.3">
      <c r="B104" s="127">
        <f>VALUE('CONTROLE DE PRODUÇÃO'!B102)</f>
        <v>0</v>
      </c>
      <c r="C104" s="128" t="str">
        <f>IFERROR(VLOOKUP(Tabela8[[#This Row],[ID]],Tabela7[],2,0),"")</f>
        <v/>
      </c>
      <c r="D104" s="128" t="e">
        <f>VLOOKUP(Tabela8[[#This Row],[ID]],Tabela1[],3,0)</f>
        <v>#N/A</v>
      </c>
      <c r="E104" s="127" t="str">
        <f>IFERROR(VLOOKUP(Tabela8[[#This Row],[ID]],Tabela1[],4,0),"")</f>
        <v/>
      </c>
      <c r="F104" s="127" t="str">
        <f>IFERROR(VLOOKUP(Tabela8[[#This Row],[ID]],Tabela1[],5,0),"")</f>
        <v/>
      </c>
      <c r="G104" s="127" t="str">
        <f>IFERROR(VLOOKUP(Tabela8[[#This Row],[ID]],Tabela1[],6,0),"")</f>
        <v/>
      </c>
      <c r="H104" s="127" t="str">
        <f>IFERROR(VLOOKUP(Tabela8[[#This Row],[ID]],Tabela1[],7,0),"")</f>
        <v/>
      </c>
      <c r="I104" s="126"/>
      <c r="J104" s="126"/>
      <c r="K104" s="129" t="str">
        <f>IFERROR(VLOOKUP(Tabela8[[#This Row],[ID]],Tabela7[],11,0),"")</f>
        <v/>
      </c>
      <c r="L104" s="130" t="e">
        <f>Tabela8[[#This Row],[Latas a Pagar]]*Tabela9[VALOR LATA]</f>
        <v>#VALUE!</v>
      </c>
    </row>
    <row r="105" spans="2:12" hidden="1" x14ac:dyDescent="0.3">
      <c r="B105" s="127">
        <f>VALUE('CONTROLE DE PRODUÇÃO'!B103)</f>
        <v>0</v>
      </c>
      <c r="C105" s="128" t="str">
        <f>IFERROR(VLOOKUP(Tabela8[[#This Row],[ID]],Tabela7[],2,0),"")</f>
        <v/>
      </c>
      <c r="D105" s="128" t="e">
        <f>VLOOKUP(Tabela8[[#This Row],[ID]],Tabela1[],3,0)</f>
        <v>#N/A</v>
      </c>
      <c r="E105" s="127" t="str">
        <f>IFERROR(VLOOKUP(Tabela8[[#This Row],[ID]],Tabela1[],4,0),"")</f>
        <v/>
      </c>
      <c r="F105" s="127" t="str">
        <f>IFERROR(VLOOKUP(Tabela8[[#This Row],[ID]],Tabela1[],5,0),"")</f>
        <v/>
      </c>
      <c r="G105" s="127" t="str">
        <f>IFERROR(VLOOKUP(Tabela8[[#This Row],[ID]],Tabela1[],6,0),"")</f>
        <v/>
      </c>
      <c r="H105" s="127" t="str">
        <f>IFERROR(VLOOKUP(Tabela8[[#This Row],[ID]],Tabela1[],7,0),"")</f>
        <v/>
      </c>
      <c r="I105" s="126"/>
      <c r="J105" s="126"/>
      <c r="K105" s="129" t="str">
        <f>IFERROR(VLOOKUP(Tabela8[[#This Row],[ID]],Tabela7[],11,0),"")</f>
        <v/>
      </c>
      <c r="L105" s="130" t="e">
        <f>Tabela8[[#This Row],[Latas a Pagar]]*Tabela9[VALOR LATA]</f>
        <v>#VALUE!</v>
      </c>
    </row>
    <row r="106" spans="2:12" hidden="1" x14ac:dyDescent="0.3">
      <c r="B106" s="127">
        <f>VALUE('CONTROLE DE PRODUÇÃO'!B104)</f>
        <v>0</v>
      </c>
      <c r="C106" s="128" t="str">
        <f>IFERROR(VLOOKUP(Tabela8[[#This Row],[ID]],Tabela7[],2,0),"")</f>
        <v/>
      </c>
      <c r="D106" s="128" t="e">
        <f>VLOOKUP(Tabela8[[#This Row],[ID]],Tabela1[],3,0)</f>
        <v>#N/A</v>
      </c>
      <c r="E106" s="127" t="str">
        <f>IFERROR(VLOOKUP(Tabela8[[#This Row],[ID]],Tabela1[],4,0),"")</f>
        <v/>
      </c>
      <c r="F106" s="127" t="str">
        <f>IFERROR(VLOOKUP(Tabela8[[#This Row],[ID]],Tabela1[],5,0),"")</f>
        <v/>
      </c>
      <c r="G106" s="127" t="str">
        <f>IFERROR(VLOOKUP(Tabela8[[#This Row],[ID]],Tabela1[],6,0),"")</f>
        <v/>
      </c>
      <c r="H106" s="127" t="str">
        <f>IFERROR(VLOOKUP(Tabela8[[#This Row],[ID]],Tabela1[],7,0),"")</f>
        <v/>
      </c>
      <c r="I106" s="126"/>
      <c r="J106" s="126"/>
      <c r="K106" s="129" t="str">
        <f>IFERROR(VLOOKUP(Tabela8[[#This Row],[ID]],Tabela7[],11,0),"")</f>
        <v/>
      </c>
      <c r="L106" s="130" t="e">
        <f>Tabela8[[#This Row],[Latas a Pagar]]*Tabela9[VALOR LATA]</f>
        <v>#VALUE!</v>
      </c>
    </row>
    <row r="107" spans="2:12" hidden="1" x14ac:dyDescent="0.3">
      <c r="B107" s="127">
        <f>VALUE('CONTROLE DE PRODUÇÃO'!B105)</f>
        <v>0</v>
      </c>
      <c r="C107" s="128" t="str">
        <f>IFERROR(VLOOKUP(Tabela8[[#This Row],[ID]],Tabela7[],2,0),"")</f>
        <v/>
      </c>
      <c r="D107" s="128" t="e">
        <f>VLOOKUP(Tabela8[[#This Row],[ID]],Tabela1[],3,0)</f>
        <v>#N/A</v>
      </c>
      <c r="E107" s="127" t="str">
        <f>IFERROR(VLOOKUP(Tabela8[[#This Row],[ID]],Tabela1[],4,0),"")</f>
        <v/>
      </c>
      <c r="F107" s="127" t="str">
        <f>IFERROR(VLOOKUP(Tabela8[[#This Row],[ID]],Tabela1[],5,0),"")</f>
        <v/>
      </c>
      <c r="G107" s="127" t="str">
        <f>IFERROR(VLOOKUP(Tabela8[[#This Row],[ID]],Tabela1[],6,0),"")</f>
        <v/>
      </c>
      <c r="H107" s="127" t="str">
        <f>IFERROR(VLOOKUP(Tabela8[[#This Row],[ID]],Tabela1[],7,0),"")</f>
        <v/>
      </c>
      <c r="I107" s="126"/>
      <c r="J107" s="126"/>
      <c r="K107" s="129" t="str">
        <f>IFERROR(VLOOKUP(Tabela8[[#This Row],[ID]],Tabela7[],11,0),"")</f>
        <v/>
      </c>
      <c r="L107" s="130" t="e">
        <f>Tabela8[[#This Row],[Latas a Pagar]]*Tabela9[VALOR LATA]</f>
        <v>#VALUE!</v>
      </c>
    </row>
    <row r="108" spans="2:12" hidden="1" x14ac:dyDescent="0.3">
      <c r="B108" s="127">
        <f>VALUE('CONTROLE DE PRODUÇÃO'!B106)</f>
        <v>0</v>
      </c>
      <c r="C108" s="128" t="str">
        <f>IFERROR(VLOOKUP(Tabela8[[#This Row],[ID]],Tabela7[],2,0),"")</f>
        <v/>
      </c>
      <c r="D108" s="128" t="e">
        <f>VLOOKUP(Tabela8[[#This Row],[ID]],Tabela1[],3,0)</f>
        <v>#N/A</v>
      </c>
      <c r="E108" s="127" t="str">
        <f>IFERROR(VLOOKUP(Tabela8[[#This Row],[ID]],Tabela1[],4,0),"")</f>
        <v/>
      </c>
      <c r="F108" s="127" t="str">
        <f>IFERROR(VLOOKUP(Tabela8[[#This Row],[ID]],Tabela1[],5,0),"")</f>
        <v/>
      </c>
      <c r="G108" s="127" t="str">
        <f>IFERROR(VLOOKUP(Tabela8[[#This Row],[ID]],Tabela1[],6,0),"")</f>
        <v/>
      </c>
      <c r="H108" s="127" t="str">
        <f>IFERROR(VLOOKUP(Tabela8[[#This Row],[ID]],Tabela1[],7,0),"")</f>
        <v/>
      </c>
      <c r="I108" s="126"/>
      <c r="J108" s="126"/>
      <c r="K108" s="129" t="str">
        <f>IFERROR(VLOOKUP(Tabela8[[#This Row],[ID]],Tabela7[],11,0),"")</f>
        <v/>
      </c>
      <c r="L108" s="130" t="e">
        <f>Tabela8[[#This Row],[Latas a Pagar]]*Tabela9[VALOR LATA]</f>
        <v>#VALUE!</v>
      </c>
    </row>
    <row r="109" spans="2:12" hidden="1" x14ac:dyDescent="0.3">
      <c r="B109" s="127">
        <f>VALUE('CONTROLE DE PRODUÇÃO'!B107)</f>
        <v>0</v>
      </c>
      <c r="C109" s="128" t="str">
        <f>IFERROR(VLOOKUP(Tabela8[[#This Row],[ID]],Tabela7[],2,0),"")</f>
        <v/>
      </c>
      <c r="D109" s="128" t="e">
        <f>VLOOKUP(Tabela8[[#This Row],[ID]],Tabela1[],3,0)</f>
        <v>#N/A</v>
      </c>
      <c r="E109" s="127" t="str">
        <f>IFERROR(VLOOKUP(Tabela8[[#This Row],[ID]],Tabela1[],4,0),"")</f>
        <v/>
      </c>
      <c r="F109" s="127" t="str">
        <f>IFERROR(VLOOKUP(Tabela8[[#This Row],[ID]],Tabela1[],5,0),"")</f>
        <v/>
      </c>
      <c r="G109" s="127" t="str">
        <f>IFERROR(VLOOKUP(Tabela8[[#This Row],[ID]],Tabela1[],6,0),"")</f>
        <v/>
      </c>
      <c r="H109" s="127" t="str">
        <f>IFERROR(VLOOKUP(Tabela8[[#This Row],[ID]],Tabela1[],7,0),"")</f>
        <v/>
      </c>
      <c r="I109" s="126"/>
      <c r="J109" s="126"/>
      <c r="K109" s="129" t="str">
        <f>IFERROR(VLOOKUP(Tabela8[[#This Row],[ID]],Tabela7[],11,0),"")</f>
        <v/>
      </c>
      <c r="L109" s="130" t="e">
        <f>Tabela8[[#This Row],[Latas a Pagar]]*Tabela9[VALOR LATA]</f>
        <v>#VALUE!</v>
      </c>
    </row>
    <row r="110" spans="2:12" hidden="1" x14ac:dyDescent="0.3">
      <c r="B110" s="127">
        <f>VALUE('CONTROLE DE PRODUÇÃO'!B108)</f>
        <v>0</v>
      </c>
      <c r="C110" s="128" t="str">
        <f>IFERROR(VLOOKUP(Tabela8[[#This Row],[ID]],Tabela7[],2,0),"")</f>
        <v/>
      </c>
      <c r="D110" s="128" t="e">
        <f>VLOOKUP(Tabela8[[#This Row],[ID]],Tabela1[],3,0)</f>
        <v>#N/A</v>
      </c>
      <c r="E110" s="127" t="str">
        <f>IFERROR(VLOOKUP(Tabela8[[#This Row],[ID]],Tabela1[],4,0),"")</f>
        <v/>
      </c>
      <c r="F110" s="127" t="str">
        <f>IFERROR(VLOOKUP(Tabela8[[#This Row],[ID]],Tabela1[],5,0),"")</f>
        <v/>
      </c>
      <c r="G110" s="127" t="str">
        <f>IFERROR(VLOOKUP(Tabela8[[#This Row],[ID]],Tabela1[],6,0),"")</f>
        <v/>
      </c>
      <c r="H110" s="127" t="str">
        <f>IFERROR(VLOOKUP(Tabela8[[#This Row],[ID]],Tabela1[],7,0),"")</f>
        <v/>
      </c>
      <c r="I110" s="126"/>
      <c r="J110" s="126"/>
      <c r="K110" s="129" t="str">
        <f>IFERROR(VLOOKUP(Tabela8[[#This Row],[ID]],Tabela7[],11,0),"")</f>
        <v/>
      </c>
      <c r="L110" s="130" t="e">
        <f>Tabela8[[#This Row],[Latas a Pagar]]*Tabela9[VALOR LATA]</f>
        <v>#VALUE!</v>
      </c>
    </row>
    <row r="111" spans="2:12" hidden="1" x14ac:dyDescent="0.3">
      <c r="B111" s="127">
        <f>VALUE('CONTROLE DE PRODUÇÃO'!B109)</f>
        <v>0</v>
      </c>
      <c r="C111" s="128" t="str">
        <f>IFERROR(VLOOKUP(Tabela8[[#This Row],[ID]],Tabela7[],2,0),"")</f>
        <v/>
      </c>
      <c r="D111" s="128" t="e">
        <f>VLOOKUP(Tabela8[[#This Row],[ID]],Tabela1[],3,0)</f>
        <v>#N/A</v>
      </c>
      <c r="E111" s="127" t="str">
        <f>IFERROR(VLOOKUP(Tabela8[[#This Row],[ID]],Tabela1[],4,0),"")</f>
        <v/>
      </c>
      <c r="F111" s="127" t="str">
        <f>IFERROR(VLOOKUP(Tabela8[[#This Row],[ID]],Tabela1[],5,0),"")</f>
        <v/>
      </c>
      <c r="G111" s="127" t="str">
        <f>IFERROR(VLOOKUP(Tabela8[[#This Row],[ID]],Tabela1[],6,0),"")</f>
        <v/>
      </c>
      <c r="H111" s="127" t="str">
        <f>IFERROR(VLOOKUP(Tabela8[[#This Row],[ID]],Tabela1[],7,0),"")</f>
        <v/>
      </c>
      <c r="I111" s="126"/>
      <c r="J111" s="126"/>
      <c r="K111" s="129" t="str">
        <f>IFERROR(VLOOKUP(Tabela8[[#This Row],[ID]],Tabela7[],11,0),"")</f>
        <v/>
      </c>
      <c r="L111" s="130" t="e">
        <f>Tabela8[[#This Row],[Latas a Pagar]]*Tabela9[VALOR LATA]</f>
        <v>#VALUE!</v>
      </c>
    </row>
    <row r="112" spans="2:12" hidden="1" x14ac:dyDescent="0.3">
      <c r="B112" s="127">
        <f>VALUE('CONTROLE DE PRODUÇÃO'!B110)</f>
        <v>0</v>
      </c>
      <c r="C112" s="128" t="str">
        <f>IFERROR(VLOOKUP(Tabela8[[#This Row],[ID]],Tabela7[],2,0),"")</f>
        <v/>
      </c>
      <c r="D112" s="128" t="e">
        <f>VLOOKUP(Tabela8[[#This Row],[ID]],Tabela1[],3,0)</f>
        <v>#N/A</v>
      </c>
      <c r="E112" s="127" t="str">
        <f>IFERROR(VLOOKUP(Tabela8[[#This Row],[ID]],Tabela1[],4,0),"")</f>
        <v/>
      </c>
      <c r="F112" s="127" t="str">
        <f>IFERROR(VLOOKUP(Tabela8[[#This Row],[ID]],Tabela1[],5,0),"")</f>
        <v/>
      </c>
      <c r="G112" s="127" t="str">
        <f>IFERROR(VLOOKUP(Tabela8[[#This Row],[ID]],Tabela1[],6,0),"")</f>
        <v/>
      </c>
      <c r="H112" s="127" t="str">
        <f>IFERROR(VLOOKUP(Tabela8[[#This Row],[ID]],Tabela1[],7,0),"")</f>
        <v/>
      </c>
      <c r="I112" s="126"/>
      <c r="J112" s="126"/>
      <c r="K112" s="129" t="str">
        <f>IFERROR(VLOOKUP(Tabela8[[#This Row],[ID]],Tabela7[],11,0),"")</f>
        <v/>
      </c>
      <c r="L112" s="130" t="e">
        <f>Tabela8[[#This Row],[Latas a Pagar]]*Tabela9[VALOR LATA]</f>
        <v>#VALUE!</v>
      </c>
    </row>
    <row r="113" spans="2:12" hidden="1" x14ac:dyDescent="0.3">
      <c r="B113" s="127">
        <f>VALUE('CONTROLE DE PRODUÇÃO'!B111)</f>
        <v>0</v>
      </c>
      <c r="C113" s="128" t="str">
        <f>IFERROR(VLOOKUP(Tabela8[[#This Row],[ID]],Tabela7[],2,0),"")</f>
        <v/>
      </c>
      <c r="D113" s="128" t="e">
        <f>VLOOKUP(Tabela8[[#This Row],[ID]],Tabela1[],3,0)</f>
        <v>#N/A</v>
      </c>
      <c r="E113" s="127" t="str">
        <f>IFERROR(VLOOKUP(Tabela8[[#This Row],[ID]],Tabela1[],4,0),"")</f>
        <v/>
      </c>
      <c r="F113" s="127" t="str">
        <f>IFERROR(VLOOKUP(Tabela8[[#This Row],[ID]],Tabela1[],5,0),"")</f>
        <v/>
      </c>
      <c r="G113" s="127" t="str">
        <f>IFERROR(VLOOKUP(Tabela8[[#This Row],[ID]],Tabela1[],6,0),"")</f>
        <v/>
      </c>
      <c r="H113" s="127" t="str">
        <f>IFERROR(VLOOKUP(Tabela8[[#This Row],[ID]],Tabela1[],7,0),"")</f>
        <v/>
      </c>
      <c r="I113" s="126"/>
      <c r="J113" s="126"/>
      <c r="K113" s="129" t="str">
        <f>IFERROR(VLOOKUP(Tabela8[[#This Row],[ID]],Tabela7[],11,0),"")</f>
        <v/>
      </c>
      <c r="L113" s="130" t="e">
        <f>Tabela8[[#This Row],[Latas a Pagar]]*Tabela9[VALOR LATA]</f>
        <v>#VALUE!</v>
      </c>
    </row>
    <row r="114" spans="2:12" hidden="1" x14ac:dyDescent="0.3">
      <c r="B114" s="127">
        <f>VALUE('CONTROLE DE PRODUÇÃO'!B112)</f>
        <v>0</v>
      </c>
      <c r="C114" s="128" t="str">
        <f>IFERROR(VLOOKUP(Tabela8[[#This Row],[ID]],Tabela7[],2,0),"")</f>
        <v/>
      </c>
      <c r="D114" s="128" t="e">
        <f>VLOOKUP(Tabela8[[#This Row],[ID]],Tabela1[],3,0)</f>
        <v>#N/A</v>
      </c>
      <c r="E114" s="127" t="str">
        <f>IFERROR(VLOOKUP(Tabela8[[#This Row],[ID]],Tabela1[],4,0),"")</f>
        <v/>
      </c>
      <c r="F114" s="127" t="str">
        <f>IFERROR(VLOOKUP(Tabela8[[#This Row],[ID]],Tabela1[],5,0),"")</f>
        <v/>
      </c>
      <c r="G114" s="127" t="str">
        <f>IFERROR(VLOOKUP(Tabela8[[#This Row],[ID]],Tabela1[],6,0),"")</f>
        <v/>
      </c>
      <c r="H114" s="127" t="str">
        <f>IFERROR(VLOOKUP(Tabela8[[#This Row],[ID]],Tabela1[],7,0),"")</f>
        <v/>
      </c>
      <c r="I114" s="126"/>
      <c r="J114" s="126"/>
      <c r="K114" s="129" t="str">
        <f>IFERROR(VLOOKUP(Tabela8[[#This Row],[ID]],Tabela7[],11,0),"")</f>
        <v/>
      </c>
      <c r="L114" s="130" t="e">
        <f>Tabela8[[#This Row],[Latas a Pagar]]*Tabela9[VALOR LATA]</f>
        <v>#VALUE!</v>
      </c>
    </row>
    <row r="115" spans="2:12" hidden="1" x14ac:dyDescent="0.3">
      <c r="B115" s="127">
        <f>VALUE('CONTROLE DE PRODUÇÃO'!B113)</f>
        <v>0</v>
      </c>
      <c r="C115" s="128" t="str">
        <f>IFERROR(VLOOKUP(Tabela8[[#This Row],[ID]],Tabela7[],2,0),"")</f>
        <v/>
      </c>
      <c r="D115" s="128" t="e">
        <f>VLOOKUP(Tabela8[[#This Row],[ID]],Tabela1[],3,0)</f>
        <v>#N/A</v>
      </c>
      <c r="E115" s="127" t="str">
        <f>IFERROR(VLOOKUP(Tabela8[[#This Row],[ID]],Tabela1[],4,0),"")</f>
        <v/>
      </c>
      <c r="F115" s="127" t="str">
        <f>IFERROR(VLOOKUP(Tabela8[[#This Row],[ID]],Tabela1[],5,0),"")</f>
        <v/>
      </c>
      <c r="G115" s="127" t="str">
        <f>IFERROR(VLOOKUP(Tabela8[[#This Row],[ID]],Tabela1[],6,0),"")</f>
        <v/>
      </c>
      <c r="H115" s="127" t="str">
        <f>IFERROR(VLOOKUP(Tabela8[[#This Row],[ID]],Tabela1[],7,0),"")</f>
        <v/>
      </c>
      <c r="I115" s="126"/>
      <c r="J115" s="126"/>
      <c r="K115" s="129" t="str">
        <f>IFERROR(VLOOKUP(Tabela8[[#This Row],[ID]],Tabela7[],11,0),"")</f>
        <v/>
      </c>
      <c r="L115" s="130" t="e">
        <f>Tabela8[[#This Row],[Latas a Pagar]]*Tabela9[VALOR LATA]</f>
        <v>#VALUE!</v>
      </c>
    </row>
    <row r="116" spans="2:12" hidden="1" x14ac:dyDescent="0.3">
      <c r="B116" s="127">
        <f>VALUE('CONTROLE DE PRODUÇÃO'!B114)</f>
        <v>0</v>
      </c>
      <c r="C116" s="128" t="str">
        <f>IFERROR(VLOOKUP(Tabela8[[#This Row],[ID]],Tabela7[],2,0),"")</f>
        <v/>
      </c>
      <c r="D116" s="128" t="e">
        <f>VLOOKUP(Tabela8[[#This Row],[ID]],Tabela1[],3,0)</f>
        <v>#N/A</v>
      </c>
      <c r="E116" s="127" t="str">
        <f>IFERROR(VLOOKUP(Tabela8[[#This Row],[ID]],Tabela1[],4,0),"")</f>
        <v/>
      </c>
      <c r="F116" s="127" t="str">
        <f>IFERROR(VLOOKUP(Tabela8[[#This Row],[ID]],Tabela1[],5,0),"")</f>
        <v/>
      </c>
      <c r="G116" s="127" t="str">
        <f>IFERROR(VLOOKUP(Tabela8[[#This Row],[ID]],Tabela1[],6,0),"")</f>
        <v/>
      </c>
      <c r="H116" s="127" t="str">
        <f>IFERROR(VLOOKUP(Tabela8[[#This Row],[ID]],Tabela1[],7,0),"")</f>
        <v/>
      </c>
      <c r="I116" s="126"/>
      <c r="J116" s="126"/>
      <c r="K116" s="129" t="str">
        <f>IFERROR(VLOOKUP(Tabela8[[#This Row],[ID]],Tabela7[],11,0),"")</f>
        <v/>
      </c>
      <c r="L116" s="130" t="e">
        <f>Tabela8[[#This Row],[Latas a Pagar]]*Tabela9[VALOR LATA]</f>
        <v>#VALUE!</v>
      </c>
    </row>
    <row r="117" spans="2:12" hidden="1" x14ac:dyDescent="0.3">
      <c r="B117" s="127">
        <f>VALUE('CONTROLE DE PRODUÇÃO'!B115)</f>
        <v>0</v>
      </c>
      <c r="C117" s="128" t="str">
        <f>IFERROR(VLOOKUP(Tabela8[[#This Row],[ID]],Tabela7[],2,0),"")</f>
        <v/>
      </c>
      <c r="D117" s="128" t="e">
        <f>VLOOKUP(Tabela8[[#This Row],[ID]],Tabela1[],3,0)</f>
        <v>#N/A</v>
      </c>
      <c r="E117" s="127" t="str">
        <f>IFERROR(VLOOKUP(Tabela8[[#This Row],[ID]],Tabela1[],4,0),"")</f>
        <v/>
      </c>
      <c r="F117" s="127" t="str">
        <f>IFERROR(VLOOKUP(Tabela8[[#This Row],[ID]],Tabela1[],5,0),"")</f>
        <v/>
      </c>
      <c r="G117" s="127" t="str">
        <f>IFERROR(VLOOKUP(Tabela8[[#This Row],[ID]],Tabela1[],6,0),"")</f>
        <v/>
      </c>
      <c r="H117" s="127" t="str">
        <f>IFERROR(VLOOKUP(Tabela8[[#This Row],[ID]],Tabela1[],7,0),"")</f>
        <v/>
      </c>
      <c r="I117" s="126"/>
      <c r="J117" s="126"/>
      <c r="K117" s="129" t="str">
        <f>IFERROR(VLOOKUP(Tabela8[[#This Row],[ID]],Tabela7[],11,0),"")</f>
        <v/>
      </c>
      <c r="L117" s="130" t="e">
        <f>Tabela8[[#This Row],[Latas a Pagar]]*Tabela9[VALOR LATA]</f>
        <v>#VALUE!</v>
      </c>
    </row>
    <row r="118" spans="2:12" hidden="1" x14ac:dyDescent="0.3">
      <c r="B118" s="127">
        <f>VALUE('CONTROLE DE PRODUÇÃO'!B116)</f>
        <v>0</v>
      </c>
      <c r="C118" s="128" t="str">
        <f>IFERROR(VLOOKUP(Tabela8[[#This Row],[ID]],Tabela7[],2,0),"")</f>
        <v/>
      </c>
      <c r="D118" s="128" t="e">
        <f>VLOOKUP(Tabela8[[#This Row],[ID]],Tabela1[],3,0)</f>
        <v>#N/A</v>
      </c>
      <c r="E118" s="127" t="str">
        <f>IFERROR(VLOOKUP(Tabela8[[#This Row],[ID]],Tabela1[],4,0),"")</f>
        <v/>
      </c>
      <c r="F118" s="127" t="str">
        <f>IFERROR(VLOOKUP(Tabela8[[#This Row],[ID]],Tabela1[],5,0),"")</f>
        <v/>
      </c>
      <c r="G118" s="127" t="str">
        <f>IFERROR(VLOOKUP(Tabela8[[#This Row],[ID]],Tabela1[],6,0),"")</f>
        <v/>
      </c>
      <c r="H118" s="127" t="str">
        <f>IFERROR(VLOOKUP(Tabela8[[#This Row],[ID]],Tabela1[],7,0),"")</f>
        <v/>
      </c>
      <c r="I118" s="126"/>
      <c r="J118" s="126"/>
      <c r="K118" s="129" t="str">
        <f>IFERROR(VLOOKUP(Tabela8[[#This Row],[ID]],Tabela7[],11,0),"")</f>
        <v/>
      </c>
      <c r="L118" s="130" t="e">
        <f>Tabela8[[#This Row],[Latas a Pagar]]*Tabela9[VALOR LATA]</f>
        <v>#VALUE!</v>
      </c>
    </row>
    <row r="119" spans="2:12" hidden="1" x14ac:dyDescent="0.3">
      <c r="B119" s="127">
        <f>VALUE('CONTROLE DE PRODUÇÃO'!B117)</f>
        <v>0</v>
      </c>
      <c r="C119" s="128" t="str">
        <f>IFERROR(VLOOKUP(Tabela8[[#This Row],[ID]],Tabela7[],2,0),"")</f>
        <v/>
      </c>
      <c r="D119" s="128" t="e">
        <f>VLOOKUP(Tabela8[[#This Row],[ID]],Tabela1[],3,0)</f>
        <v>#N/A</v>
      </c>
      <c r="E119" s="127" t="str">
        <f>IFERROR(VLOOKUP(Tabela8[[#This Row],[ID]],Tabela1[],4,0),"")</f>
        <v/>
      </c>
      <c r="F119" s="127" t="str">
        <f>IFERROR(VLOOKUP(Tabela8[[#This Row],[ID]],Tabela1[],5,0),"")</f>
        <v/>
      </c>
      <c r="G119" s="127" t="str">
        <f>IFERROR(VLOOKUP(Tabela8[[#This Row],[ID]],Tabela1[],6,0),"")</f>
        <v/>
      </c>
      <c r="H119" s="127" t="str">
        <f>IFERROR(VLOOKUP(Tabela8[[#This Row],[ID]],Tabela1[],7,0),"")</f>
        <v/>
      </c>
      <c r="I119" s="126"/>
      <c r="J119" s="126"/>
      <c r="K119" s="129" t="str">
        <f>IFERROR(VLOOKUP(Tabela8[[#This Row],[ID]],Tabela7[],11,0),"")</f>
        <v/>
      </c>
      <c r="L119" s="130" t="e">
        <f>Tabela8[[#This Row],[Latas a Pagar]]*Tabela9[VALOR LATA]</f>
        <v>#VALUE!</v>
      </c>
    </row>
    <row r="120" spans="2:12" hidden="1" x14ac:dyDescent="0.3">
      <c r="B120" s="127">
        <f>VALUE('CONTROLE DE PRODUÇÃO'!B118)</f>
        <v>0</v>
      </c>
      <c r="C120" s="128" t="str">
        <f>IFERROR(VLOOKUP(Tabela8[[#This Row],[ID]],Tabela7[],2,0),"")</f>
        <v/>
      </c>
      <c r="D120" s="128" t="e">
        <f>VLOOKUP(Tabela8[[#This Row],[ID]],Tabela1[],3,0)</f>
        <v>#N/A</v>
      </c>
      <c r="E120" s="127" t="str">
        <f>IFERROR(VLOOKUP(Tabela8[[#This Row],[ID]],Tabela1[],4,0),"")</f>
        <v/>
      </c>
      <c r="F120" s="127" t="str">
        <f>IFERROR(VLOOKUP(Tabela8[[#This Row],[ID]],Tabela1[],5,0),"")</f>
        <v/>
      </c>
      <c r="G120" s="127" t="str">
        <f>IFERROR(VLOOKUP(Tabela8[[#This Row],[ID]],Tabela1[],6,0),"")</f>
        <v/>
      </c>
      <c r="H120" s="127" t="str">
        <f>IFERROR(VLOOKUP(Tabela8[[#This Row],[ID]],Tabela1[],7,0),"")</f>
        <v/>
      </c>
      <c r="I120" s="126"/>
      <c r="J120" s="126"/>
      <c r="K120" s="129" t="str">
        <f>IFERROR(VLOOKUP(Tabela8[[#This Row],[ID]],Tabela7[],11,0),"")</f>
        <v/>
      </c>
      <c r="L120" s="130" t="e">
        <f>Tabela8[[#This Row],[Latas a Pagar]]*Tabela9[VALOR LATA]</f>
        <v>#VALUE!</v>
      </c>
    </row>
    <row r="121" spans="2:12" hidden="1" x14ac:dyDescent="0.3">
      <c r="B121" s="127">
        <f>VALUE('CONTROLE DE PRODUÇÃO'!B119)</f>
        <v>0</v>
      </c>
      <c r="C121" s="128" t="str">
        <f>IFERROR(VLOOKUP(Tabela8[[#This Row],[ID]],Tabela7[],2,0),"")</f>
        <v/>
      </c>
      <c r="D121" s="128" t="e">
        <f>VLOOKUP(Tabela8[[#This Row],[ID]],Tabela1[],3,0)</f>
        <v>#N/A</v>
      </c>
      <c r="E121" s="127" t="str">
        <f>IFERROR(VLOOKUP(Tabela8[[#This Row],[ID]],Tabela1[],4,0),"")</f>
        <v/>
      </c>
      <c r="F121" s="127" t="str">
        <f>IFERROR(VLOOKUP(Tabela8[[#This Row],[ID]],Tabela1[],5,0),"")</f>
        <v/>
      </c>
      <c r="G121" s="127" t="str">
        <f>IFERROR(VLOOKUP(Tabela8[[#This Row],[ID]],Tabela1[],6,0),"")</f>
        <v/>
      </c>
      <c r="H121" s="127" t="str">
        <f>IFERROR(VLOOKUP(Tabela8[[#This Row],[ID]],Tabela1[],7,0),"")</f>
        <v/>
      </c>
      <c r="I121" s="126"/>
      <c r="J121" s="126"/>
      <c r="K121" s="129" t="str">
        <f>IFERROR(VLOOKUP(Tabela8[[#This Row],[ID]],Tabela7[],11,0),"")</f>
        <v/>
      </c>
      <c r="L121" s="130" t="e">
        <f>Tabela8[[#This Row],[Latas a Pagar]]*Tabela9[VALOR LATA]</f>
        <v>#VALUE!</v>
      </c>
    </row>
    <row r="122" spans="2:12" hidden="1" x14ac:dyDescent="0.3">
      <c r="B122" s="127">
        <f>VALUE('CONTROLE DE PRODUÇÃO'!B120)</f>
        <v>0</v>
      </c>
      <c r="C122" s="128" t="str">
        <f>IFERROR(VLOOKUP(Tabela8[[#This Row],[ID]],Tabela7[],2,0),"")</f>
        <v/>
      </c>
      <c r="D122" s="128" t="e">
        <f>VLOOKUP(Tabela8[[#This Row],[ID]],Tabela1[],3,0)</f>
        <v>#N/A</v>
      </c>
      <c r="E122" s="127" t="str">
        <f>IFERROR(VLOOKUP(Tabela8[[#This Row],[ID]],Tabela1[],4,0),"")</f>
        <v/>
      </c>
      <c r="F122" s="127" t="str">
        <f>IFERROR(VLOOKUP(Tabela8[[#This Row],[ID]],Tabela1[],5,0),"")</f>
        <v/>
      </c>
      <c r="G122" s="127" t="str">
        <f>IFERROR(VLOOKUP(Tabela8[[#This Row],[ID]],Tabela1[],6,0),"")</f>
        <v/>
      </c>
      <c r="H122" s="127" t="str">
        <f>IFERROR(VLOOKUP(Tabela8[[#This Row],[ID]],Tabela1[],7,0),"")</f>
        <v/>
      </c>
      <c r="I122" s="126"/>
      <c r="J122" s="126"/>
      <c r="K122" s="129" t="str">
        <f>IFERROR(VLOOKUP(Tabela8[[#This Row],[ID]],Tabela7[],11,0),"")</f>
        <v/>
      </c>
      <c r="L122" s="130" t="e">
        <f>Tabela8[[#This Row],[Latas a Pagar]]*Tabela9[VALOR LATA]</f>
        <v>#VALUE!</v>
      </c>
    </row>
    <row r="123" spans="2:12" hidden="1" x14ac:dyDescent="0.3">
      <c r="B123" s="127">
        <f>VALUE('CONTROLE DE PRODUÇÃO'!B121)</f>
        <v>0</v>
      </c>
      <c r="C123" s="128" t="str">
        <f>IFERROR(VLOOKUP(Tabela8[[#This Row],[ID]],Tabela7[],2,0),"")</f>
        <v/>
      </c>
      <c r="D123" s="128" t="e">
        <f>VLOOKUP(Tabela8[[#This Row],[ID]],Tabela1[],3,0)</f>
        <v>#N/A</v>
      </c>
      <c r="E123" s="127" t="str">
        <f>IFERROR(VLOOKUP(Tabela8[[#This Row],[ID]],Tabela1[],4,0),"")</f>
        <v/>
      </c>
      <c r="F123" s="127" t="str">
        <f>IFERROR(VLOOKUP(Tabela8[[#This Row],[ID]],Tabela1[],5,0),"")</f>
        <v/>
      </c>
      <c r="G123" s="127" t="str">
        <f>IFERROR(VLOOKUP(Tabela8[[#This Row],[ID]],Tabela1[],6,0),"")</f>
        <v/>
      </c>
      <c r="H123" s="127" t="str">
        <f>IFERROR(VLOOKUP(Tabela8[[#This Row],[ID]],Tabela1[],7,0),"")</f>
        <v/>
      </c>
      <c r="I123" s="126"/>
      <c r="J123" s="126"/>
      <c r="K123" s="129" t="str">
        <f>IFERROR(VLOOKUP(Tabela8[[#This Row],[ID]],Tabela7[],11,0),"")</f>
        <v/>
      </c>
      <c r="L123" s="130" t="e">
        <f>Tabela8[[#This Row],[Latas a Pagar]]*Tabela9[VALOR LATA]</f>
        <v>#VALUE!</v>
      </c>
    </row>
    <row r="124" spans="2:12" hidden="1" x14ac:dyDescent="0.3">
      <c r="B124" s="127">
        <f>VALUE('CONTROLE DE PRODUÇÃO'!B122)</f>
        <v>0</v>
      </c>
      <c r="C124" s="128" t="str">
        <f>IFERROR(VLOOKUP(Tabela8[[#This Row],[ID]],Tabela7[],2,0),"")</f>
        <v/>
      </c>
      <c r="D124" s="128" t="e">
        <f>VLOOKUP(Tabela8[[#This Row],[ID]],Tabela1[],3,0)</f>
        <v>#N/A</v>
      </c>
      <c r="E124" s="127" t="str">
        <f>IFERROR(VLOOKUP(Tabela8[[#This Row],[ID]],Tabela1[],4,0),"")</f>
        <v/>
      </c>
      <c r="F124" s="127" t="str">
        <f>IFERROR(VLOOKUP(Tabela8[[#This Row],[ID]],Tabela1[],5,0),"")</f>
        <v/>
      </c>
      <c r="G124" s="127" t="str">
        <f>IFERROR(VLOOKUP(Tabela8[[#This Row],[ID]],Tabela1[],6,0),"")</f>
        <v/>
      </c>
      <c r="H124" s="127" t="str">
        <f>IFERROR(VLOOKUP(Tabela8[[#This Row],[ID]],Tabela1[],7,0),"")</f>
        <v/>
      </c>
      <c r="I124" s="126"/>
      <c r="J124" s="126"/>
      <c r="K124" s="129" t="str">
        <f>IFERROR(VLOOKUP(Tabela8[[#This Row],[ID]],Tabela7[],11,0),"")</f>
        <v/>
      </c>
      <c r="L124" s="130" t="e">
        <f>Tabela8[[#This Row],[Latas a Pagar]]*Tabela9[VALOR LATA]</f>
        <v>#VALUE!</v>
      </c>
    </row>
    <row r="125" spans="2:12" hidden="1" x14ac:dyDescent="0.3">
      <c r="B125" s="127">
        <f>VALUE('CONTROLE DE PRODUÇÃO'!B123)</f>
        <v>0</v>
      </c>
      <c r="C125" s="128" t="str">
        <f>IFERROR(VLOOKUP(Tabela8[[#This Row],[ID]],Tabela7[],2,0),"")</f>
        <v/>
      </c>
      <c r="D125" s="128" t="e">
        <f>VLOOKUP(Tabela8[[#This Row],[ID]],Tabela1[],3,0)</f>
        <v>#N/A</v>
      </c>
      <c r="E125" s="127" t="str">
        <f>IFERROR(VLOOKUP(Tabela8[[#This Row],[ID]],Tabela1[],4,0),"")</f>
        <v/>
      </c>
      <c r="F125" s="127" t="str">
        <f>IFERROR(VLOOKUP(Tabela8[[#This Row],[ID]],Tabela1[],5,0),"")</f>
        <v/>
      </c>
      <c r="G125" s="127" t="str">
        <f>IFERROR(VLOOKUP(Tabela8[[#This Row],[ID]],Tabela1[],6,0),"")</f>
        <v/>
      </c>
      <c r="H125" s="127" t="str">
        <f>IFERROR(VLOOKUP(Tabela8[[#This Row],[ID]],Tabela1[],7,0),"")</f>
        <v/>
      </c>
      <c r="I125" s="126"/>
      <c r="J125" s="126"/>
      <c r="K125" s="129" t="str">
        <f>IFERROR(VLOOKUP(Tabela8[[#This Row],[ID]],Tabela7[],11,0),"")</f>
        <v/>
      </c>
      <c r="L125" s="130" t="e">
        <f>Tabela8[[#This Row],[Latas a Pagar]]*Tabela9[VALOR LATA]</f>
        <v>#VALUE!</v>
      </c>
    </row>
    <row r="126" spans="2:12" hidden="1" x14ac:dyDescent="0.3">
      <c r="B126" s="127">
        <f>VALUE('CONTROLE DE PRODUÇÃO'!B124)</f>
        <v>0</v>
      </c>
      <c r="C126" s="128" t="str">
        <f>IFERROR(VLOOKUP(Tabela8[[#This Row],[ID]],Tabela7[],2,0),"")</f>
        <v/>
      </c>
      <c r="D126" s="128" t="e">
        <f>VLOOKUP(Tabela8[[#This Row],[ID]],Tabela1[],3,0)</f>
        <v>#N/A</v>
      </c>
      <c r="E126" s="127" t="str">
        <f>IFERROR(VLOOKUP(Tabela8[[#This Row],[ID]],Tabela1[],4,0),"")</f>
        <v/>
      </c>
      <c r="F126" s="127" t="str">
        <f>IFERROR(VLOOKUP(Tabela8[[#This Row],[ID]],Tabela1[],5,0),"")</f>
        <v/>
      </c>
      <c r="G126" s="127" t="str">
        <f>IFERROR(VLOOKUP(Tabela8[[#This Row],[ID]],Tabela1[],6,0),"")</f>
        <v/>
      </c>
      <c r="H126" s="127" t="str">
        <f>IFERROR(VLOOKUP(Tabela8[[#This Row],[ID]],Tabela1[],7,0),"")</f>
        <v/>
      </c>
      <c r="I126" s="126"/>
      <c r="J126" s="126"/>
      <c r="K126" s="129" t="str">
        <f>IFERROR(VLOOKUP(Tabela8[[#This Row],[ID]],Tabela7[],11,0),"")</f>
        <v/>
      </c>
      <c r="L126" s="130" t="e">
        <f>Tabela8[[#This Row],[Latas a Pagar]]*Tabela9[VALOR LATA]</f>
        <v>#VALUE!</v>
      </c>
    </row>
    <row r="127" spans="2:12" hidden="1" x14ac:dyDescent="0.3">
      <c r="B127" s="127">
        <f>VALUE('CONTROLE DE PRODUÇÃO'!B125)</f>
        <v>0</v>
      </c>
      <c r="C127" s="128" t="str">
        <f>IFERROR(VLOOKUP(Tabela8[[#This Row],[ID]],Tabela7[],2,0),"")</f>
        <v/>
      </c>
      <c r="D127" s="128" t="e">
        <f>VLOOKUP(Tabela8[[#This Row],[ID]],Tabela1[],3,0)</f>
        <v>#N/A</v>
      </c>
      <c r="E127" s="127" t="str">
        <f>IFERROR(VLOOKUP(Tabela8[[#This Row],[ID]],Tabela1[],4,0),"")</f>
        <v/>
      </c>
      <c r="F127" s="127" t="str">
        <f>IFERROR(VLOOKUP(Tabela8[[#This Row],[ID]],Tabela1[],5,0),"")</f>
        <v/>
      </c>
      <c r="G127" s="127" t="str">
        <f>IFERROR(VLOOKUP(Tabela8[[#This Row],[ID]],Tabela1[],6,0),"")</f>
        <v/>
      </c>
      <c r="H127" s="127" t="str">
        <f>IFERROR(VLOOKUP(Tabela8[[#This Row],[ID]],Tabela1[],7,0),"")</f>
        <v/>
      </c>
      <c r="I127" s="126"/>
      <c r="J127" s="126"/>
      <c r="K127" s="129" t="str">
        <f>IFERROR(VLOOKUP(Tabela8[[#This Row],[ID]],Tabela7[],11,0),"")</f>
        <v/>
      </c>
      <c r="L127" s="130" t="e">
        <f>Tabela8[[#This Row],[Latas a Pagar]]*Tabela9[VALOR LATA]</f>
        <v>#VALUE!</v>
      </c>
    </row>
    <row r="128" spans="2:12" hidden="1" x14ac:dyDescent="0.3">
      <c r="B128" s="127">
        <f>VALUE('CONTROLE DE PRODUÇÃO'!B126)</f>
        <v>0</v>
      </c>
      <c r="C128" s="128" t="str">
        <f>IFERROR(VLOOKUP(Tabela8[[#This Row],[ID]],Tabela7[],2,0),"")</f>
        <v/>
      </c>
      <c r="D128" s="128" t="e">
        <f>VLOOKUP(Tabela8[[#This Row],[ID]],Tabela1[],3,0)</f>
        <v>#N/A</v>
      </c>
      <c r="E128" s="127" t="str">
        <f>IFERROR(VLOOKUP(Tabela8[[#This Row],[ID]],Tabela1[],4,0),"")</f>
        <v/>
      </c>
      <c r="F128" s="127" t="str">
        <f>IFERROR(VLOOKUP(Tabela8[[#This Row],[ID]],Tabela1[],5,0),"")</f>
        <v/>
      </c>
      <c r="G128" s="127" t="str">
        <f>IFERROR(VLOOKUP(Tabela8[[#This Row],[ID]],Tabela1[],6,0),"")</f>
        <v/>
      </c>
      <c r="H128" s="127" t="str">
        <f>IFERROR(VLOOKUP(Tabela8[[#This Row],[ID]],Tabela1[],7,0),"")</f>
        <v/>
      </c>
      <c r="I128" s="126"/>
      <c r="J128" s="126"/>
      <c r="K128" s="129" t="str">
        <f>IFERROR(VLOOKUP(Tabela8[[#This Row],[ID]],Tabela7[],11,0),"")</f>
        <v/>
      </c>
      <c r="L128" s="130" t="e">
        <f>Tabela8[[#This Row],[Latas a Pagar]]*Tabela9[VALOR LATA]</f>
        <v>#VALUE!</v>
      </c>
    </row>
    <row r="129" spans="2:12" hidden="1" x14ac:dyDescent="0.3">
      <c r="B129" s="127">
        <f>VALUE('CONTROLE DE PRODUÇÃO'!B127)</f>
        <v>0</v>
      </c>
      <c r="C129" s="128" t="str">
        <f>IFERROR(VLOOKUP(Tabela8[[#This Row],[ID]],Tabela7[],2,0),"")</f>
        <v/>
      </c>
      <c r="D129" s="128" t="e">
        <f>VLOOKUP(Tabela8[[#This Row],[ID]],Tabela1[],3,0)</f>
        <v>#N/A</v>
      </c>
      <c r="E129" s="127" t="str">
        <f>IFERROR(VLOOKUP(Tabela8[[#This Row],[ID]],Tabela1[],4,0),"")</f>
        <v/>
      </c>
      <c r="F129" s="127" t="str">
        <f>IFERROR(VLOOKUP(Tabela8[[#This Row],[ID]],Tabela1[],5,0),"")</f>
        <v/>
      </c>
      <c r="G129" s="127" t="str">
        <f>IFERROR(VLOOKUP(Tabela8[[#This Row],[ID]],Tabela1[],6,0),"")</f>
        <v/>
      </c>
      <c r="H129" s="127" t="str">
        <f>IFERROR(VLOOKUP(Tabela8[[#This Row],[ID]],Tabela1[],7,0),"")</f>
        <v/>
      </c>
      <c r="I129" s="126"/>
      <c r="J129" s="126"/>
      <c r="K129" s="129" t="str">
        <f>IFERROR(VLOOKUP(Tabela8[[#This Row],[ID]],Tabela7[],11,0),"")</f>
        <v/>
      </c>
      <c r="L129" s="130" t="e">
        <f>Tabela8[[#This Row],[Latas a Pagar]]*Tabela9[VALOR LATA]</f>
        <v>#VALUE!</v>
      </c>
    </row>
    <row r="130" spans="2:12" hidden="1" x14ac:dyDescent="0.3">
      <c r="B130" s="127">
        <f>VALUE('CONTROLE DE PRODUÇÃO'!B128)</f>
        <v>0</v>
      </c>
      <c r="C130" s="128" t="str">
        <f>IFERROR(VLOOKUP(Tabela8[[#This Row],[ID]],Tabela7[],2,0),"")</f>
        <v/>
      </c>
      <c r="D130" s="128" t="e">
        <f>VLOOKUP(Tabela8[[#This Row],[ID]],Tabela1[],3,0)</f>
        <v>#N/A</v>
      </c>
      <c r="E130" s="127" t="str">
        <f>IFERROR(VLOOKUP(Tabela8[[#This Row],[ID]],Tabela1[],4,0),"")</f>
        <v/>
      </c>
      <c r="F130" s="127" t="str">
        <f>IFERROR(VLOOKUP(Tabela8[[#This Row],[ID]],Tabela1[],5,0),"")</f>
        <v/>
      </c>
      <c r="G130" s="127" t="str">
        <f>IFERROR(VLOOKUP(Tabela8[[#This Row],[ID]],Tabela1[],6,0),"")</f>
        <v/>
      </c>
      <c r="H130" s="127" t="str">
        <f>IFERROR(VLOOKUP(Tabela8[[#This Row],[ID]],Tabela1[],7,0),"")</f>
        <v/>
      </c>
      <c r="I130" s="126"/>
      <c r="J130" s="126"/>
      <c r="K130" s="129" t="str">
        <f>IFERROR(VLOOKUP(Tabela8[[#This Row],[ID]],Tabela7[],11,0),"")</f>
        <v/>
      </c>
      <c r="L130" s="130" t="e">
        <f>Tabela8[[#This Row],[Latas a Pagar]]*Tabela9[VALOR LATA]</f>
        <v>#VALUE!</v>
      </c>
    </row>
    <row r="131" spans="2:12" hidden="1" x14ac:dyDescent="0.3">
      <c r="B131" s="127">
        <f>VALUE('CONTROLE DE PRODUÇÃO'!B129)</f>
        <v>0</v>
      </c>
      <c r="C131" s="128" t="str">
        <f>IFERROR(VLOOKUP(Tabela8[[#This Row],[ID]],Tabela7[],2,0),"")</f>
        <v/>
      </c>
      <c r="D131" s="128" t="e">
        <f>VLOOKUP(Tabela8[[#This Row],[ID]],Tabela1[],3,0)</f>
        <v>#N/A</v>
      </c>
      <c r="E131" s="127" t="str">
        <f>IFERROR(VLOOKUP(Tabela8[[#This Row],[ID]],Tabela1[],4,0),"")</f>
        <v/>
      </c>
      <c r="F131" s="127" t="str">
        <f>IFERROR(VLOOKUP(Tabela8[[#This Row],[ID]],Tabela1[],5,0),"")</f>
        <v/>
      </c>
      <c r="G131" s="127" t="str">
        <f>IFERROR(VLOOKUP(Tabela8[[#This Row],[ID]],Tabela1[],6,0),"")</f>
        <v/>
      </c>
      <c r="H131" s="127" t="str">
        <f>IFERROR(VLOOKUP(Tabela8[[#This Row],[ID]],Tabela1[],7,0),"")</f>
        <v/>
      </c>
      <c r="I131" s="126"/>
      <c r="J131" s="126"/>
      <c r="K131" s="129" t="str">
        <f>IFERROR(VLOOKUP(Tabela8[[#This Row],[ID]],Tabela7[],11,0),"")</f>
        <v/>
      </c>
      <c r="L131" s="130" t="e">
        <f>Tabela8[[#This Row],[Latas a Pagar]]*Tabela9[VALOR LATA]</f>
        <v>#VALUE!</v>
      </c>
    </row>
    <row r="132" spans="2:12" hidden="1" x14ac:dyDescent="0.3">
      <c r="B132" s="127">
        <f>VALUE('CONTROLE DE PRODUÇÃO'!B130)</f>
        <v>0</v>
      </c>
      <c r="C132" s="128" t="str">
        <f>IFERROR(VLOOKUP(Tabela8[[#This Row],[ID]],Tabela7[],2,0),"")</f>
        <v/>
      </c>
      <c r="D132" s="128" t="e">
        <f>VLOOKUP(Tabela8[[#This Row],[ID]],Tabela1[],3,0)</f>
        <v>#N/A</v>
      </c>
      <c r="E132" s="127" t="str">
        <f>IFERROR(VLOOKUP(Tabela8[[#This Row],[ID]],Tabela1[],4,0),"")</f>
        <v/>
      </c>
      <c r="F132" s="127" t="str">
        <f>IFERROR(VLOOKUP(Tabela8[[#This Row],[ID]],Tabela1[],5,0),"")</f>
        <v/>
      </c>
      <c r="G132" s="127" t="str">
        <f>IFERROR(VLOOKUP(Tabela8[[#This Row],[ID]],Tabela1[],6,0),"")</f>
        <v/>
      </c>
      <c r="H132" s="127" t="str">
        <f>IFERROR(VLOOKUP(Tabela8[[#This Row],[ID]],Tabela1[],7,0),"")</f>
        <v/>
      </c>
      <c r="I132" s="126"/>
      <c r="J132" s="126"/>
      <c r="K132" s="129" t="str">
        <f>IFERROR(VLOOKUP(Tabela8[[#This Row],[ID]],Tabela7[],11,0),"")</f>
        <v/>
      </c>
      <c r="L132" s="130" t="e">
        <f>Tabela8[[#This Row],[Latas a Pagar]]*Tabela9[VALOR LATA]</f>
        <v>#VALUE!</v>
      </c>
    </row>
    <row r="133" spans="2:12" hidden="1" x14ac:dyDescent="0.3">
      <c r="B133" s="127">
        <f>VALUE('CONTROLE DE PRODUÇÃO'!B131)</f>
        <v>0</v>
      </c>
      <c r="C133" s="128" t="str">
        <f>IFERROR(VLOOKUP(Tabela8[[#This Row],[ID]],Tabela7[],2,0),"")</f>
        <v/>
      </c>
      <c r="D133" s="128" t="e">
        <f>VLOOKUP(Tabela8[[#This Row],[ID]],Tabela1[],3,0)</f>
        <v>#N/A</v>
      </c>
      <c r="E133" s="127" t="str">
        <f>IFERROR(VLOOKUP(Tabela8[[#This Row],[ID]],Tabela1[],4,0),"")</f>
        <v/>
      </c>
      <c r="F133" s="127" t="str">
        <f>IFERROR(VLOOKUP(Tabela8[[#This Row],[ID]],Tabela1[],5,0),"")</f>
        <v/>
      </c>
      <c r="G133" s="127" t="str">
        <f>IFERROR(VLOOKUP(Tabela8[[#This Row],[ID]],Tabela1[],6,0),"")</f>
        <v/>
      </c>
      <c r="H133" s="127" t="str">
        <f>IFERROR(VLOOKUP(Tabela8[[#This Row],[ID]],Tabela1[],7,0),"")</f>
        <v/>
      </c>
      <c r="I133" s="126"/>
      <c r="J133" s="126"/>
      <c r="K133" s="129" t="str">
        <f>IFERROR(VLOOKUP(Tabela8[[#This Row],[ID]],Tabela7[],11,0),"")</f>
        <v/>
      </c>
      <c r="L133" s="130" t="e">
        <f>Tabela8[[#This Row],[Latas a Pagar]]*Tabela9[VALOR LATA]</f>
        <v>#VALUE!</v>
      </c>
    </row>
    <row r="134" spans="2:12" hidden="1" x14ac:dyDescent="0.3">
      <c r="B134" s="127">
        <f>VALUE('CONTROLE DE PRODUÇÃO'!B108)</f>
        <v>0</v>
      </c>
      <c r="C134" s="128" t="str">
        <f>IFERROR(VLOOKUP(Tabela8[[#This Row],[ID]],Tabela7[],2,0),"")</f>
        <v/>
      </c>
      <c r="D134" s="128" t="e">
        <f>VLOOKUP(Tabela8[[#This Row],[ID]],Tabela1[],3,0)</f>
        <v>#N/A</v>
      </c>
      <c r="E134" s="127" t="str">
        <f>IFERROR(VLOOKUP(Tabela8[[#This Row],[ID]],Tabela1[],4,0),"")</f>
        <v/>
      </c>
      <c r="F134" s="127" t="str">
        <f>IFERROR(VLOOKUP(Tabela8[[#This Row],[ID]],Tabela1[],5,0),"")</f>
        <v/>
      </c>
      <c r="G134" s="127" t="str">
        <f>IFERROR(VLOOKUP(Tabela8[[#This Row],[ID]],Tabela1[],6,0),"")</f>
        <v/>
      </c>
      <c r="H134" s="127" t="str">
        <f>IFERROR(VLOOKUP(Tabela8[[#This Row],[ID]],Tabela1[],7,0),"")</f>
        <v/>
      </c>
      <c r="I134" s="126"/>
      <c r="J134" s="126"/>
      <c r="K134" s="129" t="str">
        <f>IFERROR(VLOOKUP(Tabela8[[#This Row],[ID]],Tabela7[],11,0),"")</f>
        <v/>
      </c>
      <c r="L134" s="130" t="e">
        <f>Tabela8[[#This Row],[Latas a Pagar]]*Tabela9[VALOR LATA]</f>
        <v>#VALUE!</v>
      </c>
    </row>
    <row r="135" spans="2:12" hidden="1" x14ac:dyDescent="0.3">
      <c r="B135" s="127">
        <f>VALUE('CONTROLE DE PRODUÇÃO'!B109)</f>
        <v>0</v>
      </c>
      <c r="C135" s="128" t="str">
        <f>IFERROR(VLOOKUP(Tabela8[[#This Row],[ID]],Tabela7[],2,0),"")</f>
        <v/>
      </c>
      <c r="D135" s="128" t="e">
        <f>VLOOKUP(Tabela8[[#This Row],[ID]],Tabela1[],3,0)</f>
        <v>#N/A</v>
      </c>
      <c r="E135" s="127" t="str">
        <f>IFERROR(VLOOKUP(Tabela8[[#This Row],[ID]],Tabela1[],4,0),"")</f>
        <v/>
      </c>
      <c r="F135" s="127" t="str">
        <f>IFERROR(VLOOKUP(Tabela8[[#This Row],[ID]],Tabela1[],5,0),"")</f>
        <v/>
      </c>
      <c r="G135" s="127" t="str">
        <f>IFERROR(VLOOKUP(Tabela8[[#This Row],[ID]],Tabela1[],6,0),"")</f>
        <v/>
      </c>
      <c r="H135" s="127" t="str">
        <f>IFERROR(VLOOKUP(Tabela8[[#This Row],[ID]],Tabela1[],7,0),"")</f>
        <v/>
      </c>
      <c r="I135" s="126"/>
      <c r="J135" s="126"/>
      <c r="K135" s="129" t="str">
        <f>IFERROR(VLOOKUP(Tabela8[[#This Row],[ID]],Tabela7[],11,0),"")</f>
        <v/>
      </c>
      <c r="L135" s="130" t="e">
        <f>Tabela8[[#This Row],[Latas a Pagar]]*Tabela9[VALOR LATA]</f>
        <v>#VALUE!</v>
      </c>
    </row>
    <row r="136" spans="2:12" hidden="1" x14ac:dyDescent="0.3">
      <c r="B136" s="127">
        <f>VALUE('CONTROLE DE PRODUÇÃO'!B110)</f>
        <v>0</v>
      </c>
      <c r="C136" s="128" t="str">
        <f>IFERROR(VLOOKUP(Tabela8[[#This Row],[ID]],Tabela7[],2,0),"")</f>
        <v/>
      </c>
      <c r="D136" s="128" t="e">
        <f>VLOOKUP(Tabela8[[#This Row],[ID]],Tabela1[],3,0)</f>
        <v>#N/A</v>
      </c>
      <c r="E136" s="127" t="str">
        <f>IFERROR(VLOOKUP(Tabela8[[#This Row],[ID]],Tabela1[],4,0),"")</f>
        <v/>
      </c>
      <c r="F136" s="127" t="str">
        <f>IFERROR(VLOOKUP(Tabela8[[#This Row],[ID]],Tabela1[],5,0),"")</f>
        <v/>
      </c>
      <c r="G136" s="127" t="str">
        <f>IFERROR(VLOOKUP(Tabela8[[#This Row],[ID]],Tabela1[],6,0),"")</f>
        <v/>
      </c>
      <c r="H136" s="127" t="str">
        <f>IFERROR(VLOOKUP(Tabela8[[#This Row],[ID]],Tabela1[],7,0),"")</f>
        <v/>
      </c>
      <c r="I136" s="126"/>
      <c r="J136" s="126"/>
      <c r="K136" s="129" t="str">
        <f>IFERROR(VLOOKUP(Tabela8[[#This Row],[ID]],Tabela7[],11,0),"")</f>
        <v/>
      </c>
      <c r="L136" s="130" t="e">
        <f>Tabela8[[#This Row],[Latas a Pagar]]*Tabela9[VALOR LATA]</f>
        <v>#VALUE!</v>
      </c>
    </row>
    <row r="137" spans="2:12" hidden="1" x14ac:dyDescent="0.3">
      <c r="B137" s="127">
        <f>VALUE('CONTROLE DE PRODUÇÃO'!B111)</f>
        <v>0</v>
      </c>
      <c r="C137" s="128" t="str">
        <f>IFERROR(VLOOKUP(Tabela8[[#This Row],[ID]],Tabela7[],2,0),"")</f>
        <v/>
      </c>
      <c r="D137" s="128" t="e">
        <f>VLOOKUP(Tabela8[[#This Row],[ID]],Tabela1[],3,0)</f>
        <v>#N/A</v>
      </c>
      <c r="E137" s="127" t="str">
        <f>IFERROR(VLOOKUP(Tabela8[[#This Row],[ID]],Tabela1[],4,0),"")</f>
        <v/>
      </c>
      <c r="F137" s="127" t="str">
        <f>IFERROR(VLOOKUP(Tabela8[[#This Row],[ID]],Tabela1[],5,0),"")</f>
        <v/>
      </c>
      <c r="G137" s="127" t="str">
        <f>IFERROR(VLOOKUP(Tabela8[[#This Row],[ID]],Tabela1[],6,0),"")</f>
        <v/>
      </c>
      <c r="H137" s="127" t="str">
        <f>IFERROR(VLOOKUP(Tabela8[[#This Row],[ID]],Tabela1[],7,0),"")</f>
        <v/>
      </c>
      <c r="I137" s="126"/>
      <c r="J137" s="126"/>
      <c r="K137" s="129" t="str">
        <f>IFERROR(VLOOKUP(Tabela8[[#This Row],[ID]],Tabela7[],11,0),"")</f>
        <v/>
      </c>
      <c r="L137" s="130" t="e">
        <f>Tabela8[[#This Row],[Latas a Pagar]]*Tabela9[VALOR LATA]</f>
        <v>#VALUE!</v>
      </c>
    </row>
    <row r="138" spans="2:12" hidden="1" x14ac:dyDescent="0.3">
      <c r="B138" s="127">
        <f>VALUE('CONTROLE DE PRODUÇÃO'!B112)</f>
        <v>0</v>
      </c>
      <c r="C138" s="128" t="str">
        <f>IFERROR(VLOOKUP(Tabela8[[#This Row],[ID]],Tabela7[],2,0),"")</f>
        <v/>
      </c>
      <c r="D138" s="128" t="e">
        <f>VLOOKUP(Tabela8[[#This Row],[ID]],Tabela1[],3,0)</f>
        <v>#N/A</v>
      </c>
      <c r="E138" s="127" t="str">
        <f>IFERROR(VLOOKUP(Tabela8[[#This Row],[ID]],Tabela1[],4,0),"")</f>
        <v/>
      </c>
      <c r="F138" s="127" t="str">
        <f>IFERROR(VLOOKUP(Tabela8[[#This Row],[ID]],Tabela1[],5,0),"")</f>
        <v/>
      </c>
      <c r="G138" s="127" t="str">
        <f>IFERROR(VLOOKUP(Tabela8[[#This Row],[ID]],Tabela1[],6,0),"")</f>
        <v/>
      </c>
      <c r="H138" s="127" t="str">
        <f>IFERROR(VLOOKUP(Tabela8[[#This Row],[ID]],Tabela1[],7,0),"")</f>
        <v/>
      </c>
      <c r="I138" s="126"/>
      <c r="J138" s="126"/>
      <c r="K138" s="129" t="str">
        <f>IFERROR(VLOOKUP(Tabela8[[#This Row],[ID]],Tabela7[],11,0),"")</f>
        <v/>
      </c>
      <c r="L138" s="130" t="e">
        <f>Tabela8[[#This Row],[Latas a Pagar]]*Tabela9[VALOR LATA]</f>
        <v>#VALUE!</v>
      </c>
    </row>
    <row r="139" spans="2:12" hidden="1" x14ac:dyDescent="0.3">
      <c r="B139" s="127">
        <f>VALUE('CONTROLE DE PRODUÇÃO'!B113)</f>
        <v>0</v>
      </c>
      <c r="C139" s="128" t="str">
        <f>IFERROR(VLOOKUP(Tabela8[[#This Row],[ID]],Tabela7[],2,0),"")</f>
        <v/>
      </c>
      <c r="D139" s="128" t="e">
        <f>VLOOKUP(Tabela8[[#This Row],[ID]],Tabela1[],3,0)</f>
        <v>#N/A</v>
      </c>
      <c r="E139" s="127" t="str">
        <f>IFERROR(VLOOKUP(Tabela8[[#This Row],[ID]],Tabela1[],4,0),"")</f>
        <v/>
      </c>
      <c r="F139" s="127" t="str">
        <f>IFERROR(VLOOKUP(Tabela8[[#This Row],[ID]],Tabela1[],5,0),"")</f>
        <v/>
      </c>
      <c r="G139" s="127" t="str">
        <f>IFERROR(VLOOKUP(Tabela8[[#This Row],[ID]],Tabela1[],6,0),"")</f>
        <v/>
      </c>
      <c r="H139" s="127" t="str">
        <f>IFERROR(VLOOKUP(Tabela8[[#This Row],[ID]],Tabela1[],7,0),"")</f>
        <v/>
      </c>
      <c r="I139" s="126"/>
      <c r="J139" s="126"/>
      <c r="K139" s="129" t="str">
        <f>IFERROR(VLOOKUP(Tabela8[[#This Row],[ID]],Tabela7[],11,0),"")</f>
        <v/>
      </c>
      <c r="L139" s="130" t="e">
        <f>Tabela8[[#This Row],[Latas a Pagar]]*Tabela9[VALOR LATA]</f>
        <v>#VALUE!</v>
      </c>
    </row>
    <row r="140" spans="2:12" hidden="1" x14ac:dyDescent="0.3">
      <c r="B140" s="127">
        <f>VALUE('CONTROLE DE PRODUÇÃO'!B114)</f>
        <v>0</v>
      </c>
      <c r="C140" s="128" t="str">
        <f>IFERROR(VLOOKUP(Tabela8[[#This Row],[ID]],Tabela7[],2,0),"")</f>
        <v/>
      </c>
      <c r="D140" s="128" t="e">
        <f>VLOOKUP(Tabela8[[#This Row],[ID]],Tabela1[],3,0)</f>
        <v>#N/A</v>
      </c>
      <c r="E140" s="127" t="str">
        <f>IFERROR(VLOOKUP(Tabela8[[#This Row],[ID]],Tabela1[],4,0),"")</f>
        <v/>
      </c>
      <c r="F140" s="127" t="str">
        <f>IFERROR(VLOOKUP(Tabela8[[#This Row],[ID]],Tabela1[],5,0),"")</f>
        <v/>
      </c>
      <c r="G140" s="127" t="str">
        <f>IFERROR(VLOOKUP(Tabela8[[#This Row],[ID]],Tabela1[],6,0),"")</f>
        <v/>
      </c>
      <c r="H140" s="127" t="str">
        <f>IFERROR(VLOOKUP(Tabela8[[#This Row],[ID]],Tabela1[],7,0),"")</f>
        <v/>
      </c>
      <c r="I140" s="126"/>
      <c r="J140" s="126"/>
      <c r="K140" s="129" t="str">
        <f>IFERROR(VLOOKUP(Tabela8[[#This Row],[ID]],Tabela7[],11,0),"")</f>
        <v/>
      </c>
      <c r="L140" s="130" t="e">
        <f>Tabela8[[#This Row],[Latas a Pagar]]*Tabela9[VALOR LATA]</f>
        <v>#VALUE!</v>
      </c>
    </row>
    <row r="141" spans="2:12" hidden="1" x14ac:dyDescent="0.3">
      <c r="B141" s="127">
        <f>VALUE('CONTROLE DE PRODUÇÃO'!B115)</f>
        <v>0</v>
      </c>
      <c r="C141" s="128" t="str">
        <f>IFERROR(VLOOKUP(Tabela8[[#This Row],[ID]],Tabela7[],2,0),"")</f>
        <v/>
      </c>
      <c r="D141" s="128" t="e">
        <f>VLOOKUP(Tabela8[[#This Row],[ID]],Tabela1[],3,0)</f>
        <v>#N/A</v>
      </c>
      <c r="E141" s="127" t="str">
        <f>IFERROR(VLOOKUP(Tabela8[[#This Row],[ID]],Tabela1[],4,0),"")</f>
        <v/>
      </c>
      <c r="F141" s="127" t="str">
        <f>IFERROR(VLOOKUP(Tabela8[[#This Row],[ID]],Tabela1[],5,0),"")</f>
        <v/>
      </c>
      <c r="G141" s="127" t="str">
        <f>IFERROR(VLOOKUP(Tabela8[[#This Row],[ID]],Tabela1[],6,0),"")</f>
        <v/>
      </c>
      <c r="H141" s="127" t="str">
        <f>IFERROR(VLOOKUP(Tabela8[[#This Row],[ID]],Tabela1[],7,0),"")</f>
        <v/>
      </c>
      <c r="I141" s="126"/>
      <c r="J141" s="126"/>
      <c r="K141" s="129" t="str">
        <f>IFERROR(VLOOKUP(Tabela8[[#This Row],[ID]],Tabela7[],11,0),"")</f>
        <v/>
      </c>
      <c r="L141" s="130" t="e">
        <f>Tabela8[[#This Row],[Latas a Pagar]]*Tabela9[VALOR LATA]</f>
        <v>#VALUE!</v>
      </c>
    </row>
    <row r="142" spans="2:12" hidden="1" x14ac:dyDescent="0.3">
      <c r="B142" s="127">
        <f>VALUE('CONTROLE DE PRODUÇÃO'!B116)</f>
        <v>0</v>
      </c>
      <c r="C142" s="128" t="str">
        <f>IFERROR(VLOOKUP(Tabela8[[#This Row],[ID]],Tabela7[],2,0),"")</f>
        <v/>
      </c>
      <c r="D142" s="128" t="e">
        <f>VLOOKUP(Tabela8[[#This Row],[ID]],Tabela1[],3,0)</f>
        <v>#N/A</v>
      </c>
      <c r="E142" s="127" t="str">
        <f>IFERROR(VLOOKUP(Tabela8[[#This Row],[ID]],Tabela1[],4,0),"")</f>
        <v/>
      </c>
      <c r="F142" s="127" t="str">
        <f>IFERROR(VLOOKUP(Tabela8[[#This Row],[ID]],Tabela1[],5,0),"")</f>
        <v/>
      </c>
      <c r="G142" s="127" t="str">
        <f>IFERROR(VLOOKUP(Tabela8[[#This Row],[ID]],Tabela1[],6,0),"")</f>
        <v/>
      </c>
      <c r="H142" s="127" t="str">
        <f>IFERROR(VLOOKUP(Tabela8[[#This Row],[ID]],Tabela1[],7,0),"")</f>
        <v/>
      </c>
      <c r="I142" s="126"/>
      <c r="J142" s="126"/>
      <c r="K142" s="129" t="str">
        <f>IFERROR(VLOOKUP(Tabela8[[#This Row],[ID]],Tabela7[],11,0),"")</f>
        <v/>
      </c>
      <c r="L142" s="130" t="e">
        <f>Tabela8[[#This Row],[Latas a Pagar]]*Tabela9[VALOR LATA]</f>
        <v>#VALUE!</v>
      </c>
    </row>
    <row r="143" spans="2:12" hidden="1" x14ac:dyDescent="0.3">
      <c r="B143" s="127">
        <f>VALUE('CONTROLE DE PRODUÇÃO'!B117)</f>
        <v>0</v>
      </c>
      <c r="C143" s="128" t="str">
        <f>IFERROR(VLOOKUP(Tabela8[[#This Row],[ID]],Tabela7[],2,0),"")</f>
        <v/>
      </c>
      <c r="D143" s="128" t="e">
        <f>VLOOKUP(Tabela8[[#This Row],[ID]],Tabela1[],3,0)</f>
        <v>#N/A</v>
      </c>
      <c r="E143" s="127" t="str">
        <f>IFERROR(VLOOKUP(Tabela8[[#This Row],[ID]],Tabela1[],4,0),"")</f>
        <v/>
      </c>
      <c r="F143" s="127" t="str">
        <f>IFERROR(VLOOKUP(Tabela8[[#This Row],[ID]],Tabela1[],5,0),"")</f>
        <v/>
      </c>
      <c r="G143" s="127" t="str">
        <f>IFERROR(VLOOKUP(Tabela8[[#This Row],[ID]],Tabela1[],6,0),"")</f>
        <v/>
      </c>
      <c r="H143" s="127" t="str">
        <f>IFERROR(VLOOKUP(Tabela8[[#This Row],[ID]],Tabela1[],7,0),"")</f>
        <v/>
      </c>
      <c r="I143" s="126"/>
      <c r="J143" s="126"/>
      <c r="K143" s="129" t="str">
        <f>IFERROR(VLOOKUP(Tabela8[[#This Row],[ID]],Tabela7[],11,0),"")</f>
        <v/>
      </c>
      <c r="L143" s="130" t="e">
        <f>Tabela8[[#This Row],[Latas a Pagar]]*Tabela9[VALOR LATA]</f>
        <v>#VALUE!</v>
      </c>
    </row>
    <row r="144" spans="2:12" hidden="1" x14ac:dyDescent="0.3">
      <c r="B144" s="127">
        <f>VALUE('CONTROLE DE PRODUÇÃO'!B118)</f>
        <v>0</v>
      </c>
      <c r="C144" s="128" t="str">
        <f>IFERROR(VLOOKUP(Tabela8[[#This Row],[ID]],Tabela7[],2,0),"")</f>
        <v/>
      </c>
      <c r="D144" s="128" t="e">
        <f>VLOOKUP(Tabela8[[#This Row],[ID]],Tabela1[],3,0)</f>
        <v>#N/A</v>
      </c>
      <c r="E144" s="127" t="str">
        <f>IFERROR(VLOOKUP(Tabela8[[#This Row],[ID]],Tabela1[],4,0),"")</f>
        <v/>
      </c>
      <c r="F144" s="127" t="str">
        <f>IFERROR(VLOOKUP(Tabela8[[#This Row],[ID]],Tabela1[],5,0),"")</f>
        <v/>
      </c>
      <c r="G144" s="127" t="str">
        <f>IFERROR(VLOOKUP(Tabela8[[#This Row],[ID]],Tabela1[],6,0),"")</f>
        <v/>
      </c>
      <c r="H144" s="127" t="str">
        <f>IFERROR(VLOOKUP(Tabela8[[#This Row],[ID]],Tabela1[],7,0),"")</f>
        <v/>
      </c>
      <c r="I144" s="126"/>
      <c r="J144" s="126"/>
      <c r="K144" s="129" t="str">
        <f>IFERROR(VLOOKUP(Tabela8[[#This Row],[ID]],Tabela7[],11,0),"")</f>
        <v/>
      </c>
      <c r="L144" s="130" t="e">
        <f>Tabela8[[#This Row],[Latas a Pagar]]*Tabela9[VALOR LATA]</f>
        <v>#VALUE!</v>
      </c>
    </row>
    <row r="145" spans="2:12" hidden="1" x14ac:dyDescent="0.3">
      <c r="B145" s="127">
        <f>VALUE('CONTROLE DE PRODUÇÃO'!B119)</f>
        <v>0</v>
      </c>
      <c r="C145" s="128" t="str">
        <f>IFERROR(VLOOKUP(Tabela8[[#This Row],[ID]],Tabela7[],2,0),"")</f>
        <v/>
      </c>
      <c r="D145" s="128" t="e">
        <f>VLOOKUP(Tabela8[[#This Row],[ID]],Tabela1[],3,0)</f>
        <v>#N/A</v>
      </c>
      <c r="E145" s="127" t="str">
        <f>IFERROR(VLOOKUP(Tabela8[[#This Row],[ID]],Tabela1[],4,0),"")</f>
        <v/>
      </c>
      <c r="F145" s="127" t="str">
        <f>IFERROR(VLOOKUP(Tabela8[[#This Row],[ID]],Tabela1[],5,0),"")</f>
        <v/>
      </c>
      <c r="G145" s="127" t="str">
        <f>IFERROR(VLOOKUP(Tabela8[[#This Row],[ID]],Tabela1[],6,0),"")</f>
        <v/>
      </c>
      <c r="H145" s="127" t="str">
        <f>IFERROR(VLOOKUP(Tabela8[[#This Row],[ID]],Tabela1[],7,0),"")</f>
        <v/>
      </c>
      <c r="I145" s="126"/>
      <c r="J145" s="126"/>
      <c r="K145" s="129" t="str">
        <f>IFERROR(VLOOKUP(Tabela8[[#This Row],[ID]],Tabela7[],11,0),"")</f>
        <v/>
      </c>
      <c r="L145" s="130" t="e">
        <f>Tabela8[[#This Row],[Latas a Pagar]]*Tabela9[VALOR LATA]</f>
        <v>#VALUE!</v>
      </c>
    </row>
    <row r="146" spans="2:12" hidden="1" x14ac:dyDescent="0.3">
      <c r="B146" s="127">
        <f>VALUE('CONTROLE DE PRODUÇÃO'!B120)</f>
        <v>0</v>
      </c>
      <c r="C146" s="128" t="str">
        <f>IFERROR(VLOOKUP(Tabela8[[#This Row],[ID]],Tabela7[],2,0),"")</f>
        <v/>
      </c>
      <c r="D146" s="128" t="e">
        <f>VLOOKUP(Tabela8[[#This Row],[ID]],Tabela1[],3,0)</f>
        <v>#N/A</v>
      </c>
      <c r="E146" s="127" t="str">
        <f>IFERROR(VLOOKUP(Tabela8[[#This Row],[ID]],Tabela1[],4,0),"")</f>
        <v/>
      </c>
      <c r="F146" s="127" t="str">
        <f>IFERROR(VLOOKUP(Tabela8[[#This Row],[ID]],Tabela1[],5,0),"")</f>
        <v/>
      </c>
      <c r="G146" s="127" t="str">
        <f>IFERROR(VLOOKUP(Tabela8[[#This Row],[ID]],Tabela1[],6,0),"")</f>
        <v/>
      </c>
      <c r="H146" s="127" t="str">
        <f>IFERROR(VLOOKUP(Tabela8[[#This Row],[ID]],Tabela1[],7,0),"")</f>
        <v/>
      </c>
      <c r="I146" s="126"/>
      <c r="J146" s="126"/>
      <c r="K146" s="129" t="str">
        <f>IFERROR(VLOOKUP(Tabela8[[#This Row],[ID]],Tabela7[],11,0),"")</f>
        <v/>
      </c>
      <c r="L146" s="130" t="e">
        <f>Tabela8[[#This Row],[Latas a Pagar]]*Tabela9[VALOR LATA]</f>
        <v>#VALUE!</v>
      </c>
    </row>
    <row r="147" spans="2:12" hidden="1" x14ac:dyDescent="0.3">
      <c r="B147" s="127">
        <f>VALUE('CONTROLE DE PRODUÇÃO'!B121)</f>
        <v>0</v>
      </c>
      <c r="C147" s="128" t="str">
        <f>IFERROR(VLOOKUP(Tabela8[[#This Row],[ID]],Tabela7[],2,0),"")</f>
        <v/>
      </c>
      <c r="D147" s="128" t="e">
        <f>VLOOKUP(Tabela8[[#This Row],[ID]],Tabela1[],3,0)</f>
        <v>#N/A</v>
      </c>
      <c r="E147" s="127" t="str">
        <f>IFERROR(VLOOKUP(Tabela8[[#This Row],[ID]],Tabela1[],4,0),"")</f>
        <v/>
      </c>
      <c r="F147" s="127" t="str">
        <f>IFERROR(VLOOKUP(Tabela8[[#This Row],[ID]],Tabela1[],5,0),"")</f>
        <v/>
      </c>
      <c r="G147" s="127" t="str">
        <f>IFERROR(VLOOKUP(Tabela8[[#This Row],[ID]],Tabela1[],6,0),"")</f>
        <v/>
      </c>
      <c r="H147" s="127" t="str">
        <f>IFERROR(VLOOKUP(Tabela8[[#This Row],[ID]],Tabela1[],7,0),"")</f>
        <v/>
      </c>
      <c r="I147" s="126"/>
      <c r="J147" s="126"/>
      <c r="K147" s="129" t="str">
        <f>IFERROR(VLOOKUP(Tabela8[[#This Row],[ID]],Tabela7[],11,0),"")</f>
        <v/>
      </c>
      <c r="L147" s="130" t="e">
        <f>Tabela8[[#This Row],[Latas a Pagar]]*Tabela9[VALOR LATA]</f>
        <v>#VALUE!</v>
      </c>
    </row>
    <row r="148" spans="2:12" hidden="1" x14ac:dyDescent="0.3">
      <c r="B148" s="127">
        <f>VALUE('CONTROLE DE PRODUÇÃO'!B122)</f>
        <v>0</v>
      </c>
      <c r="C148" s="128" t="str">
        <f>IFERROR(VLOOKUP(Tabela8[[#This Row],[ID]],Tabela7[],2,0),"")</f>
        <v/>
      </c>
      <c r="D148" s="128" t="e">
        <f>VLOOKUP(Tabela8[[#This Row],[ID]],Tabela1[],3,0)</f>
        <v>#N/A</v>
      </c>
      <c r="E148" s="127" t="str">
        <f>IFERROR(VLOOKUP(Tabela8[[#This Row],[ID]],Tabela1[],4,0),"")</f>
        <v/>
      </c>
      <c r="F148" s="127" t="str">
        <f>IFERROR(VLOOKUP(Tabela8[[#This Row],[ID]],Tabela1[],5,0),"")</f>
        <v/>
      </c>
      <c r="G148" s="127" t="str">
        <f>IFERROR(VLOOKUP(Tabela8[[#This Row],[ID]],Tabela1[],6,0),"")</f>
        <v/>
      </c>
      <c r="H148" s="127" t="str">
        <f>IFERROR(VLOOKUP(Tabela8[[#This Row],[ID]],Tabela1[],7,0),"")</f>
        <v/>
      </c>
      <c r="I148" s="126"/>
      <c r="J148" s="126"/>
      <c r="K148" s="129" t="str">
        <f>IFERROR(VLOOKUP(Tabela8[[#This Row],[ID]],Tabela7[],11,0),"")</f>
        <v/>
      </c>
      <c r="L148" s="130" t="e">
        <f>Tabela8[[#This Row],[Latas a Pagar]]*Tabela9[VALOR LATA]</f>
        <v>#VALUE!</v>
      </c>
    </row>
    <row r="149" spans="2:12" hidden="1" x14ac:dyDescent="0.3">
      <c r="B149" s="127">
        <f>VALUE('CONTROLE DE PRODUÇÃO'!B123)</f>
        <v>0</v>
      </c>
      <c r="C149" s="128" t="str">
        <f>IFERROR(VLOOKUP(Tabela8[[#This Row],[ID]],Tabela7[],2,0),"")</f>
        <v/>
      </c>
      <c r="D149" s="128" t="e">
        <f>VLOOKUP(Tabela8[[#This Row],[ID]],Tabela1[],3,0)</f>
        <v>#N/A</v>
      </c>
      <c r="E149" s="127" t="str">
        <f>IFERROR(VLOOKUP(Tabela8[[#This Row],[ID]],Tabela1[],4,0),"")</f>
        <v/>
      </c>
      <c r="F149" s="127" t="str">
        <f>IFERROR(VLOOKUP(Tabela8[[#This Row],[ID]],Tabela1[],5,0),"")</f>
        <v/>
      </c>
      <c r="G149" s="127" t="str">
        <f>IFERROR(VLOOKUP(Tabela8[[#This Row],[ID]],Tabela1[],6,0),"")</f>
        <v/>
      </c>
      <c r="H149" s="127" t="str">
        <f>IFERROR(VLOOKUP(Tabela8[[#This Row],[ID]],Tabela1[],7,0),"")</f>
        <v/>
      </c>
      <c r="I149" s="126"/>
      <c r="J149" s="126"/>
      <c r="K149" s="129" t="str">
        <f>IFERROR(VLOOKUP(Tabela8[[#This Row],[ID]],Tabela7[],11,0),"")</f>
        <v/>
      </c>
      <c r="L149" s="130" t="e">
        <f>Tabela8[[#This Row],[Latas a Pagar]]*Tabela9[VALOR LATA]</f>
        <v>#VALUE!</v>
      </c>
    </row>
    <row r="150" spans="2:12" hidden="1" x14ac:dyDescent="0.3">
      <c r="B150" s="127">
        <f>VALUE('CONTROLE DE PRODUÇÃO'!B124)</f>
        <v>0</v>
      </c>
      <c r="C150" s="128" t="str">
        <f>IFERROR(VLOOKUP(Tabela8[[#This Row],[ID]],Tabela7[],2,0),"")</f>
        <v/>
      </c>
      <c r="D150" s="128" t="e">
        <f>VLOOKUP(Tabela8[[#This Row],[ID]],Tabela1[],3,0)</f>
        <v>#N/A</v>
      </c>
      <c r="E150" s="127" t="str">
        <f>IFERROR(VLOOKUP(Tabela8[[#This Row],[ID]],Tabela1[],4,0),"")</f>
        <v/>
      </c>
      <c r="F150" s="127" t="str">
        <f>IFERROR(VLOOKUP(Tabela8[[#This Row],[ID]],Tabela1[],5,0),"")</f>
        <v/>
      </c>
      <c r="G150" s="127" t="str">
        <f>IFERROR(VLOOKUP(Tabela8[[#This Row],[ID]],Tabela1[],6,0),"")</f>
        <v/>
      </c>
      <c r="H150" s="127" t="str">
        <f>IFERROR(VLOOKUP(Tabela8[[#This Row],[ID]],Tabela1[],7,0),"")</f>
        <v/>
      </c>
      <c r="I150" s="126"/>
      <c r="J150" s="126"/>
      <c r="K150" s="129" t="str">
        <f>IFERROR(VLOOKUP(Tabela8[[#This Row],[ID]],Tabela7[],11,0),"")</f>
        <v/>
      </c>
      <c r="L150" s="130" t="e">
        <f>Tabela8[[#This Row],[Latas a Pagar]]*Tabela9[VALOR LATA]</f>
        <v>#VALUE!</v>
      </c>
    </row>
    <row r="151" spans="2:12" hidden="1" x14ac:dyDescent="0.3">
      <c r="B151" s="127">
        <f>VALUE('CONTROLE DE PRODUÇÃO'!B125)</f>
        <v>0</v>
      </c>
      <c r="C151" s="128" t="str">
        <f>IFERROR(VLOOKUP(Tabela8[[#This Row],[ID]],Tabela7[],2,0),"")</f>
        <v/>
      </c>
      <c r="D151" s="128" t="e">
        <f>VLOOKUP(Tabela8[[#This Row],[ID]],Tabela1[],3,0)</f>
        <v>#N/A</v>
      </c>
      <c r="E151" s="127" t="str">
        <f>IFERROR(VLOOKUP(Tabela8[[#This Row],[ID]],Tabela1[],4,0),"")</f>
        <v/>
      </c>
      <c r="F151" s="127" t="str">
        <f>IFERROR(VLOOKUP(Tabela8[[#This Row],[ID]],Tabela1[],5,0),"")</f>
        <v/>
      </c>
      <c r="G151" s="127" t="str">
        <f>IFERROR(VLOOKUP(Tabela8[[#This Row],[ID]],Tabela1[],6,0),"")</f>
        <v/>
      </c>
      <c r="H151" s="127" t="str">
        <f>IFERROR(VLOOKUP(Tabela8[[#This Row],[ID]],Tabela1[],7,0),"")</f>
        <v/>
      </c>
      <c r="I151" s="126"/>
      <c r="J151" s="126"/>
      <c r="K151" s="129" t="str">
        <f>IFERROR(VLOOKUP(Tabela8[[#This Row],[ID]],Tabela7[],11,0),"")</f>
        <v/>
      </c>
      <c r="L151" s="130" t="e">
        <f>Tabela8[[#This Row],[Latas a Pagar]]*Tabela9[VALOR LATA]</f>
        <v>#VALUE!</v>
      </c>
    </row>
    <row r="152" spans="2:12" hidden="1" x14ac:dyDescent="0.3">
      <c r="B152" s="127">
        <f>VALUE('CONTROLE DE PRODUÇÃO'!B126)</f>
        <v>0</v>
      </c>
      <c r="C152" s="128" t="str">
        <f>IFERROR(VLOOKUP(Tabela8[[#This Row],[ID]],Tabela7[],2,0),"")</f>
        <v/>
      </c>
      <c r="D152" s="128" t="e">
        <f>VLOOKUP(Tabela8[[#This Row],[ID]],Tabela1[],3,0)</f>
        <v>#N/A</v>
      </c>
      <c r="E152" s="127" t="str">
        <f>IFERROR(VLOOKUP(Tabela8[[#This Row],[ID]],Tabela1[],4,0),"")</f>
        <v/>
      </c>
      <c r="F152" s="127" t="str">
        <f>IFERROR(VLOOKUP(Tabela8[[#This Row],[ID]],Tabela1[],5,0),"")</f>
        <v/>
      </c>
      <c r="G152" s="127" t="str">
        <f>IFERROR(VLOOKUP(Tabela8[[#This Row],[ID]],Tabela1[],6,0),"")</f>
        <v/>
      </c>
      <c r="H152" s="127" t="str">
        <f>IFERROR(VLOOKUP(Tabela8[[#This Row],[ID]],Tabela1[],7,0),"")</f>
        <v/>
      </c>
      <c r="I152" s="126"/>
      <c r="J152" s="126"/>
      <c r="K152" s="129" t="str">
        <f>IFERROR(VLOOKUP(Tabela8[[#This Row],[ID]],Tabela7[],11,0),"")</f>
        <v/>
      </c>
      <c r="L152" s="130" t="e">
        <f>Tabela8[[#This Row],[Latas a Pagar]]*Tabela9[VALOR LATA]</f>
        <v>#VALUE!</v>
      </c>
    </row>
    <row r="153" spans="2:12" hidden="1" x14ac:dyDescent="0.3">
      <c r="B153" s="127">
        <f>VALUE('CONTROLE DE PRODUÇÃO'!B127)</f>
        <v>0</v>
      </c>
      <c r="C153" s="128" t="str">
        <f>IFERROR(VLOOKUP(Tabela8[[#This Row],[ID]],Tabela7[],2,0),"")</f>
        <v/>
      </c>
      <c r="D153" s="128" t="e">
        <f>VLOOKUP(Tabela8[[#This Row],[ID]],Tabela1[],3,0)</f>
        <v>#N/A</v>
      </c>
      <c r="E153" s="127" t="str">
        <f>IFERROR(VLOOKUP(Tabela8[[#This Row],[ID]],Tabela1[],4,0),"")</f>
        <v/>
      </c>
      <c r="F153" s="127" t="str">
        <f>IFERROR(VLOOKUP(Tabela8[[#This Row],[ID]],Tabela1[],5,0),"")</f>
        <v/>
      </c>
      <c r="G153" s="127" t="str">
        <f>IFERROR(VLOOKUP(Tabela8[[#This Row],[ID]],Tabela1[],6,0),"")</f>
        <v/>
      </c>
      <c r="H153" s="127" t="str">
        <f>IFERROR(VLOOKUP(Tabela8[[#This Row],[ID]],Tabela1[],7,0),"")</f>
        <v/>
      </c>
      <c r="I153" s="126"/>
      <c r="J153" s="126"/>
      <c r="K153" s="129" t="str">
        <f>IFERROR(VLOOKUP(Tabela8[[#This Row],[ID]],Tabela7[],11,0),"")</f>
        <v/>
      </c>
      <c r="L153" s="130" t="e">
        <f>Tabela8[[#This Row],[Latas a Pagar]]*Tabela9[VALOR LATA]</f>
        <v>#VALUE!</v>
      </c>
    </row>
    <row r="154" spans="2:12" hidden="1" x14ac:dyDescent="0.3">
      <c r="B154" s="127">
        <f>VALUE('CONTROLE DE PRODUÇÃO'!B128)</f>
        <v>0</v>
      </c>
      <c r="C154" s="128" t="str">
        <f>IFERROR(VLOOKUP(Tabela8[[#This Row],[ID]],Tabela7[],2,0),"")</f>
        <v/>
      </c>
      <c r="D154" s="128" t="e">
        <f>VLOOKUP(Tabela8[[#This Row],[ID]],Tabela1[],3,0)</f>
        <v>#N/A</v>
      </c>
      <c r="E154" s="127" t="str">
        <f>IFERROR(VLOOKUP(Tabela8[[#This Row],[ID]],Tabela1[],4,0),"")</f>
        <v/>
      </c>
      <c r="F154" s="127" t="str">
        <f>IFERROR(VLOOKUP(Tabela8[[#This Row],[ID]],Tabela1[],5,0),"")</f>
        <v/>
      </c>
      <c r="G154" s="127" t="str">
        <f>IFERROR(VLOOKUP(Tabela8[[#This Row],[ID]],Tabela1[],6,0),"")</f>
        <v/>
      </c>
      <c r="H154" s="127" t="str">
        <f>IFERROR(VLOOKUP(Tabela8[[#This Row],[ID]],Tabela1[],7,0),"")</f>
        <v/>
      </c>
      <c r="I154" s="126"/>
      <c r="J154" s="126"/>
      <c r="K154" s="129" t="str">
        <f>IFERROR(VLOOKUP(Tabela8[[#This Row],[ID]],Tabela7[],11,0),"")</f>
        <v/>
      </c>
      <c r="L154" s="130" t="e">
        <f>Tabela8[[#This Row],[Latas a Pagar]]*Tabela9[VALOR LATA]</f>
        <v>#VALUE!</v>
      </c>
    </row>
    <row r="155" spans="2:12" hidden="1" x14ac:dyDescent="0.3">
      <c r="B155" s="127">
        <f>VALUE('CONTROLE DE PRODUÇÃO'!B129)</f>
        <v>0</v>
      </c>
      <c r="C155" s="128" t="str">
        <f>IFERROR(VLOOKUP(Tabela8[[#This Row],[ID]],Tabela7[],2,0),"")</f>
        <v/>
      </c>
      <c r="D155" s="128" t="e">
        <f>VLOOKUP(Tabela8[[#This Row],[ID]],Tabela1[],3,0)</f>
        <v>#N/A</v>
      </c>
      <c r="E155" s="127" t="str">
        <f>IFERROR(VLOOKUP(Tabela8[[#This Row],[ID]],Tabela1[],4,0),"")</f>
        <v/>
      </c>
      <c r="F155" s="127" t="str">
        <f>IFERROR(VLOOKUP(Tabela8[[#This Row],[ID]],Tabela1[],5,0),"")</f>
        <v/>
      </c>
      <c r="G155" s="127" t="str">
        <f>IFERROR(VLOOKUP(Tabela8[[#This Row],[ID]],Tabela1[],6,0),"")</f>
        <v/>
      </c>
      <c r="H155" s="127" t="str">
        <f>IFERROR(VLOOKUP(Tabela8[[#This Row],[ID]],Tabela1[],7,0),"")</f>
        <v/>
      </c>
      <c r="I155" s="126"/>
      <c r="J155" s="126"/>
      <c r="K155" s="129" t="str">
        <f>IFERROR(VLOOKUP(Tabela8[[#This Row],[ID]],Tabela7[],11,0),"")</f>
        <v/>
      </c>
      <c r="L155" s="130" t="e">
        <f>Tabela8[[#This Row],[Latas a Pagar]]*Tabela9[VALOR LATA]</f>
        <v>#VALUE!</v>
      </c>
    </row>
    <row r="156" spans="2:12" hidden="1" x14ac:dyDescent="0.3">
      <c r="B156" s="127">
        <f>VALUE('CONTROLE DE PRODUÇÃO'!B130)</f>
        <v>0</v>
      </c>
      <c r="C156" s="128" t="str">
        <f>IFERROR(VLOOKUP(Tabela8[[#This Row],[ID]],Tabela7[],2,0),"")</f>
        <v/>
      </c>
      <c r="D156" s="128" t="e">
        <f>VLOOKUP(Tabela8[[#This Row],[ID]],Tabela1[],3,0)</f>
        <v>#N/A</v>
      </c>
      <c r="E156" s="127" t="str">
        <f>IFERROR(VLOOKUP(Tabela8[[#This Row],[ID]],Tabela1[],4,0),"")</f>
        <v/>
      </c>
      <c r="F156" s="127" t="str">
        <f>IFERROR(VLOOKUP(Tabela8[[#This Row],[ID]],Tabela1[],5,0),"")</f>
        <v/>
      </c>
      <c r="G156" s="127" t="str">
        <f>IFERROR(VLOOKUP(Tabela8[[#This Row],[ID]],Tabela1[],6,0),"")</f>
        <v/>
      </c>
      <c r="H156" s="127" t="str">
        <f>IFERROR(VLOOKUP(Tabela8[[#This Row],[ID]],Tabela1[],7,0),"")</f>
        <v/>
      </c>
      <c r="I156" s="126"/>
      <c r="J156" s="126"/>
      <c r="K156" s="129" t="str">
        <f>IFERROR(VLOOKUP(Tabela8[[#This Row],[ID]],Tabela7[],11,0),"")</f>
        <v/>
      </c>
      <c r="L156" s="130" t="e">
        <f>Tabela8[[#This Row],[Latas a Pagar]]*Tabela9[VALOR LATA]</f>
        <v>#VALUE!</v>
      </c>
    </row>
    <row r="157" spans="2:12" hidden="1" x14ac:dyDescent="0.3">
      <c r="B157" s="127">
        <f>VALUE('CONTROLE DE PRODUÇÃO'!B131)</f>
        <v>0</v>
      </c>
      <c r="C157" s="128" t="str">
        <f>IFERROR(VLOOKUP(Tabela8[[#This Row],[ID]],Tabela7[],2,0),"")</f>
        <v/>
      </c>
      <c r="D157" s="128" t="e">
        <f>VLOOKUP(Tabela8[[#This Row],[ID]],Tabela1[],3,0)</f>
        <v>#N/A</v>
      </c>
      <c r="E157" s="127" t="str">
        <f>IFERROR(VLOOKUP(Tabela8[[#This Row],[ID]],Tabela1[],4,0),"")</f>
        <v/>
      </c>
      <c r="F157" s="127" t="str">
        <f>IFERROR(VLOOKUP(Tabela8[[#This Row],[ID]],Tabela1[],5,0),"")</f>
        <v/>
      </c>
      <c r="G157" s="127" t="str">
        <f>IFERROR(VLOOKUP(Tabela8[[#This Row],[ID]],Tabela1[],6,0),"")</f>
        <v/>
      </c>
      <c r="H157" s="127" t="str">
        <f>IFERROR(VLOOKUP(Tabela8[[#This Row],[ID]],Tabela1[],7,0),"")</f>
        <v/>
      </c>
      <c r="I157" s="126"/>
      <c r="J157" s="126"/>
      <c r="K157" s="129" t="str">
        <f>IFERROR(VLOOKUP(Tabela8[[#This Row],[ID]],Tabela7[],11,0),"")</f>
        <v/>
      </c>
      <c r="L157" s="130" t="e">
        <f>Tabela8[[#This Row],[Latas a Pagar]]*Tabela9[VALOR LATA]</f>
        <v>#VALUE!</v>
      </c>
    </row>
    <row r="158" spans="2:12" hidden="1" x14ac:dyDescent="0.3">
      <c r="B158" s="127">
        <f>VALUE('CONTROLE DE PRODUÇÃO'!B132)</f>
        <v>0</v>
      </c>
      <c r="C158" s="128" t="str">
        <f>IFERROR(VLOOKUP(Tabela8[[#This Row],[ID]],Tabela7[],2,0),"")</f>
        <v/>
      </c>
      <c r="D158" s="128" t="e">
        <f>VLOOKUP(Tabela8[[#This Row],[ID]],Tabela1[],3,0)</f>
        <v>#N/A</v>
      </c>
      <c r="E158" s="127" t="str">
        <f>IFERROR(VLOOKUP(Tabela8[[#This Row],[ID]],Tabela1[],4,0),"")</f>
        <v/>
      </c>
      <c r="F158" s="127" t="str">
        <f>IFERROR(VLOOKUP(Tabela8[[#This Row],[ID]],Tabela1[],5,0),"")</f>
        <v/>
      </c>
      <c r="G158" s="127" t="str">
        <f>IFERROR(VLOOKUP(Tabela8[[#This Row],[ID]],Tabela1[],6,0),"")</f>
        <v/>
      </c>
      <c r="H158" s="127" t="str">
        <f>IFERROR(VLOOKUP(Tabela8[[#This Row],[ID]],Tabela1[],7,0),"")</f>
        <v/>
      </c>
      <c r="I158" s="126"/>
      <c r="J158" s="126"/>
      <c r="K158" s="129" t="str">
        <f>IFERROR(VLOOKUP(Tabela8[[#This Row],[ID]],Tabela7[],11,0),"")</f>
        <v/>
      </c>
      <c r="L158" s="130" t="e">
        <f>Tabela8[[#This Row],[Latas a Pagar]]*Tabela9[VALOR LATA]</f>
        <v>#VALUE!</v>
      </c>
    </row>
    <row r="159" spans="2:12" hidden="1" x14ac:dyDescent="0.3">
      <c r="B159" s="127">
        <f>VALUE('CONTROLE DE PRODUÇÃO'!B133)</f>
        <v>0</v>
      </c>
      <c r="C159" s="128" t="str">
        <f>IFERROR(VLOOKUP(Tabela8[[#This Row],[ID]],Tabela7[],2,0),"")</f>
        <v/>
      </c>
      <c r="D159" s="128" t="e">
        <f>VLOOKUP(Tabela8[[#This Row],[ID]],Tabela1[],3,0)</f>
        <v>#N/A</v>
      </c>
      <c r="E159" s="127" t="str">
        <f>IFERROR(VLOOKUP(Tabela8[[#This Row],[ID]],Tabela1[],4,0),"")</f>
        <v/>
      </c>
      <c r="F159" s="127" t="str">
        <f>IFERROR(VLOOKUP(Tabela8[[#This Row],[ID]],Tabela1[],5,0),"")</f>
        <v/>
      </c>
      <c r="G159" s="127" t="str">
        <f>IFERROR(VLOOKUP(Tabela8[[#This Row],[ID]],Tabela1[],6,0),"")</f>
        <v/>
      </c>
      <c r="H159" s="127" t="str">
        <f>IFERROR(VLOOKUP(Tabela8[[#This Row],[ID]],Tabela1[],7,0),"")</f>
        <v/>
      </c>
      <c r="I159" s="126"/>
      <c r="J159" s="126"/>
      <c r="K159" s="129" t="str">
        <f>IFERROR(VLOOKUP(Tabela8[[#This Row],[ID]],Tabela7[],11,0),"")</f>
        <v/>
      </c>
      <c r="L159" s="130" t="e">
        <f>Tabela8[[#This Row],[Latas a Pagar]]*Tabela9[VALOR LATA]</f>
        <v>#VALUE!</v>
      </c>
    </row>
    <row r="160" spans="2:12" hidden="1" x14ac:dyDescent="0.3">
      <c r="B160" s="127">
        <f>VALUE('CONTROLE DE PRODUÇÃO'!B134)</f>
        <v>0</v>
      </c>
      <c r="C160" s="128" t="str">
        <f>IFERROR(VLOOKUP(Tabela8[[#This Row],[ID]],Tabela7[],2,0),"")</f>
        <v/>
      </c>
      <c r="D160" s="128" t="e">
        <f>VLOOKUP(Tabela8[[#This Row],[ID]],Tabela1[],3,0)</f>
        <v>#N/A</v>
      </c>
      <c r="E160" s="127" t="str">
        <f>IFERROR(VLOOKUP(Tabela8[[#This Row],[ID]],Tabela1[],4,0),"")</f>
        <v/>
      </c>
      <c r="F160" s="127" t="str">
        <f>IFERROR(VLOOKUP(Tabela8[[#This Row],[ID]],Tabela1[],5,0),"")</f>
        <v/>
      </c>
      <c r="G160" s="127" t="str">
        <f>IFERROR(VLOOKUP(Tabela8[[#This Row],[ID]],Tabela1[],6,0),"")</f>
        <v/>
      </c>
      <c r="H160" s="127" t="str">
        <f>IFERROR(VLOOKUP(Tabela8[[#This Row],[ID]],Tabela1[],7,0),"")</f>
        <v/>
      </c>
      <c r="I160" s="126"/>
      <c r="J160" s="126"/>
      <c r="K160" s="129" t="str">
        <f>IFERROR(VLOOKUP(Tabela8[[#This Row],[ID]],Tabela7[],11,0),"")</f>
        <v/>
      </c>
      <c r="L160" s="130" t="e">
        <f>Tabela8[[#This Row],[Latas a Pagar]]*Tabela9[VALOR LATA]</f>
        <v>#VALUE!</v>
      </c>
    </row>
    <row r="161" spans="2:12" hidden="1" x14ac:dyDescent="0.3">
      <c r="B161" s="127">
        <f>VALUE('CONTROLE DE PRODUÇÃO'!B135)</f>
        <v>0</v>
      </c>
      <c r="C161" s="128" t="str">
        <f>IFERROR(VLOOKUP(Tabela8[[#This Row],[ID]],Tabela7[],2,0),"")</f>
        <v/>
      </c>
      <c r="D161" s="128" t="e">
        <f>VLOOKUP(Tabela8[[#This Row],[ID]],Tabela1[],3,0)</f>
        <v>#N/A</v>
      </c>
      <c r="E161" s="127" t="str">
        <f>IFERROR(VLOOKUP(Tabela8[[#This Row],[ID]],Tabela1[],4,0),"")</f>
        <v/>
      </c>
      <c r="F161" s="127" t="str">
        <f>IFERROR(VLOOKUP(Tabela8[[#This Row],[ID]],Tabela1[],5,0),"")</f>
        <v/>
      </c>
      <c r="G161" s="127" t="str">
        <f>IFERROR(VLOOKUP(Tabela8[[#This Row],[ID]],Tabela1[],6,0),"")</f>
        <v/>
      </c>
      <c r="H161" s="127" t="str">
        <f>IFERROR(VLOOKUP(Tabela8[[#This Row],[ID]],Tabela1[],7,0),"")</f>
        <v/>
      </c>
      <c r="I161" s="126"/>
      <c r="J161" s="126"/>
      <c r="K161" s="129" t="str">
        <f>IFERROR(VLOOKUP(Tabela8[[#This Row],[ID]],Tabela7[],11,0),"")</f>
        <v/>
      </c>
      <c r="L161" s="130" t="e">
        <f>Tabela8[[#This Row],[Latas a Pagar]]*Tabela9[VALOR LATA]</f>
        <v>#VALUE!</v>
      </c>
    </row>
    <row r="162" spans="2:12" hidden="1" x14ac:dyDescent="0.3">
      <c r="B162" s="127">
        <f>VALUE('CONTROLE DE PRODUÇÃO'!B136)</f>
        <v>0</v>
      </c>
      <c r="C162" s="128" t="str">
        <f>IFERROR(VLOOKUP(Tabela8[[#This Row],[ID]],Tabela7[],2,0),"")</f>
        <v/>
      </c>
      <c r="D162" s="128" t="e">
        <f>VLOOKUP(Tabela8[[#This Row],[ID]],Tabela1[],3,0)</f>
        <v>#N/A</v>
      </c>
      <c r="E162" s="127" t="str">
        <f>IFERROR(VLOOKUP(Tabela8[[#This Row],[ID]],Tabela1[],4,0),"")</f>
        <v/>
      </c>
      <c r="F162" s="127" t="str">
        <f>IFERROR(VLOOKUP(Tabela8[[#This Row],[ID]],Tabela1[],5,0),"")</f>
        <v/>
      </c>
      <c r="G162" s="127" t="str">
        <f>IFERROR(VLOOKUP(Tabela8[[#This Row],[ID]],Tabela1[],6,0),"")</f>
        <v/>
      </c>
      <c r="H162" s="127" t="str">
        <f>IFERROR(VLOOKUP(Tabela8[[#This Row],[ID]],Tabela1[],7,0),"")</f>
        <v/>
      </c>
      <c r="I162" s="126"/>
      <c r="J162" s="126"/>
      <c r="K162" s="129" t="str">
        <f>IFERROR(VLOOKUP(Tabela8[[#This Row],[ID]],Tabela7[],11,0),"")</f>
        <v/>
      </c>
      <c r="L162" s="130" t="e">
        <f>Tabela8[[#This Row],[Latas a Pagar]]*Tabela9[VALOR LATA]</f>
        <v>#VALUE!</v>
      </c>
    </row>
    <row r="163" spans="2:12" hidden="1" x14ac:dyDescent="0.3">
      <c r="B163" s="127">
        <f>VALUE('CONTROLE DE PRODUÇÃO'!B137)</f>
        <v>0</v>
      </c>
      <c r="C163" s="128" t="str">
        <f>IFERROR(VLOOKUP(Tabela8[[#This Row],[ID]],Tabela7[],2,0),"")</f>
        <v/>
      </c>
      <c r="D163" s="128" t="e">
        <f>VLOOKUP(Tabela8[[#This Row],[ID]],Tabela1[],3,0)</f>
        <v>#N/A</v>
      </c>
      <c r="E163" s="127" t="str">
        <f>IFERROR(VLOOKUP(Tabela8[[#This Row],[ID]],Tabela1[],4,0),"")</f>
        <v/>
      </c>
      <c r="F163" s="127" t="str">
        <f>IFERROR(VLOOKUP(Tabela8[[#This Row],[ID]],Tabela1[],5,0),"")</f>
        <v/>
      </c>
      <c r="G163" s="127" t="str">
        <f>IFERROR(VLOOKUP(Tabela8[[#This Row],[ID]],Tabela1[],6,0),"")</f>
        <v/>
      </c>
      <c r="H163" s="127" t="str">
        <f>IFERROR(VLOOKUP(Tabela8[[#This Row],[ID]],Tabela1[],7,0),"")</f>
        <v/>
      </c>
      <c r="I163" s="126"/>
      <c r="J163" s="126"/>
      <c r="K163" s="129" t="str">
        <f>IFERROR(VLOOKUP(Tabela8[[#This Row],[ID]],Tabela7[],11,0),"")</f>
        <v/>
      </c>
      <c r="L163" s="130" t="e">
        <f>Tabela8[[#This Row],[Latas a Pagar]]*Tabela9[VALOR LATA]</f>
        <v>#VALUE!</v>
      </c>
    </row>
    <row r="164" spans="2:12" hidden="1" x14ac:dyDescent="0.3">
      <c r="B164" s="127">
        <f>VALUE('CONTROLE DE PRODUÇÃO'!B138)</f>
        <v>0</v>
      </c>
      <c r="C164" s="128" t="str">
        <f>IFERROR(VLOOKUP(Tabela8[[#This Row],[ID]],Tabela7[],2,0),"")</f>
        <v/>
      </c>
      <c r="D164" s="128" t="e">
        <f>VLOOKUP(Tabela8[[#This Row],[ID]],Tabela1[],3,0)</f>
        <v>#N/A</v>
      </c>
      <c r="E164" s="127" t="str">
        <f>IFERROR(VLOOKUP(Tabela8[[#This Row],[ID]],Tabela1[],4,0),"")</f>
        <v/>
      </c>
      <c r="F164" s="127" t="str">
        <f>IFERROR(VLOOKUP(Tabela8[[#This Row],[ID]],Tabela1[],5,0),"")</f>
        <v/>
      </c>
      <c r="G164" s="127" t="str">
        <f>IFERROR(VLOOKUP(Tabela8[[#This Row],[ID]],Tabela1[],6,0),"")</f>
        <v/>
      </c>
      <c r="H164" s="127" t="str">
        <f>IFERROR(VLOOKUP(Tabela8[[#This Row],[ID]],Tabela1[],7,0),"")</f>
        <v/>
      </c>
      <c r="I164" s="126"/>
      <c r="J164" s="126"/>
      <c r="K164" s="129" t="str">
        <f>IFERROR(VLOOKUP(Tabela8[[#This Row],[ID]],Tabela7[],11,0),"")</f>
        <v/>
      </c>
      <c r="L164" s="130" t="e">
        <f>Tabela8[[#This Row],[Latas a Pagar]]*Tabela9[VALOR LATA]</f>
        <v>#VALUE!</v>
      </c>
    </row>
    <row r="165" spans="2:12" hidden="1" x14ac:dyDescent="0.3">
      <c r="B165" s="127">
        <f>VALUE('CONTROLE DE PRODUÇÃO'!B139)</f>
        <v>0</v>
      </c>
      <c r="C165" s="128" t="str">
        <f>IFERROR(VLOOKUP(Tabela8[[#This Row],[ID]],Tabela7[],2,0),"")</f>
        <v/>
      </c>
      <c r="D165" s="128" t="e">
        <f>VLOOKUP(Tabela8[[#This Row],[ID]],Tabela1[],3,0)</f>
        <v>#N/A</v>
      </c>
      <c r="E165" s="127" t="str">
        <f>IFERROR(VLOOKUP(Tabela8[[#This Row],[ID]],Tabela1[],4,0),"")</f>
        <v/>
      </c>
      <c r="F165" s="127" t="str">
        <f>IFERROR(VLOOKUP(Tabela8[[#This Row],[ID]],Tabela1[],5,0),"")</f>
        <v/>
      </c>
      <c r="G165" s="127" t="str">
        <f>IFERROR(VLOOKUP(Tabela8[[#This Row],[ID]],Tabela1[],6,0),"")</f>
        <v/>
      </c>
      <c r="H165" s="127" t="str">
        <f>IFERROR(VLOOKUP(Tabela8[[#This Row],[ID]],Tabela1[],7,0),"")</f>
        <v/>
      </c>
      <c r="I165" s="126"/>
      <c r="J165" s="126"/>
      <c r="K165" s="129" t="str">
        <f>IFERROR(VLOOKUP(Tabela8[[#This Row],[ID]],Tabela7[],11,0),"")</f>
        <v/>
      </c>
      <c r="L165" s="130" t="e">
        <f>Tabela8[[#This Row],[Latas a Pagar]]*Tabela9[VALOR LATA]</f>
        <v>#VALUE!</v>
      </c>
    </row>
    <row r="166" spans="2:12" hidden="1" x14ac:dyDescent="0.3">
      <c r="B166" s="127">
        <f>VALUE('CONTROLE DE PRODUÇÃO'!B140)</f>
        <v>0</v>
      </c>
      <c r="C166" s="128" t="str">
        <f>IFERROR(VLOOKUP(Tabela8[[#This Row],[ID]],Tabela7[],2,0),"")</f>
        <v/>
      </c>
      <c r="D166" s="128" t="e">
        <f>VLOOKUP(Tabela8[[#This Row],[ID]],Tabela1[],3,0)</f>
        <v>#N/A</v>
      </c>
      <c r="E166" s="127" t="str">
        <f>IFERROR(VLOOKUP(Tabela8[[#This Row],[ID]],Tabela1[],4,0),"")</f>
        <v/>
      </c>
      <c r="F166" s="127" t="str">
        <f>IFERROR(VLOOKUP(Tabela8[[#This Row],[ID]],Tabela1[],5,0),"")</f>
        <v/>
      </c>
      <c r="G166" s="127" t="str">
        <f>IFERROR(VLOOKUP(Tabela8[[#This Row],[ID]],Tabela1[],6,0),"")</f>
        <v/>
      </c>
      <c r="H166" s="127" t="str">
        <f>IFERROR(VLOOKUP(Tabela8[[#This Row],[ID]],Tabela1[],7,0),"")</f>
        <v/>
      </c>
      <c r="I166" s="126"/>
      <c r="J166" s="126"/>
      <c r="K166" s="129" t="str">
        <f>IFERROR(VLOOKUP(Tabela8[[#This Row],[ID]],Tabela7[],11,0),"")</f>
        <v/>
      </c>
      <c r="L166" s="130" t="e">
        <f>Tabela8[[#This Row],[Latas a Pagar]]*Tabela9[VALOR LATA]</f>
        <v>#VALUE!</v>
      </c>
    </row>
    <row r="167" spans="2:12" hidden="1" x14ac:dyDescent="0.3">
      <c r="B167" s="127">
        <f>VALUE('CONTROLE DE PRODUÇÃO'!B141)</f>
        <v>0</v>
      </c>
      <c r="C167" s="128" t="str">
        <f>IFERROR(VLOOKUP(Tabela8[[#This Row],[ID]],Tabela7[],2,0),"")</f>
        <v/>
      </c>
      <c r="D167" s="128" t="e">
        <f>VLOOKUP(Tabela8[[#This Row],[ID]],Tabela1[],3,0)</f>
        <v>#N/A</v>
      </c>
      <c r="E167" s="127" t="str">
        <f>IFERROR(VLOOKUP(Tabela8[[#This Row],[ID]],Tabela1[],4,0),"")</f>
        <v/>
      </c>
      <c r="F167" s="127" t="str">
        <f>IFERROR(VLOOKUP(Tabela8[[#This Row],[ID]],Tabela1[],5,0),"")</f>
        <v/>
      </c>
      <c r="G167" s="127" t="str">
        <f>IFERROR(VLOOKUP(Tabela8[[#This Row],[ID]],Tabela1[],6,0),"")</f>
        <v/>
      </c>
      <c r="H167" s="127" t="str">
        <f>IFERROR(VLOOKUP(Tabela8[[#This Row],[ID]],Tabela1[],7,0),"")</f>
        <v/>
      </c>
      <c r="I167" s="126"/>
      <c r="J167" s="126"/>
      <c r="K167" s="129" t="str">
        <f>IFERROR(VLOOKUP(Tabela8[[#This Row],[ID]],Tabela7[],11,0),"")</f>
        <v/>
      </c>
      <c r="L167" s="130" t="e">
        <f>Tabela8[[#This Row],[Latas a Pagar]]*Tabela9[VALOR LATA]</f>
        <v>#VALUE!</v>
      </c>
    </row>
    <row r="168" spans="2:12" hidden="1" x14ac:dyDescent="0.3">
      <c r="B168" s="127">
        <f>VALUE('CONTROLE DE PRODUÇÃO'!B142)</f>
        <v>0</v>
      </c>
      <c r="C168" s="128" t="str">
        <f>IFERROR(VLOOKUP(Tabela8[[#This Row],[ID]],Tabela7[],2,0),"")</f>
        <v/>
      </c>
      <c r="D168" s="128" t="e">
        <f>VLOOKUP(Tabela8[[#This Row],[ID]],Tabela1[],3,0)</f>
        <v>#N/A</v>
      </c>
      <c r="E168" s="127" t="str">
        <f>IFERROR(VLOOKUP(Tabela8[[#This Row],[ID]],Tabela1[],4,0),"")</f>
        <v/>
      </c>
      <c r="F168" s="127" t="str">
        <f>IFERROR(VLOOKUP(Tabela8[[#This Row],[ID]],Tabela1[],5,0),"")</f>
        <v/>
      </c>
      <c r="G168" s="127" t="str">
        <f>IFERROR(VLOOKUP(Tabela8[[#This Row],[ID]],Tabela1[],6,0),"")</f>
        <v/>
      </c>
      <c r="H168" s="127" t="str">
        <f>IFERROR(VLOOKUP(Tabela8[[#This Row],[ID]],Tabela1[],7,0),"")</f>
        <v/>
      </c>
      <c r="I168" s="126"/>
      <c r="J168" s="126"/>
      <c r="K168" s="129" t="str">
        <f>IFERROR(VLOOKUP(Tabela8[[#This Row],[ID]],Tabela7[],11,0),"")</f>
        <v/>
      </c>
      <c r="L168" s="130" t="e">
        <f>Tabela8[[#This Row],[Latas a Pagar]]*Tabela9[VALOR LATA]</f>
        <v>#VALUE!</v>
      </c>
    </row>
    <row r="169" spans="2:12" hidden="1" x14ac:dyDescent="0.3">
      <c r="B169" s="127">
        <f>VALUE('CONTROLE DE PRODUÇÃO'!B143)</f>
        <v>0</v>
      </c>
      <c r="C169" s="128" t="str">
        <f>IFERROR(VLOOKUP(Tabela8[[#This Row],[ID]],Tabela7[],2,0),"")</f>
        <v/>
      </c>
      <c r="D169" s="128" t="e">
        <f>VLOOKUP(Tabela8[[#This Row],[ID]],Tabela1[],3,0)</f>
        <v>#N/A</v>
      </c>
      <c r="E169" s="127" t="str">
        <f>IFERROR(VLOOKUP(Tabela8[[#This Row],[ID]],Tabela1[],4,0),"")</f>
        <v/>
      </c>
      <c r="F169" s="127" t="str">
        <f>IFERROR(VLOOKUP(Tabela8[[#This Row],[ID]],Tabela1[],5,0),"")</f>
        <v/>
      </c>
      <c r="G169" s="127" t="str">
        <f>IFERROR(VLOOKUP(Tabela8[[#This Row],[ID]],Tabela1[],6,0),"")</f>
        <v/>
      </c>
      <c r="H169" s="127" t="str">
        <f>IFERROR(VLOOKUP(Tabela8[[#This Row],[ID]],Tabela1[],7,0),"")</f>
        <v/>
      </c>
      <c r="I169" s="126"/>
      <c r="J169" s="126"/>
      <c r="K169" s="129" t="str">
        <f>IFERROR(VLOOKUP(Tabela8[[#This Row],[ID]],Tabela7[],11,0),"")</f>
        <v/>
      </c>
      <c r="L169" s="130" t="e">
        <f>Tabela8[[#This Row],[Latas a Pagar]]*Tabela9[VALOR LATA]</f>
        <v>#VALUE!</v>
      </c>
    </row>
    <row r="170" spans="2:12" hidden="1" x14ac:dyDescent="0.3">
      <c r="B170" s="127">
        <f>VALUE('CONTROLE DE PRODUÇÃO'!B144)</f>
        <v>0</v>
      </c>
      <c r="C170" s="128" t="str">
        <f>IFERROR(VLOOKUP(Tabela8[[#This Row],[ID]],Tabela7[],2,0),"")</f>
        <v/>
      </c>
      <c r="D170" s="128" t="e">
        <f>VLOOKUP(Tabela8[[#This Row],[ID]],Tabela1[],3,0)</f>
        <v>#N/A</v>
      </c>
      <c r="E170" s="127" t="str">
        <f>IFERROR(VLOOKUP(Tabela8[[#This Row],[ID]],Tabela1[],4,0),"")</f>
        <v/>
      </c>
      <c r="F170" s="127" t="str">
        <f>IFERROR(VLOOKUP(Tabela8[[#This Row],[ID]],Tabela1[],5,0),"")</f>
        <v/>
      </c>
      <c r="G170" s="127" t="str">
        <f>IFERROR(VLOOKUP(Tabela8[[#This Row],[ID]],Tabela1[],6,0),"")</f>
        <v/>
      </c>
      <c r="H170" s="127" t="str">
        <f>IFERROR(VLOOKUP(Tabela8[[#This Row],[ID]],Tabela1[],7,0),"")</f>
        <v/>
      </c>
      <c r="I170" s="126"/>
      <c r="J170" s="126"/>
      <c r="K170" s="129" t="str">
        <f>IFERROR(VLOOKUP(Tabela8[[#This Row],[ID]],Tabela7[],11,0),"")</f>
        <v/>
      </c>
      <c r="L170" s="130" t="e">
        <f>Tabela8[[#This Row],[Latas a Pagar]]*Tabela9[VALOR LATA]</f>
        <v>#VALUE!</v>
      </c>
    </row>
    <row r="171" spans="2:12" hidden="1" x14ac:dyDescent="0.3">
      <c r="B171" s="127">
        <f>VALUE('CONTROLE DE PRODUÇÃO'!B145)</f>
        <v>0</v>
      </c>
      <c r="C171" s="128" t="str">
        <f>IFERROR(VLOOKUP(Tabela8[[#This Row],[ID]],Tabela7[],2,0),"")</f>
        <v/>
      </c>
      <c r="D171" s="128" t="e">
        <f>VLOOKUP(Tabela8[[#This Row],[ID]],Tabela1[],3,0)</f>
        <v>#N/A</v>
      </c>
      <c r="E171" s="127" t="str">
        <f>IFERROR(VLOOKUP(Tabela8[[#This Row],[ID]],Tabela1[],4,0),"")</f>
        <v/>
      </c>
      <c r="F171" s="127" t="str">
        <f>IFERROR(VLOOKUP(Tabela8[[#This Row],[ID]],Tabela1[],5,0),"")</f>
        <v/>
      </c>
      <c r="G171" s="127" t="str">
        <f>IFERROR(VLOOKUP(Tabela8[[#This Row],[ID]],Tabela1[],6,0),"")</f>
        <v/>
      </c>
      <c r="H171" s="127" t="str">
        <f>IFERROR(VLOOKUP(Tabela8[[#This Row],[ID]],Tabela1[],7,0),"")</f>
        <v/>
      </c>
      <c r="I171" s="126"/>
      <c r="J171" s="126"/>
      <c r="K171" s="129" t="str">
        <f>IFERROR(VLOOKUP(Tabela8[[#This Row],[ID]],Tabela7[],11,0),"")</f>
        <v/>
      </c>
      <c r="L171" s="130" t="e">
        <f>Tabela8[[#This Row],[Latas a Pagar]]*Tabela9[VALOR LATA]</f>
        <v>#VALUE!</v>
      </c>
    </row>
    <row r="172" spans="2:12" hidden="1" x14ac:dyDescent="0.3">
      <c r="B172" s="127">
        <f>VALUE('CONTROLE DE PRODUÇÃO'!B146)</f>
        <v>0</v>
      </c>
      <c r="C172" s="128" t="str">
        <f>IFERROR(VLOOKUP(Tabela8[[#This Row],[ID]],Tabela7[],2,0),"")</f>
        <v/>
      </c>
      <c r="D172" s="128" t="e">
        <f>VLOOKUP(Tabela8[[#This Row],[ID]],Tabela1[],3,0)</f>
        <v>#N/A</v>
      </c>
      <c r="E172" s="127" t="str">
        <f>IFERROR(VLOOKUP(Tabela8[[#This Row],[ID]],Tabela1[],4,0),"")</f>
        <v/>
      </c>
      <c r="F172" s="127" t="str">
        <f>IFERROR(VLOOKUP(Tabela8[[#This Row],[ID]],Tabela1[],5,0),"")</f>
        <v/>
      </c>
      <c r="G172" s="127" t="str">
        <f>IFERROR(VLOOKUP(Tabela8[[#This Row],[ID]],Tabela1[],6,0),"")</f>
        <v/>
      </c>
      <c r="H172" s="127" t="str">
        <f>IFERROR(VLOOKUP(Tabela8[[#This Row],[ID]],Tabela1[],7,0),"")</f>
        <v/>
      </c>
      <c r="I172" s="126"/>
      <c r="J172" s="126"/>
      <c r="K172" s="129" t="str">
        <f>IFERROR(VLOOKUP(Tabela8[[#This Row],[ID]],Tabela7[],11,0),"")</f>
        <v/>
      </c>
      <c r="L172" s="130" t="e">
        <f>Tabela8[[#This Row],[Latas a Pagar]]*Tabela9[VALOR LATA]</f>
        <v>#VALUE!</v>
      </c>
    </row>
    <row r="173" spans="2:12" hidden="1" x14ac:dyDescent="0.3">
      <c r="B173" s="127">
        <f>VALUE('CONTROLE DE PRODUÇÃO'!B147)</f>
        <v>0</v>
      </c>
      <c r="C173" s="128" t="str">
        <f>IFERROR(VLOOKUP(Tabela8[[#This Row],[ID]],Tabela7[],2,0),"")</f>
        <v/>
      </c>
      <c r="D173" s="128" t="e">
        <f>VLOOKUP(Tabela8[[#This Row],[ID]],Tabela1[],3,0)</f>
        <v>#N/A</v>
      </c>
      <c r="E173" s="127" t="str">
        <f>IFERROR(VLOOKUP(Tabela8[[#This Row],[ID]],Tabela1[],4,0),"")</f>
        <v/>
      </c>
      <c r="F173" s="127" t="str">
        <f>IFERROR(VLOOKUP(Tabela8[[#This Row],[ID]],Tabela1[],5,0),"")</f>
        <v/>
      </c>
      <c r="G173" s="127" t="str">
        <f>IFERROR(VLOOKUP(Tabela8[[#This Row],[ID]],Tabela1[],6,0),"")</f>
        <v/>
      </c>
      <c r="H173" s="127" t="str">
        <f>IFERROR(VLOOKUP(Tabela8[[#This Row],[ID]],Tabela1[],7,0),"")</f>
        <v/>
      </c>
      <c r="I173" s="126"/>
      <c r="J173" s="126"/>
      <c r="K173" s="129" t="str">
        <f>IFERROR(VLOOKUP(Tabela8[[#This Row],[ID]],Tabela7[],11,0),"")</f>
        <v/>
      </c>
      <c r="L173" s="130" t="e">
        <f>Tabela8[[#This Row],[Latas a Pagar]]*Tabela9[VALOR LATA]</f>
        <v>#VALUE!</v>
      </c>
    </row>
    <row r="174" spans="2:12" hidden="1" x14ac:dyDescent="0.3">
      <c r="B174" s="127">
        <f>VALUE('CONTROLE DE PRODUÇÃO'!B148)</f>
        <v>0</v>
      </c>
      <c r="C174" s="128" t="str">
        <f>IFERROR(VLOOKUP(Tabela8[[#This Row],[ID]],Tabela7[],2,0),"")</f>
        <v/>
      </c>
      <c r="D174" s="128" t="e">
        <f>VLOOKUP(Tabela8[[#This Row],[ID]],Tabela1[],3,0)</f>
        <v>#N/A</v>
      </c>
      <c r="E174" s="127" t="str">
        <f>IFERROR(VLOOKUP(Tabela8[[#This Row],[ID]],Tabela1[],4,0),"")</f>
        <v/>
      </c>
      <c r="F174" s="127" t="str">
        <f>IFERROR(VLOOKUP(Tabela8[[#This Row],[ID]],Tabela1[],5,0),"")</f>
        <v/>
      </c>
      <c r="G174" s="127" t="str">
        <f>IFERROR(VLOOKUP(Tabela8[[#This Row],[ID]],Tabela1[],6,0),"")</f>
        <v/>
      </c>
      <c r="H174" s="127" t="str">
        <f>IFERROR(VLOOKUP(Tabela8[[#This Row],[ID]],Tabela1[],7,0),"")</f>
        <v/>
      </c>
      <c r="I174" s="126"/>
      <c r="J174" s="126"/>
      <c r="K174" s="129" t="str">
        <f>IFERROR(VLOOKUP(Tabela8[[#This Row],[ID]],Tabela7[],11,0),"")</f>
        <v/>
      </c>
      <c r="L174" s="130" t="e">
        <f>Tabela8[[#This Row],[Latas a Pagar]]*Tabela9[VALOR LATA]</f>
        <v>#VALUE!</v>
      </c>
    </row>
    <row r="175" spans="2:12" hidden="1" x14ac:dyDescent="0.3">
      <c r="B175" s="127">
        <f>VALUE('CONTROLE DE PRODUÇÃO'!B149)</f>
        <v>0</v>
      </c>
      <c r="C175" s="128" t="str">
        <f>IFERROR(VLOOKUP(Tabela8[[#This Row],[ID]],Tabela7[],2,0),"")</f>
        <v/>
      </c>
      <c r="D175" s="128" t="e">
        <f>VLOOKUP(Tabela8[[#This Row],[ID]],Tabela1[],3,0)</f>
        <v>#N/A</v>
      </c>
      <c r="E175" s="127" t="str">
        <f>IFERROR(VLOOKUP(Tabela8[[#This Row],[ID]],Tabela1[],4,0),"")</f>
        <v/>
      </c>
      <c r="F175" s="127" t="str">
        <f>IFERROR(VLOOKUP(Tabela8[[#This Row],[ID]],Tabela1[],5,0),"")</f>
        <v/>
      </c>
      <c r="G175" s="127" t="str">
        <f>IFERROR(VLOOKUP(Tabela8[[#This Row],[ID]],Tabela1[],6,0),"")</f>
        <v/>
      </c>
      <c r="H175" s="127" t="str">
        <f>IFERROR(VLOOKUP(Tabela8[[#This Row],[ID]],Tabela1[],7,0),"")</f>
        <v/>
      </c>
      <c r="I175" s="126"/>
      <c r="J175" s="126"/>
      <c r="K175" s="129" t="str">
        <f>IFERROR(VLOOKUP(Tabela8[[#This Row],[ID]],Tabela7[],11,0),"")</f>
        <v/>
      </c>
      <c r="L175" s="130" t="e">
        <f>Tabela8[[#This Row],[Latas a Pagar]]*Tabela9[VALOR LATA]</f>
        <v>#VALUE!</v>
      </c>
    </row>
    <row r="176" spans="2:12" hidden="1" x14ac:dyDescent="0.3">
      <c r="B176" s="127">
        <f>VALUE('CONTROLE DE PRODUÇÃO'!B150)</f>
        <v>0</v>
      </c>
      <c r="C176" s="128" t="str">
        <f>IFERROR(VLOOKUP(Tabela8[[#This Row],[ID]],Tabela7[],2,0),"")</f>
        <v/>
      </c>
      <c r="D176" s="128" t="e">
        <f>VLOOKUP(Tabela8[[#This Row],[ID]],Tabela1[],3,0)</f>
        <v>#N/A</v>
      </c>
      <c r="E176" s="127" t="str">
        <f>IFERROR(VLOOKUP(Tabela8[[#This Row],[ID]],Tabela1[],4,0),"")</f>
        <v/>
      </c>
      <c r="F176" s="127" t="str">
        <f>IFERROR(VLOOKUP(Tabela8[[#This Row],[ID]],Tabela1[],5,0),"")</f>
        <v/>
      </c>
      <c r="G176" s="127" t="str">
        <f>IFERROR(VLOOKUP(Tabela8[[#This Row],[ID]],Tabela1[],6,0),"")</f>
        <v/>
      </c>
      <c r="H176" s="127" t="str">
        <f>IFERROR(VLOOKUP(Tabela8[[#This Row],[ID]],Tabela1[],7,0),"")</f>
        <v/>
      </c>
      <c r="I176" s="126"/>
      <c r="J176" s="126"/>
      <c r="K176" s="129" t="str">
        <f>IFERROR(VLOOKUP(Tabela8[[#This Row],[ID]],Tabela7[],11,0),"")</f>
        <v/>
      </c>
      <c r="L176" s="130" t="e">
        <f>Tabela8[[#This Row],[Latas a Pagar]]*Tabela9[VALOR LATA]</f>
        <v>#VALUE!</v>
      </c>
    </row>
    <row r="177" spans="2:12" hidden="1" x14ac:dyDescent="0.3">
      <c r="B177" s="127">
        <f>VALUE('CONTROLE DE PRODUÇÃO'!B151)</f>
        <v>0</v>
      </c>
      <c r="C177" s="128" t="str">
        <f>IFERROR(VLOOKUP(Tabela8[[#This Row],[ID]],Tabela7[],2,0),"")</f>
        <v/>
      </c>
      <c r="D177" s="128" t="e">
        <f>VLOOKUP(Tabela8[[#This Row],[ID]],Tabela1[],3,0)</f>
        <v>#N/A</v>
      </c>
      <c r="E177" s="127" t="str">
        <f>IFERROR(VLOOKUP(Tabela8[[#This Row],[ID]],Tabela1[],4,0),"")</f>
        <v/>
      </c>
      <c r="F177" s="127" t="str">
        <f>IFERROR(VLOOKUP(Tabela8[[#This Row],[ID]],Tabela1[],5,0),"")</f>
        <v/>
      </c>
      <c r="G177" s="127" t="str">
        <f>IFERROR(VLOOKUP(Tabela8[[#This Row],[ID]],Tabela1[],6,0),"")</f>
        <v/>
      </c>
      <c r="H177" s="127" t="str">
        <f>IFERROR(VLOOKUP(Tabela8[[#This Row],[ID]],Tabela1[],7,0),"")</f>
        <v/>
      </c>
      <c r="I177" s="126"/>
      <c r="J177" s="126"/>
      <c r="K177" s="129" t="str">
        <f>IFERROR(VLOOKUP(Tabela8[[#This Row],[ID]],Tabela7[],11,0),"")</f>
        <v/>
      </c>
      <c r="L177" s="130" t="e">
        <f>Tabela8[[#This Row],[Latas a Pagar]]*Tabela9[VALOR LATA]</f>
        <v>#VALUE!</v>
      </c>
    </row>
    <row r="178" spans="2:12" hidden="1" x14ac:dyDescent="0.3">
      <c r="B178" s="127">
        <f>VALUE('CONTROLE DE PRODUÇÃO'!B152)</f>
        <v>0</v>
      </c>
      <c r="C178" s="128" t="str">
        <f>IFERROR(VLOOKUP(Tabela8[[#This Row],[ID]],Tabela7[],2,0),"")</f>
        <v/>
      </c>
      <c r="D178" s="128" t="e">
        <f>VLOOKUP(Tabela8[[#This Row],[ID]],Tabela1[],3,0)</f>
        <v>#N/A</v>
      </c>
      <c r="E178" s="127" t="str">
        <f>IFERROR(VLOOKUP(Tabela8[[#This Row],[ID]],Tabela1[],4,0),"")</f>
        <v/>
      </c>
      <c r="F178" s="127" t="str">
        <f>IFERROR(VLOOKUP(Tabela8[[#This Row],[ID]],Tabela1[],5,0),"")</f>
        <v/>
      </c>
      <c r="G178" s="127" t="str">
        <f>IFERROR(VLOOKUP(Tabela8[[#This Row],[ID]],Tabela1[],6,0),"")</f>
        <v/>
      </c>
      <c r="H178" s="127" t="str">
        <f>IFERROR(VLOOKUP(Tabela8[[#This Row],[ID]],Tabela1[],7,0),"")</f>
        <v/>
      </c>
      <c r="I178" s="126"/>
      <c r="J178" s="126"/>
      <c r="K178" s="129" t="str">
        <f>IFERROR(VLOOKUP(Tabela8[[#This Row],[ID]],Tabela7[],11,0),"")</f>
        <v/>
      </c>
      <c r="L178" s="130" t="e">
        <f>Tabela8[[#This Row],[Latas a Pagar]]*Tabela9[VALOR LATA]</f>
        <v>#VALUE!</v>
      </c>
    </row>
    <row r="179" spans="2:12" hidden="1" x14ac:dyDescent="0.3">
      <c r="B179" s="127">
        <f>VALUE('CONTROLE DE PRODUÇÃO'!B153)</f>
        <v>0</v>
      </c>
      <c r="C179" s="128" t="str">
        <f>IFERROR(VLOOKUP(Tabela8[[#This Row],[ID]],Tabela7[],2,0),"")</f>
        <v/>
      </c>
      <c r="D179" s="128" t="e">
        <f>VLOOKUP(Tabela8[[#This Row],[ID]],Tabela1[],3,0)</f>
        <v>#N/A</v>
      </c>
      <c r="E179" s="127" t="str">
        <f>IFERROR(VLOOKUP(Tabela8[[#This Row],[ID]],Tabela1[],4,0),"")</f>
        <v/>
      </c>
      <c r="F179" s="127" t="str">
        <f>IFERROR(VLOOKUP(Tabela8[[#This Row],[ID]],Tabela1[],5,0),"")</f>
        <v/>
      </c>
      <c r="G179" s="127" t="str">
        <f>IFERROR(VLOOKUP(Tabela8[[#This Row],[ID]],Tabela1[],6,0),"")</f>
        <v/>
      </c>
      <c r="H179" s="127" t="str">
        <f>IFERROR(VLOOKUP(Tabela8[[#This Row],[ID]],Tabela1[],7,0),"")</f>
        <v/>
      </c>
      <c r="I179" s="126"/>
      <c r="J179" s="126"/>
      <c r="K179" s="129" t="str">
        <f>IFERROR(VLOOKUP(Tabela8[[#This Row],[ID]],Tabela7[],11,0),"")</f>
        <v/>
      </c>
      <c r="L179" s="130" t="e">
        <f>Tabela8[[#This Row],[Latas a Pagar]]*Tabela9[VALOR LATA]</f>
        <v>#VALUE!</v>
      </c>
    </row>
    <row r="180" spans="2:12" hidden="1" x14ac:dyDescent="0.3">
      <c r="B180" s="127">
        <f>VALUE('CONTROLE DE PRODUÇÃO'!B154)</f>
        <v>0</v>
      </c>
      <c r="C180" s="128" t="str">
        <f>IFERROR(VLOOKUP(Tabela8[[#This Row],[ID]],Tabela7[],2,0),"")</f>
        <v/>
      </c>
      <c r="D180" s="128" t="e">
        <f>VLOOKUP(Tabela8[[#This Row],[ID]],Tabela1[],3,0)</f>
        <v>#N/A</v>
      </c>
      <c r="E180" s="127" t="str">
        <f>IFERROR(VLOOKUP(Tabela8[[#This Row],[ID]],Tabela1[],4,0),"")</f>
        <v/>
      </c>
      <c r="F180" s="127" t="str">
        <f>IFERROR(VLOOKUP(Tabela8[[#This Row],[ID]],Tabela1[],5,0),"")</f>
        <v/>
      </c>
      <c r="G180" s="127" t="str">
        <f>IFERROR(VLOOKUP(Tabela8[[#This Row],[ID]],Tabela1[],6,0),"")</f>
        <v/>
      </c>
      <c r="H180" s="127" t="str">
        <f>IFERROR(VLOOKUP(Tabela8[[#This Row],[ID]],Tabela1[],7,0),"")</f>
        <v/>
      </c>
      <c r="I180" s="126"/>
      <c r="J180" s="126"/>
      <c r="K180" s="129" t="str">
        <f>IFERROR(VLOOKUP(Tabela8[[#This Row],[ID]],Tabela7[],11,0),"")</f>
        <v/>
      </c>
      <c r="L180" s="130" t="e">
        <f>Tabela8[[#This Row],[Latas a Pagar]]*Tabela9[VALOR LATA]</f>
        <v>#VALUE!</v>
      </c>
    </row>
    <row r="181" spans="2:12" hidden="1" x14ac:dyDescent="0.3">
      <c r="B181" s="127">
        <f>VALUE('CONTROLE DE PRODUÇÃO'!B155)</f>
        <v>0</v>
      </c>
      <c r="C181" s="128" t="str">
        <f>IFERROR(VLOOKUP(Tabela8[[#This Row],[ID]],Tabela7[],2,0),"")</f>
        <v/>
      </c>
      <c r="D181" s="128" t="e">
        <f>VLOOKUP(Tabela8[[#This Row],[ID]],Tabela1[],3,0)</f>
        <v>#N/A</v>
      </c>
      <c r="E181" s="127" t="str">
        <f>IFERROR(VLOOKUP(Tabela8[[#This Row],[ID]],Tabela1[],4,0),"")</f>
        <v/>
      </c>
      <c r="F181" s="127" t="str">
        <f>IFERROR(VLOOKUP(Tabela8[[#This Row],[ID]],Tabela1[],5,0),"")</f>
        <v/>
      </c>
      <c r="G181" s="127" t="str">
        <f>IFERROR(VLOOKUP(Tabela8[[#This Row],[ID]],Tabela1[],6,0),"")</f>
        <v/>
      </c>
      <c r="H181" s="127" t="str">
        <f>IFERROR(VLOOKUP(Tabela8[[#This Row],[ID]],Tabela1[],7,0),"")</f>
        <v/>
      </c>
      <c r="I181" s="126"/>
      <c r="J181" s="126"/>
      <c r="K181" s="129" t="str">
        <f>IFERROR(VLOOKUP(Tabela8[[#This Row],[ID]],Tabela7[],11,0),"")</f>
        <v/>
      </c>
      <c r="L181" s="130" t="e">
        <f>Tabela8[[#This Row],[Latas a Pagar]]*Tabela9[VALOR LATA]</f>
        <v>#VALUE!</v>
      </c>
    </row>
    <row r="182" spans="2:12" hidden="1" x14ac:dyDescent="0.3">
      <c r="B182" s="127">
        <f>VALUE('CONTROLE DE PRODUÇÃO'!B156)</f>
        <v>0</v>
      </c>
      <c r="C182" s="128" t="str">
        <f>IFERROR(VLOOKUP(Tabela8[[#This Row],[ID]],Tabela7[],2,0),"")</f>
        <v/>
      </c>
      <c r="D182" s="128" t="e">
        <f>VLOOKUP(Tabela8[[#This Row],[ID]],Tabela1[],3,0)</f>
        <v>#N/A</v>
      </c>
      <c r="E182" s="127" t="str">
        <f>IFERROR(VLOOKUP(Tabela8[[#This Row],[ID]],Tabela1[],4,0),"")</f>
        <v/>
      </c>
      <c r="F182" s="127" t="str">
        <f>IFERROR(VLOOKUP(Tabela8[[#This Row],[ID]],Tabela1[],5,0),"")</f>
        <v/>
      </c>
      <c r="G182" s="127" t="str">
        <f>IFERROR(VLOOKUP(Tabela8[[#This Row],[ID]],Tabela1[],6,0),"")</f>
        <v/>
      </c>
      <c r="H182" s="127" t="str">
        <f>IFERROR(VLOOKUP(Tabela8[[#This Row],[ID]],Tabela1[],7,0),"")</f>
        <v/>
      </c>
      <c r="I182" s="126"/>
      <c r="J182" s="126"/>
      <c r="K182" s="129" t="str">
        <f>IFERROR(VLOOKUP(Tabela8[[#This Row],[ID]],Tabela7[],11,0),"")</f>
        <v/>
      </c>
      <c r="L182" s="130" t="e">
        <f>Tabela8[[#This Row],[Latas a Pagar]]*Tabela9[VALOR LATA]</f>
        <v>#VALUE!</v>
      </c>
    </row>
    <row r="183" spans="2:12" hidden="1" x14ac:dyDescent="0.3">
      <c r="B183" s="127">
        <f>VALUE('CONTROLE DE PRODUÇÃO'!B157)</f>
        <v>0</v>
      </c>
      <c r="C183" s="128" t="str">
        <f>IFERROR(VLOOKUP(Tabela8[[#This Row],[ID]],Tabela7[],2,0),"")</f>
        <v/>
      </c>
      <c r="D183" s="128" t="e">
        <f>VLOOKUP(Tabela8[[#This Row],[ID]],Tabela1[],3,0)</f>
        <v>#N/A</v>
      </c>
      <c r="E183" s="127" t="str">
        <f>IFERROR(VLOOKUP(Tabela8[[#This Row],[ID]],Tabela1[],4,0),"")</f>
        <v/>
      </c>
      <c r="F183" s="127" t="str">
        <f>IFERROR(VLOOKUP(Tabela8[[#This Row],[ID]],Tabela1[],5,0),"")</f>
        <v/>
      </c>
      <c r="G183" s="127" t="str">
        <f>IFERROR(VLOOKUP(Tabela8[[#This Row],[ID]],Tabela1[],6,0),"")</f>
        <v/>
      </c>
      <c r="H183" s="127" t="str">
        <f>IFERROR(VLOOKUP(Tabela8[[#This Row],[ID]],Tabela1[],7,0),"")</f>
        <v/>
      </c>
      <c r="I183" s="126"/>
      <c r="J183" s="126"/>
      <c r="K183" s="129" t="str">
        <f>IFERROR(VLOOKUP(Tabela8[[#This Row],[ID]],Tabela7[],11,0),"")</f>
        <v/>
      </c>
      <c r="L183" s="130" t="e">
        <f>Tabela8[[#This Row],[Latas a Pagar]]*Tabela9[VALOR LATA]</f>
        <v>#VALUE!</v>
      </c>
    </row>
    <row r="184" spans="2:12" hidden="1" x14ac:dyDescent="0.3">
      <c r="B184" s="127">
        <f>VALUE('CONTROLE DE PRODUÇÃO'!B158)</f>
        <v>0</v>
      </c>
      <c r="C184" s="128" t="str">
        <f>IFERROR(VLOOKUP(Tabela8[[#This Row],[ID]],Tabela7[],2,0),"")</f>
        <v/>
      </c>
      <c r="D184" s="128" t="e">
        <f>VLOOKUP(Tabela8[[#This Row],[ID]],Tabela1[],3,0)</f>
        <v>#N/A</v>
      </c>
      <c r="E184" s="127" t="str">
        <f>IFERROR(VLOOKUP(Tabela8[[#This Row],[ID]],Tabela1[],4,0),"")</f>
        <v/>
      </c>
      <c r="F184" s="127" t="str">
        <f>IFERROR(VLOOKUP(Tabela8[[#This Row],[ID]],Tabela1[],5,0),"")</f>
        <v/>
      </c>
      <c r="G184" s="127" t="str">
        <f>IFERROR(VLOOKUP(Tabela8[[#This Row],[ID]],Tabela1[],6,0),"")</f>
        <v/>
      </c>
      <c r="H184" s="127" t="str">
        <f>IFERROR(VLOOKUP(Tabela8[[#This Row],[ID]],Tabela1[],7,0),"")</f>
        <v/>
      </c>
      <c r="I184" s="126"/>
      <c r="J184" s="126"/>
      <c r="K184" s="129" t="str">
        <f>IFERROR(VLOOKUP(Tabela8[[#This Row],[ID]],Tabela7[],11,0),"")</f>
        <v/>
      </c>
      <c r="L184" s="130" t="e">
        <f>Tabela8[[#This Row],[Latas a Pagar]]*Tabela9[VALOR LATA]</f>
        <v>#VALUE!</v>
      </c>
    </row>
    <row r="185" spans="2:12" hidden="1" x14ac:dyDescent="0.3">
      <c r="B185" s="127">
        <f>VALUE('CONTROLE DE PRODUÇÃO'!B159)</f>
        <v>0</v>
      </c>
      <c r="C185" s="128" t="str">
        <f>IFERROR(VLOOKUP(Tabela8[[#This Row],[ID]],Tabela7[],2,0),"")</f>
        <v/>
      </c>
      <c r="D185" s="128" t="e">
        <f>VLOOKUP(Tabela8[[#This Row],[ID]],Tabela1[],3,0)</f>
        <v>#N/A</v>
      </c>
      <c r="E185" s="127" t="str">
        <f>IFERROR(VLOOKUP(Tabela8[[#This Row],[ID]],Tabela1[],4,0),"")</f>
        <v/>
      </c>
      <c r="F185" s="127" t="str">
        <f>IFERROR(VLOOKUP(Tabela8[[#This Row],[ID]],Tabela1[],5,0),"")</f>
        <v/>
      </c>
      <c r="G185" s="127" t="str">
        <f>IFERROR(VLOOKUP(Tabela8[[#This Row],[ID]],Tabela1[],6,0),"")</f>
        <v/>
      </c>
      <c r="H185" s="127" t="str">
        <f>IFERROR(VLOOKUP(Tabela8[[#This Row],[ID]],Tabela1[],7,0),"")</f>
        <v/>
      </c>
      <c r="I185" s="126"/>
      <c r="J185" s="126"/>
      <c r="K185" s="129" t="str">
        <f>IFERROR(VLOOKUP(Tabela8[[#This Row],[ID]],Tabela7[],11,0),"")</f>
        <v/>
      </c>
      <c r="L185" s="130" t="e">
        <f>Tabela8[[#This Row],[Latas a Pagar]]*Tabela9[VALOR LATA]</f>
        <v>#VALUE!</v>
      </c>
    </row>
    <row r="186" spans="2:12" hidden="1" x14ac:dyDescent="0.3">
      <c r="B186" s="127">
        <f>VALUE('CONTROLE DE PRODUÇÃO'!B160)</f>
        <v>0</v>
      </c>
      <c r="C186" s="128" t="str">
        <f>IFERROR(VLOOKUP(Tabela8[[#This Row],[ID]],Tabela7[],2,0),"")</f>
        <v/>
      </c>
      <c r="D186" s="128" t="e">
        <f>VLOOKUP(Tabela8[[#This Row],[ID]],Tabela1[],3,0)</f>
        <v>#N/A</v>
      </c>
      <c r="E186" s="127" t="str">
        <f>IFERROR(VLOOKUP(Tabela8[[#This Row],[ID]],Tabela1[],4,0),"")</f>
        <v/>
      </c>
      <c r="F186" s="127" t="str">
        <f>IFERROR(VLOOKUP(Tabela8[[#This Row],[ID]],Tabela1[],5,0),"")</f>
        <v/>
      </c>
      <c r="G186" s="127" t="str">
        <f>IFERROR(VLOOKUP(Tabela8[[#This Row],[ID]],Tabela1[],6,0),"")</f>
        <v/>
      </c>
      <c r="H186" s="127" t="str">
        <f>IFERROR(VLOOKUP(Tabela8[[#This Row],[ID]],Tabela1[],7,0),"")</f>
        <v/>
      </c>
      <c r="I186" s="126"/>
      <c r="J186" s="126"/>
      <c r="K186" s="129" t="str">
        <f>IFERROR(VLOOKUP(Tabela8[[#This Row],[ID]],Tabela7[],11,0),"")</f>
        <v/>
      </c>
      <c r="L186" s="130" t="e">
        <f>Tabela8[[#This Row],[Latas a Pagar]]*Tabela9[VALOR LATA]</f>
        <v>#VALUE!</v>
      </c>
    </row>
    <row r="187" spans="2:12" hidden="1" x14ac:dyDescent="0.3">
      <c r="B187" s="127">
        <f>VALUE('CONTROLE DE PRODUÇÃO'!B161)</f>
        <v>0</v>
      </c>
      <c r="C187" s="128" t="str">
        <f>IFERROR(VLOOKUP(Tabela8[[#This Row],[ID]],Tabela7[],2,0),"")</f>
        <v/>
      </c>
      <c r="D187" s="128" t="e">
        <f>VLOOKUP(Tabela8[[#This Row],[ID]],Tabela1[],3,0)</f>
        <v>#N/A</v>
      </c>
      <c r="E187" s="127" t="str">
        <f>IFERROR(VLOOKUP(Tabela8[[#This Row],[ID]],Tabela1[],4,0),"")</f>
        <v/>
      </c>
      <c r="F187" s="127" t="str">
        <f>IFERROR(VLOOKUP(Tabela8[[#This Row],[ID]],Tabela1[],5,0),"")</f>
        <v/>
      </c>
      <c r="G187" s="127" t="str">
        <f>IFERROR(VLOOKUP(Tabela8[[#This Row],[ID]],Tabela1[],6,0),"")</f>
        <v/>
      </c>
      <c r="H187" s="127" t="str">
        <f>IFERROR(VLOOKUP(Tabela8[[#This Row],[ID]],Tabela1[],7,0),"")</f>
        <v/>
      </c>
      <c r="I187" s="126"/>
      <c r="J187" s="126"/>
      <c r="K187" s="129" t="str">
        <f>IFERROR(VLOOKUP(Tabela8[[#This Row],[ID]],Tabela7[],11,0),"")</f>
        <v/>
      </c>
      <c r="L187" s="130" t="e">
        <f>Tabela8[[#This Row],[Latas a Pagar]]*Tabela9[VALOR LATA]</f>
        <v>#VALUE!</v>
      </c>
    </row>
    <row r="188" spans="2:12" hidden="1" x14ac:dyDescent="0.3">
      <c r="B188" s="127">
        <f>VALUE('CONTROLE DE PRODUÇÃO'!B162)</f>
        <v>0</v>
      </c>
      <c r="C188" s="128" t="str">
        <f>IFERROR(VLOOKUP(Tabela8[[#This Row],[ID]],Tabela7[],2,0),"")</f>
        <v/>
      </c>
      <c r="D188" s="128" t="e">
        <f>VLOOKUP(Tabela8[[#This Row],[ID]],Tabela1[],3,0)</f>
        <v>#N/A</v>
      </c>
      <c r="E188" s="127" t="str">
        <f>IFERROR(VLOOKUP(Tabela8[[#This Row],[ID]],Tabela1[],4,0),"")</f>
        <v/>
      </c>
      <c r="F188" s="127" t="str">
        <f>IFERROR(VLOOKUP(Tabela8[[#This Row],[ID]],Tabela1[],5,0),"")</f>
        <v/>
      </c>
      <c r="G188" s="127" t="str">
        <f>IFERROR(VLOOKUP(Tabela8[[#This Row],[ID]],Tabela1[],6,0),"")</f>
        <v/>
      </c>
      <c r="H188" s="127" t="str">
        <f>IFERROR(VLOOKUP(Tabela8[[#This Row],[ID]],Tabela1[],7,0),"")</f>
        <v/>
      </c>
      <c r="I188" s="126"/>
      <c r="J188" s="126"/>
      <c r="K188" s="129" t="str">
        <f>IFERROR(VLOOKUP(Tabela8[[#This Row],[ID]],Tabela7[],11,0),"")</f>
        <v/>
      </c>
      <c r="L188" s="130" t="e">
        <f>Tabela8[[#This Row],[Latas a Pagar]]*Tabela9[VALOR LATA]</f>
        <v>#VALUE!</v>
      </c>
    </row>
    <row r="189" spans="2:12" hidden="1" x14ac:dyDescent="0.3">
      <c r="B189" s="127">
        <f>VALUE('CONTROLE DE PRODUÇÃO'!B163)</f>
        <v>0</v>
      </c>
      <c r="C189" s="128" t="str">
        <f>IFERROR(VLOOKUP(Tabela8[[#This Row],[ID]],Tabela7[],2,0),"")</f>
        <v/>
      </c>
      <c r="D189" s="128" t="e">
        <f>VLOOKUP(Tabela8[[#This Row],[ID]],Tabela1[],3,0)</f>
        <v>#N/A</v>
      </c>
      <c r="E189" s="127" t="str">
        <f>IFERROR(VLOOKUP(Tabela8[[#This Row],[ID]],Tabela1[],4,0),"")</f>
        <v/>
      </c>
      <c r="F189" s="127" t="str">
        <f>IFERROR(VLOOKUP(Tabela8[[#This Row],[ID]],Tabela1[],5,0),"")</f>
        <v/>
      </c>
      <c r="G189" s="127" t="str">
        <f>IFERROR(VLOOKUP(Tabela8[[#This Row],[ID]],Tabela1[],6,0),"")</f>
        <v/>
      </c>
      <c r="H189" s="127" t="str">
        <f>IFERROR(VLOOKUP(Tabela8[[#This Row],[ID]],Tabela1[],7,0),"")</f>
        <v/>
      </c>
      <c r="I189" s="126"/>
      <c r="J189" s="126"/>
      <c r="K189" s="129" t="str">
        <f>IFERROR(VLOOKUP(Tabela8[[#This Row],[ID]],Tabela7[],11,0),"")</f>
        <v/>
      </c>
      <c r="L189" s="130" t="e">
        <f>Tabela8[[#This Row],[Latas a Pagar]]*Tabela9[VALOR LATA]</f>
        <v>#VALUE!</v>
      </c>
    </row>
    <row r="190" spans="2:12" hidden="1" x14ac:dyDescent="0.3">
      <c r="B190" s="127">
        <f>VALUE('CONTROLE DE PRODUÇÃO'!B164)</f>
        <v>0</v>
      </c>
      <c r="C190" s="128" t="str">
        <f>IFERROR(VLOOKUP(Tabela8[[#This Row],[ID]],Tabela7[],2,0),"")</f>
        <v/>
      </c>
      <c r="D190" s="128" t="e">
        <f>VLOOKUP(Tabela8[[#This Row],[ID]],Tabela1[],3,0)</f>
        <v>#N/A</v>
      </c>
      <c r="E190" s="127" t="str">
        <f>IFERROR(VLOOKUP(Tabela8[[#This Row],[ID]],Tabela1[],4,0),"")</f>
        <v/>
      </c>
      <c r="F190" s="127" t="str">
        <f>IFERROR(VLOOKUP(Tabela8[[#This Row],[ID]],Tabela1[],5,0),"")</f>
        <v/>
      </c>
      <c r="G190" s="127" t="str">
        <f>IFERROR(VLOOKUP(Tabela8[[#This Row],[ID]],Tabela1[],6,0),"")</f>
        <v/>
      </c>
      <c r="H190" s="127" t="str">
        <f>IFERROR(VLOOKUP(Tabela8[[#This Row],[ID]],Tabela1[],7,0),"")</f>
        <v/>
      </c>
      <c r="I190" s="126"/>
      <c r="J190" s="126"/>
      <c r="K190" s="129" t="str">
        <f>IFERROR(VLOOKUP(Tabela8[[#This Row],[ID]],Tabela7[],11,0),"")</f>
        <v/>
      </c>
      <c r="L190" s="130" t="e">
        <f>Tabela8[[#This Row],[Latas a Pagar]]*Tabela9[VALOR LATA]</f>
        <v>#VALUE!</v>
      </c>
    </row>
    <row r="191" spans="2:12" hidden="1" x14ac:dyDescent="0.3">
      <c r="B191" s="127">
        <f>VALUE('CONTROLE DE PRODUÇÃO'!B165)</f>
        <v>0</v>
      </c>
      <c r="C191" s="128" t="str">
        <f>IFERROR(VLOOKUP(Tabela8[[#This Row],[ID]],Tabela7[],2,0),"")</f>
        <v/>
      </c>
      <c r="D191" s="128" t="e">
        <f>VLOOKUP(Tabela8[[#This Row],[ID]],Tabela1[],3,0)</f>
        <v>#N/A</v>
      </c>
      <c r="E191" s="127" t="str">
        <f>IFERROR(VLOOKUP(Tabela8[[#This Row],[ID]],Tabela1[],4,0),"")</f>
        <v/>
      </c>
      <c r="F191" s="127" t="str">
        <f>IFERROR(VLOOKUP(Tabela8[[#This Row],[ID]],Tabela1[],5,0),"")</f>
        <v/>
      </c>
      <c r="G191" s="127" t="str">
        <f>IFERROR(VLOOKUP(Tabela8[[#This Row],[ID]],Tabela1[],6,0),"")</f>
        <v/>
      </c>
      <c r="H191" s="127" t="str">
        <f>IFERROR(VLOOKUP(Tabela8[[#This Row],[ID]],Tabela1[],7,0),"")</f>
        <v/>
      </c>
      <c r="I191" s="126"/>
      <c r="J191" s="126"/>
      <c r="K191" s="129" t="str">
        <f>IFERROR(VLOOKUP(Tabela8[[#This Row],[ID]],Tabela7[],11,0),"")</f>
        <v/>
      </c>
      <c r="L191" s="130" t="e">
        <f>Tabela8[[#This Row],[Latas a Pagar]]*Tabela9[VALOR LATA]</f>
        <v>#VALUE!</v>
      </c>
    </row>
    <row r="192" spans="2:12" hidden="1" x14ac:dyDescent="0.3">
      <c r="B192" s="127">
        <f>VALUE('CONTROLE DE PRODUÇÃO'!B166)</f>
        <v>0</v>
      </c>
      <c r="C192" s="128" t="str">
        <f>IFERROR(VLOOKUP(Tabela8[[#This Row],[ID]],Tabela7[],2,0),"")</f>
        <v/>
      </c>
      <c r="D192" s="128" t="e">
        <f>VLOOKUP(Tabela8[[#This Row],[ID]],Tabela1[],3,0)</f>
        <v>#N/A</v>
      </c>
      <c r="E192" s="127" t="str">
        <f>IFERROR(VLOOKUP(Tabela8[[#This Row],[ID]],Tabela1[],4,0),"")</f>
        <v/>
      </c>
      <c r="F192" s="127" t="str">
        <f>IFERROR(VLOOKUP(Tabela8[[#This Row],[ID]],Tabela1[],5,0),"")</f>
        <v/>
      </c>
      <c r="G192" s="127" t="str">
        <f>IFERROR(VLOOKUP(Tabela8[[#This Row],[ID]],Tabela1[],6,0),"")</f>
        <v/>
      </c>
      <c r="H192" s="127" t="str">
        <f>IFERROR(VLOOKUP(Tabela8[[#This Row],[ID]],Tabela1[],7,0),"")</f>
        <v/>
      </c>
      <c r="I192" s="126"/>
      <c r="J192" s="126"/>
      <c r="K192" s="129" t="str">
        <f>IFERROR(VLOOKUP(Tabela8[[#This Row],[ID]],Tabela7[],11,0),"")</f>
        <v/>
      </c>
      <c r="L192" s="130" t="e">
        <f>Tabela8[[#This Row],[Latas a Pagar]]*Tabela9[VALOR LATA]</f>
        <v>#VALUE!</v>
      </c>
    </row>
    <row r="193" spans="2:12" hidden="1" x14ac:dyDescent="0.3">
      <c r="B193" s="127">
        <f>VALUE('CONTROLE DE PRODUÇÃO'!B167)</f>
        <v>0</v>
      </c>
      <c r="C193" s="128" t="str">
        <f>IFERROR(VLOOKUP(Tabela8[[#This Row],[ID]],Tabela7[],2,0),"")</f>
        <v/>
      </c>
      <c r="D193" s="128" t="e">
        <f>VLOOKUP(Tabela8[[#This Row],[ID]],Tabela1[],3,0)</f>
        <v>#N/A</v>
      </c>
      <c r="E193" s="127" t="str">
        <f>IFERROR(VLOOKUP(Tabela8[[#This Row],[ID]],Tabela1[],4,0),"")</f>
        <v/>
      </c>
      <c r="F193" s="127" t="str">
        <f>IFERROR(VLOOKUP(Tabela8[[#This Row],[ID]],Tabela1[],5,0),"")</f>
        <v/>
      </c>
      <c r="G193" s="127" t="str">
        <f>IFERROR(VLOOKUP(Tabela8[[#This Row],[ID]],Tabela1[],6,0),"")</f>
        <v/>
      </c>
      <c r="H193" s="127" t="str">
        <f>IFERROR(VLOOKUP(Tabela8[[#This Row],[ID]],Tabela1[],7,0),"")</f>
        <v/>
      </c>
      <c r="I193" s="126"/>
      <c r="J193" s="126"/>
      <c r="K193" s="129" t="str">
        <f>IFERROR(VLOOKUP(Tabela8[[#This Row],[ID]],Tabela7[],11,0),"")</f>
        <v/>
      </c>
      <c r="L193" s="130" t="e">
        <f>Tabela8[[#This Row],[Latas a Pagar]]*Tabela9[VALOR LATA]</f>
        <v>#VALUE!</v>
      </c>
    </row>
    <row r="194" spans="2:12" hidden="1" x14ac:dyDescent="0.3">
      <c r="B194" s="127">
        <f>VALUE('CONTROLE DE PRODUÇÃO'!B168)</f>
        <v>0</v>
      </c>
      <c r="C194" s="128" t="str">
        <f>IFERROR(VLOOKUP(Tabela8[[#This Row],[ID]],Tabela7[],2,0),"")</f>
        <v/>
      </c>
      <c r="D194" s="128" t="e">
        <f>VLOOKUP(Tabela8[[#This Row],[ID]],Tabela1[],3,0)</f>
        <v>#N/A</v>
      </c>
      <c r="E194" s="127" t="str">
        <f>IFERROR(VLOOKUP(Tabela8[[#This Row],[ID]],Tabela1[],4,0),"")</f>
        <v/>
      </c>
      <c r="F194" s="127" t="str">
        <f>IFERROR(VLOOKUP(Tabela8[[#This Row],[ID]],Tabela1[],5,0),"")</f>
        <v/>
      </c>
      <c r="G194" s="127" t="str">
        <f>IFERROR(VLOOKUP(Tabela8[[#This Row],[ID]],Tabela1[],6,0),"")</f>
        <v/>
      </c>
      <c r="H194" s="127" t="str">
        <f>IFERROR(VLOOKUP(Tabela8[[#This Row],[ID]],Tabela1[],7,0),"")</f>
        <v/>
      </c>
      <c r="I194" s="126"/>
      <c r="J194" s="126"/>
      <c r="K194" s="129" t="str">
        <f>IFERROR(VLOOKUP(Tabela8[[#This Row],[ID]],Tabela7[],11,0),"")</f>
        <v/>
      </c>
      <c r="L194" s="130" t="e">
        <f>Tabela8[[#This Row],[Latas a Pagar]]*Tabela9[VALOR LATA]</f>
        <v>#VALUE!</v>
      </c>
    </row>
    <row r="195" spans="2:12" hidden="1" x14ac:dyDescent="0.3">
      <c r="B195" s="127">
        <f>VALUE('CONTROLE DE PRODUÇÃO'!B169)</f>
        <v>0</v>
      </c>
      <c r="C195" s="128" t="str">
        <f>IFERROR(VLOOKUP(Tabela8[[#This Row],[ID]],Tabela7[],2,0),"")</f>
        <v/>
      </c>
      <c r="D195" s="128" t="e">
        <f>VLOOKUP(Tabela8[[#This Row],[ID]],Tabela1[],3,0)</f>
        <v>#N/A</v>
      </c>
      <c r="E195" s="127" t="str">
        <f>IFERROR(VLOOKUP(Tabela8[[#This Row],[ID]],Tabela1[],4,0),"")</f>
        <v/>
      </c>
      <c r="F195" s="127" t="str">
        <f>IFERROR(VLOOKUP(Tabela8[[#This Row],[ID]],Tabela1[],5,0),"")</f>
        <v/>
      </c>
      <c r="G195" s="127" t="str">
        <f>IFERROR(VLOOKUP(Tabela8[[#This Row],[ID]],Tabela1[],6,0),"")</f>
        <v/>
      </c>
      <c r="H195" s="127" t="str">
        <f>IFERROR(VLOOKUP(Tabela8[[#This Row],[ID]],Tabela1[],7,0),"")</f>
        <v/>
      </c>
      <c r="I195" s="126"/>
      <c r="J195" s="126"/>
      <c r="K195" s="129" t="str">
        <f>IFERROR(VLOOKUP(Tabela8[[#This Row],[ID]],Tabela7[],11,0),"")</f>
        <v/>
      </c>
      <c r="L195" s="130" t="e">
        <f>Tabela8[[#This Row],[Latas a Pagar]]*Tabela9[VALOR LATA]</f>
        <v>#VALUE!</v>
      </c>
    </row>
    <row r="196" spans="2:12" hidden="1" x14ac:dyDescent="0.3">
      <c r="B196" s="127">
        <f>VALUE('CONTROLE DE PRODUÇÃO'!B170)</f>
        <v>0</v>
      </c>
      <c r="C196" s="128" t="str">
        <f>IFERROR(VLOOKUP(Tabela8[[#This Row],[ID]],Tabela7[],2,0),"")</f>
        <v/>
      </c>
      <c r="D196" s="128" t="e">
        <f>VLOOKUP(Tabela8[[#This Row],[ID]],Tabela1[],3,0)</f>
        <v>#N/A</v>
      </c>
      <c r="E196" s="127" t="str">
        <f>IFERROR(VLOOKUP(Tabela8[[#This Row],[ID]],Tabela1[],4,0),"")</f>
        <v/>
      </c>
      <c r="F196" s="127" t="str">
        <f>IFERROR(VLOOKUP(Tabela8[[#This Row],[ID]],Tabela1[],5,0),"")</f>
        <v/>
      </c>
      <c r="G196" s="127" t="str">
        <f>IFERROR(VLOOKUP(Tabela8[[#This Row],[ID]],Tabela1[],6,0),"")</f>
        <v/>
      </c>
      <c r="H196" s="127" t="str">
        <f>IFERROR(VLOOKUP(Tabela8[[#This Row],[ID]],Tabela1[],7,0),"")</f>
        <v/>
      </c>
      <c r="I196" s="126"/>
      <c r="J196" s="126"/>
      <c r="K196" s="129" t="str">
        <f>IFERROR(VLOOKUP(Tabela8[[#This Row],[ID]],Tabela7[],11,0),"")</f>
        <v/>
      </c>
      <c r="L196" s="130" t="e">
        <f>Tabela8[[#This Row],[Latas a Pagar]]*Tabela9[VALOR LATA]</f>
        <v>#VALUE!</v>
      </c>
    </row>
    <row r="197" spans="2:12" hidden="1" x14ac:dyDescent="0.3">
      <c r="B197" s="127">
        <f>VALUE('CONTROLE DE PRODUÇÃO'!B171)</f>
        <v>0</v>
      </c>
      <c r="C197" s="128" t="str">
        <f>IFERROR(VLOOKUP(Tabela8[[#This Row],[ID]],Tabela7[],2,0),"")</f>
        <v/>
      </c>
      <c r="D197" s="128" t="e">
        <f>VLOOKUP(Tabela8[[#This Row],[ID]],Tabela1[],3,0)</f>
        <v>#N/A</v>
      </c>
      <c r="E197" s="127" t="str">
        <f>IFERROR(VLOOKUP(Tabela8[[#This Row],[ID]],Tabela1[],4,0),"")</f>
        <v/>
      </c>
      <c r="F197" s="127" t="str">
        <f>IFERROR(VLOOKUP(Tabela8[[#This Row],[ID]],Tabela1[],5,0),"")</f>
        <v/>
      </c>
      <c r="G197" s="127" t="str">
        <f>IFERROR(VLOOKUP(Tabela8[[#This Row],[ID]],Tabela1[],6,0),"")</f>
        <v/>
      </c>
      <c r="H197" s="127" t="str">
        <f>IFERROR(VLOOKUP(Tabela8[[#This Row],[ID]],Tabela1[],7,0),"")</f>
        <v/>
      </c>
      <c r="I197" s="126"/>
      <c r="J197" s="126"/>
      <c r="K197" s="129" t="str">
        <f>IFERROR(VLOOKUP(Tabela8[[#This Row],[ID]],Tabela7[],11,0),"")</f>
        <v/>
      </c>
      <c r="L197" s="130" t="e">
        <f>Tabela8[[#This Row],[Latas a Pagar]]*Tabela9[VALOR LATA]</f>
        <v>#VALUE!</v>
      </c>
    </row>
    <row r="198" spans="2:12" hidden="1" x14ac:dyDescent="0.3">
      <c r="B198" s="127">
        <f>VALUE('CONTROLE DE PRODUÇÃO'!B172)</f>
        <v>0</v>
      </c>
      <c r="C198" s="128" t="str">
        <f>IFERROR(VLOOKUP(Tabela8[[#This Row],[ID]],Tabela7[],2,0),"")</f>
        <v/>
      </c>
      <c r="D198" s="128" t="e">
        <f>VLOOKUP(Tabela8[[#This Row],[ID]],Tabela1[],3,0)</f>
        <v>#N/A</v>
      </c>
      <c r="E198" s="127" t="str">
        <f>IFERROR(VLOOKUP(Tabela8[[#This Row],[ID]],Tabela1[],4,0),"")</f>
        <v/>
      </c>
      <c r="F198" s="127" t="str">
        <f>IFERROR(VLOOKUP(Tabela8[[#This Row],[ID]],Tabela1[],5,0),"")</f>
        <v/>
      </c>
      <c r="G198" s="127" t="str">
        <f>IFERROR(VLOOKUP(Tabela8[[#This Row],[ID]],Tabela1[],6,0),"")</f>
        <v/>
      </c>
      <c r="H198" s="127" t="str">
        <f>IFERROR(VLOOKUP(Tabela8[[#This Row],[ID]],Tabela1[],7,0),"")</f>
        <v/>
      </c>
      <c r="I198" s="126"/>
      <c r="J198" s="126"/>
      <c r="K198" s="129" t="str">
        <f>IFERROR(VLOOKUP(Tabela8[[#This Row],[ID]],Tabela7[],11,0),"")</f>
        <v/>
      </c>
      <c r="L198" s="130" t="e">
        <f>Tabela8[[#This Row],[Latas a Pagar]]*Tabela9[VALOR LATA]</f>
        <v>#VALUE!</v>
      </c>
    </row>
    <row r="199" spans="2:12" hidden="1" x14ac:dyDescent="0.3">
      <c r="B199" s="127">
        <f>VALUE('CONTROLE DE PRODUÇÃO'!B173)</f>
        <v>0</v>
      </c>
      <c r="C199" s="128" t="str">
        <f>IFERROR(VLOOKUP(Tabela8[[#This Row],[ID]],Tabela7[],2,0),"")</f>
        <v/>
      </c>
      <c r="D199" s="128" t="e">
        <f>VLOOKUP(Tabela8[[#This Row],[ID]],Tabela1[],3,0)</f>
        <v>#N/A</v>
      </c>
      <c r="E199" s="127" t="str">
        <f>IFERROR(VLOOKUP(Tabela8[[#This Row],[ID]],Tabela1[],4,0),"")</f>
        <v/>
      </c>
      <c r="F199" s="127" t="str">
        <f>IFERROR(VLOOKUP(Tabela8[[#This Row],[ID]],Tabela1[],5,0),"")</f>
        <v/>
      </c>
      <c r="G199" s="127" t="str">
        <f>IFERROR(VLOOKUP(Tabela8[[#This Row],[ID]],Tabela1[],6,0),"")</f>
        <v/>
      </c>
      <c r="H199" s="127" t="str">
        <f>IFERROR(VLOOKUP(Tabela8[[#This Row],[ID]],Tabela1[],7,0),"")</f>
        <v/>
      </c>
      <c r="I199" s="126"/>
      <c r="J199" s="126"/>
      <c r="K199" s="129" t="str">
        <f>IFERROR(VLOOKUP(Tabela8[[#This Row],[ID]],Tabela7[],11,0),"")</f>
        <v/>
      </c>
      <c r="L199" s="130" t="e">
        <f>Tabela8[[#This Row],[Latas a Pagar]]*Tabela9[VALOR LATA]</f>
        <v>#VALUE!</v>
      </c>
    </row>
    <row r="200" spans="2:12" hidden="1" x14ac:dyDescent="0.3">
      <c r="B200" s="127">
        <f>VALUE('CONTROLE DE PRODUÇÃO'!B174)</f>
        <v>0</v>
      </c>
      <c r="C200" s="128" t="str">
        <f>IFERROR(VLOOKUP(Tabela8[[#This Row],[ID]],Tabela7[],2,0),"")</f>
        <v/>
      </c>
      <c r="D200" s="128" t="e">
        <f>VLOOKUP(Tabela8[[#This Row],[ID]],Tabela1[],3,0)</f>
        <v>#N/A</v>
      </c>
      <c r="E200" s="127" t="str">
        <f>IFERROR(VLOOKUP(Tabela8[[#This Row],[ID]],Tabela1[],4,0),"")</f>
        <v/>
      </c>
      <c r="F200" s="127" t="str">
        <f>IFERROR(VLOOKUP(Tabela8[[#This Row],[ID]],Tabela1[],5,0),"")</f>
        <v/>
      </c>
      <c r="G200" s="127" t="str">
        <f>IFERROR(VLOOKUP(Tabela8[[#This Row],[ID]],Tabela1[],6,0),"")</f>
        <v/>
      </c>
      <c r="H200" s="127" t="str">
        <f>IFERROR(VLOOKUP(Tabela8[[#This Row],[ID]],Tabela1[],7,0),"")</f>
        <v/>
      </c>
      <c r="I200" s="126"/>
      <c r="J200" s="126"/>
      <c r="K200" s="129" t="str">
        <f>IFERROR(VLOOKUP(Tabela8[[#This Row],[ID]],Tabela7[],11,0),"")</f>
        <v/>
      </c>
      <c r="L200" s="130" t="e">
        <f>Tabela8[[#This Row],[Latas a Pagar]]*Tabela9[VALOR LATA]</f>
        <v>#VALUE!</v>
      </c>
    </row>
    <row r="201" spans="2:12" hidden="1" x14ac:dyDescent="0.3">
      <c r="B201" s="127">
        <f>VALUE('CONTROLE DE PRODUÇÃO'!B175)</f>
        <v>0</v>
      </c>
      <c r="C201" s="128" t="str">
        <f>IFERROR(VLOOKUP(Tabela8[[#This Row],[ID]],Tabela7[],2,0),"")</f>
        <v/>
      </c>
      <c r="D201" s="128" t="e">
        <f>VLOOKUP(Tabela8[[#This Row],[ID]],Tabela1[],3,0)</f>
        <v>#N/A</v>
      </c>
      <c r="E201" s="127" t="str">
        <f>IFERROR(VLOOKUP(Tabela8[[#This Row],[ID]],Tabela1[],4,0),"")</f>
        <v/>
      </c>
      <c r="F201" s="127" t="str">
        <f>IFERROR(VLOOKUP(Tabela8[[#This Row],[ID]],Tabela1[],5,0),"")</f>
        <v/>
      </c>
      <c r="G201" s="127" t="str">
        <f>IFERROR(VLOOKUP(Tabela8[[#This Row],[ID]],Tabela1[],6,0),"")</f>
        <v/>
      </c>
      <c r="H201" s="127" t="str">
        <f>IFERROR(VLOOKUP(Tabela8[[#This Row],[ID]],Tabela1[],7,0),"")</f>
        <v/>
      </c>
      <c r="I201" s="126"/>
      <c r="J201" s="126"/>
      <c r="K201" s="129" t="str">
        <f>IFERROR(VLOOKUP(Tabela8[[#This Row],[ID]],Tabela7[],11,0),"")</f>
        <v/>
      </c>
      <c r="L201" s="130" t="e">
        <f>Tabela8[[#This Row],[Latas a Pagar]]*Tabela9[VALOR LATA]</f>
        <v>#VALUE!</v>
      </c>
    </row>
    <row r="202" spans="2:12" hidden="1" x14ac:dyDescent="0.3">
      <c r="B202" s="127">
        <f>VALUE('CONTROLE DE PRODUÇÃO'!B176)</f>
        <v>0</v>
      </c>
      <c r="C202" s="128" t="str">
        <f>IFERROR(VLOOKUP(Tabela8[[#This Row],[ID]],Tabela7[],2,0),"")</f>
        <v/>
      </c>
      <c r="D202" s="128" t="e">
        <f>VLOOKUP(Tabela8[[#This Row],[ID]],Tabela1[],3,0)</f>
        <v>#N/A</v>
      </c>
      <c r="E202" s="127" t="str">
        <f>IFERROR(VLOOKUP(Tabela8[[#This Row],[ID]],Tabela1[],4,0),"")</f>
        <v/>
      </c>
      <c r="F202" s="127" t="str">
        <f>IFERROR(VLOOKUP(Tabela8[[#This Row],[ID]],Tabela1[],5,0),"")</f>
        <v/>
      </c>
      <c r="G202" s="127" t="str">
        <f>IFERROR(VLOOKUP(Tabela8[[#This Row],[ID]],Tabela1[],6,0),"")</f>
        <v/>
      </c>
      <c r="H202" s="127" t="str">
        <f>IFERROR(VLOOKUP(Tabela8[[#This Row],[ID]],Tabela1[],7,0),"")</f>
        <v/>
      </c>
      <c r="I202" s="126"/>
      <c r="J202" s="126"/>
      <c r="K202" s="129" t="str">
        <f>IFERROR(VLOOKUP(Tabela8[[#This Row],[ID]],Tabela7[],11,0),"")</f>
        <v/>
      </c>
      <c r="L202" s="130" t="e">
        <f>Tabela8[[#This Row],[Latas a Pagar]]*Tabela9[VALOR LATA]</f>
        <v>#VALUE!</v>
      </c>
    </row>
    <row r="203" spans="2:12" hidden="1" x14ac:dyDescent="0.3">
      <c r="B203" s="127">
        <f>VALUE('CONTROLE DE PRODUÇÃO'!B177)</f>
        <v>0</v>
      </c>
      <c r="C203" s="128" t="str">
        <f>IFERROR(VLOOKUP(Tabela8[[#This Row],[ID]],Tabela7[],2,0),"")</f>
        <v/>
      </c>
      <c r="D203" s="128" t="e">
        <f>VLOOKUP(Tabela8[[#This Row],[ID]],Tabela1[],3,0)</f>
        <v>#N/A</v>
      </c>
      <c r="E203" s="127" t="str">
        <f>IFERROR(VLOOKUP(Tabela8[[#This Row],[ID]],Tabela1[],4,0),"")</f>
        <v/>
      </c>
      <c r="F203" s="127" t="str">
        <f>IFERROR(VLOOKUP(Tabela8[[#This Row],[ID]],Tabela1[],5,0),"")</f>
        <v/>
      </c>
      <c r="G203" s="127" t="str">
        <f>IFERROR(VLOOKUP(Tabela8[[#This Row],[ID]],Tabela1[],6,0),"")</f>
        <v/>
      </c>
      <c r="H203" s="127" t="str">
        <f>IFERROR(VLOOKUP(Tabela8[[#This Row],[ID]],Tabela1[],7,0),"")</f>
        <v/>
      </c>
      <c r="I203" s="126"/>
      <c r="J203" s="126"/>
      <c r="K203" s="129" t="str">
        <f>IFERROR(VLOOKUP(Tabela8[[#This Row],[ID]],Tabela7[],11,0),"")</f>
        <v/>
      </c>
      <c r="L203" s="130" t="e">
        <f>Tabela8[[#This Row],[Latas a Pagar]]*Tabela9[VALOR LATA]</f>
        <v>#VALUE!</v>
      </c>
    </row>
    <row r="204" spans="2:12" hidden="1" x14ac:dyDescent="0.3">
      <c r="B204" s="127">
        <f>VALUE('CONTROLE DE PRODUÇÃO'!B178)</f>
        <v>0</v>
      </c>
      <c r="C204" s="128" t="str">
        <f>IFERROR(VLOOKUP(Tabela8[[#This Row],[ID]],Tabela7[],2,0),"")</f>
        <v/>
      </c>
      <c r="D204" s="128" t="e">
        <f>VLOOKUP(Tabela8[[#This Row],[ID]],Tabela1[],3,0)</f>
        <v>#N/A</v>
      </c>
      <c r="E204" s="127" t="str">
        <f>IFERROR(VLOOKUP(Tabela8[[#This Row],[ID]],Tabela1[],4,0),"")</f>
        <v/>
      </c>
      <c r="F204" s="127" t="str">
        <f>IFERROR(VLOOKUP(Tabela8[[#This Row],[ID]],Tabela1[],5,0),"")</f>
        <v/>
      </c>
      <c r="G204" s="127" t="str">
        <f>IFERROR(VLOOKUP(Tabela8[[#This Row],[ID]],Tabela1[],6,0),"")</f>
        <v/>
      </c>
      <c r="H204" s="127" t="str">
        <f>IFERROR(VLOOKUP(Tabela8[[#This Row],[ID]],Tabela1[],7,0),"")</f>
        <v/>
      </c>
      <c r="I204" s="126"/>
      <c r="J204" s="126"/>
      <c r="K204" s="129" t="str">
        <f>IFERROR(VLOOKUP(Tabela8[[#This Row],[ID]],Tabela7[],11,0),"")</f>
        <v/>
      </c>
      <c r="L204" s="130" t="e">
        <f>Tabela8[[#This Row],[Latas a Pagar]]*Tabela9[VALOR LATA]</f>
        <v>#VALUE!</v>
      </c>
    </row>
    <row r="205" spans="2:12" hidden="1" x14ac:dyDescent="0.3">
      <c r="B205" s="127">
        <f>VALUE('CONTROLE DE PRODUÇÃO'!B179)</f>
        <v>0</v>
      </c>
      <c r="C205" s="128" t="str">
        <f>IFERROR(VLOOKUP(Tabela8[[#This Row],[ID]],Tabela7[],2,0),"")</f>
        <v/>
      </c>
      <c r="D205" s="128" t="e">
        <f>VLOOKUP(Tabela8[[#This Row],[ID]],Tabela1[],3,0)</f>
        <v>#N/A</v>
      </c>
      <c r="E205" s="127" t="str">
        <f>IFERROR(VLOOKUP(Tabela8[[#This Row],[ID]],Tabela1[],4,0),"")</f>
        <v/>
      </c>
      <c r="F205" s="127" t="str">
        <f>IFERROR(VLOOKUP(Tabela8[[#This Row],[ID]],Tabela1[],5,0),"")</f>
        <v/>
      </c>
      <c r="G205" s="127" t="str">
        <f>IFERROR(VLOOKUP(Tabela8[[#This Row],[ID]],Tabela1[],6,0),"")</f>
        <v/>
      </c>
      <c r="H205" s="127" t="str">
        <f>IFERROR(VLOOKUP(Tabela8[[#This Row],[ID]],Tabela1[],7,0),"")</f>
        <v/>
      </c>
      <c r="I205" s="126"/>
      <c r="J205" s="126"/>
      <c r="K205" s="129" t="str">
        <f>IFERROR(VLOOKUP(Tabela8[[#This Row],[ID]],Tabela7[],11,0),"")</f>
        <v/>
      </c>
      <c r="L205" s="130" t="e">
        <f>Tabela8[[#This Row],[Latas a Pagar]]*Tabela9[VALOR LATA]</f>
        <v>#VALUE!</v>
      </c>
    </row>
    <row r="206" spans="2:12" hidden="1" x14ac:dyDescent="0.3">
      <c r="B206" s="127">
        <f>VALUE('CONTROLE DE PRODUÇÃO'!B180)</f>
        <v>0</v>
      </c>
      <c r="C206" s="128" t="str">
        <f>IFERROR(VLOOKUP(Tabela8[[#This Row],[ID]],Tabela7[],2,0),"")</f>
        <v/>
      </c>
      <c r="D206" s="128" t="e">
        <f>VLOOKUP(Tabela8[[#This Row],[ID]],Tabela1[],3,0)</f>
        <v>#N/A</v>
      </c>
      <c r="E206" s="127" t="str">
        <f>IFERROR(VLOOKUP(Tabela8[[#This Row],[ID]],Tabela1[],4,0),"")</f>
        <v/>
      </c>
      <c r="F206" s="127" t="str">
        <f>IFERROR(VLOOKUP(Tabela8[[#This Row],[ID]],Tabela1[],5,0),"")</f>
        <v/>
      </c>
      <c r="G206" s="127" t="str">
        <f>IFERROR(VLOOKUP(Tabela8[[#This Row],[ID]],Tabela1[],6,0),"")</f>
        <v/>
      </c>
      <c r="H206" s="127" t="str">
        <f>IFERROR(VLOOKUP(Tabela8[[#This Row],[ID]],Tabela1[],7,0),"")</f>
        <v/>
      </c>
      <c r="I206" s="126"/>
      <c r="J206" s="126"/>
      <c r="K206" s="129" t="str">
        <f>IFERROR(VLOOKUP(Tabela8[[#This Row],[ID]],Tabela7[],11,0),"")</f>
        <v/>
      </c>
      <c r="L206" s="130" t="e">
        <f>Tabela8[[#This Row],[Latas a Pagar]]*Tabela9[VALOR LATA]</f>
        <v>#VALUE!</v>
      </c>
    </row>
    <row r="207" spans="2:12" hidden="1" x14ac:dyDescent="0.3">
      <c r="B207" s="127">
        <f>VALUE('CONTROLE DE PRODUÇÃO'!B181)</f>
        <v>0</v>
      </c>
      <c r="C207" s="128" t="str">
        <f>IFERROR(VLOOKUP(Tabela8[[#This Row],[ID]],Tabela7[],2,0),"")</f>
        <v/>
      </c>
      <c r="D207" s="128" t="e">
        <f>VLOOKUP(Tabela8[[#This Row],[ID]],Tabela1[],3,0)</f>
        <v>#N/A</v>
      </c>
      <c r="E207" s="127" t="str">
        <f>IFERROR(VLOOKUP(Tabela8[[#This Row],[ID]],Tabela1[],4,0),"")</f>
        <v/>
      </c>
      <c r="F207" s="127" t="str">
        <f>IFERROR(VLOOKUP(Tabela8[[#This Row],[ID]],Tabela1[],5,0),"")</f>
        <v/>
      </c>
      <c r="G207" s="127" t="str">
        <f>IFERROR(VLOOKUP(Tabela8[[#This Row],[ID]],Tabela1[],6,0),"")</f>
        <v/>
      </c>
      <c r="H207" s="127" t="str">
        <f>IFERROR(VLOOKUP(Tabela8[[#This Row],[ID]],Tabela1[],7,0),"")</f>
        <v/>
      </c>
      <c r="I207" s="126"/>
      <c r="J207" s="126"/>
      <c r="K207" s="129" t="str">
        <f>IFERROR(VLOOKUP(Tabela8[[#This Row],[ID]],Tabela7[],11,0),"")</f>
        <v/>
      </c>
      <c r="L207" s="130" t="e">
        <f>Tabela8[[#This Row],[Latas a Pagar]]*Tabela9[VALOR LATA]</f>
        <v>#VALUE!</v>
      </c>
    </row>
    <row r="208" spans="2:12" hidden="1" x14ac:dyDescent="0.3">
      <c r="B208" s="127">
        <f>VALUE('CONTROLE DE PRODUÇÃO'!B182)</f>
        <v>0</v>
      </c>
      <c r="C208" s="128" t="str">
        <f>IFERROR(VLOOKUP(Tabela8[[#This Row],[ID]],Tabela7[],2,0),"")</f>
        <v/>
      </c>
      <c r="D208" s="128" t="e">
        <f>VLOOKUP(Tabela8[[#This Row],[ID]],Tabela1[],3,0)</f>
        <v>#N/A</v>
      </c>
      <c r="E208" s="127" t="str">
        <f>IFERROR(VLOOKUP(Tabela8[[#This Row],[ID]],Tabela1[],4,0),"")</f>
        <v/>
      </c>
      <c r="F208" s="127" t="str">
        <f>IFERROR(VLOOKUP(Tabela8[[#This Row],[ID]],Tabela1[],5,0),"")</f>
        <v/>
      </c>
      <c r="G208" s="127" t="str">
        <f>IFERROR(VLOOKUP(Tabela8[[#This Row],[ID]],Tabela1[],6,0),"")</f>
        <v/>
      </c>
      <c r="H208" s="127" t="str">
        <f>IFERROR(VLOOKUP(Tabela8[[#This Row],[ID]],Tabela1[],7,0),"")</f>
        <v/>
      </c>
      <c r="I208" s="126"/>
      <c r="J208" s="126"/>
      <c r="K208" s="129" t="str">
        <f>IFERROR(VLOOKUP(Tabela8[[#This Row],[ID]],Tabela7[],11,0),"")</f>
        <v/>
      </c>
      <c r="L208" s="130" t="e">
        <f>Tabela8[[#This Row],[Latas a Pagar]]*Tabela9[VALOR LATA]</f>
        <v>#VALUE!</v>
      </c>
    </row>
    <row r="209" spans="2:12" hidden="1" x14ac:dyDescent="0.3">
      <c r="B209" s="127">
        <f>VALUE('CONTROLE DE PRODUÇÃO'!B183)</f>
        <v>0</v>
      </c>
      <c r="C209" s="128" t="str">
        <f>IFERROR(VLOOKUP(Tabela8[[#This Row],[ID]],Tabela7[],2,0),"")</f>
        <v/>
      </c>
      <c r="D209" s="128" t="e">
        <f>VLOOKUP(Tabela8[[#This Row],[ID]],Tabela1[],3,0)</f>
        <v>#N/A</v>
      </c>
      <c r="E209" s="127" t="str">
        <f>IFERROR(VLOOKUP(Tabela8[[#This Row],[ID]],Tabela1[],4,0),"")</f>
        <v/>
      </c>
      <c r="F209" s="127" t="str">
        <f>IFERROR(VLOOKUP(Tabela8[[#This Row],[ID]],Tabela1[],5,0),"")</f>
        <v/>
      </c>
      <c r="G209" s="127" t="str">
        <f>IFERROR(VLOOKUP(Tabela8[[#This Row],[ID]],Tabela1[],6,0),"")</f>
        <v/>
      </c>
      <c r="H209" s="127" t="str">
        <f>IFERROR(VLOOKUP(Tabela8[[#This Row],[ID]],Tabela1[],7,0),"")</f>
        <v/>
      </c>
      <c r="I209" s="126"/>
      <c r="J209" s="126"/>
      <c r="K209" s="129" t="str">
        <f>IFERROR(VLOOKUP(Tabela8[[#This Row],[ID]],Tabela7[],11,0),"")</f>
        <v/>
      </c>
      <c r="L209" s="130" t="e">
        <f>Tabela8[[#This Row],[Latas a Pagar]]*Tabela9[VALOR LATA]</f>
        <v>#VALUE!</v>
      </c>
    </row>
    <row r="210" spans="2:12" hidden="1" x14ac:dyDescent="0.3">
      <c r="B210" s="127">
        <f>VALUE('CONTROLE DE PRODUÇÃO'!B184)</f>
        <v>0</v>
      </c>
      <c r="C210" s="128" t="str">
        <f>IFERROR(VLOOKUP(Tabela8[[#This Row],[ID]],Tabela7[],2,0),"")</f>
        <v/>
      </c>
      <c r="D210" s="128" t="e">
        <f>VLOOKUP(Tabela8[[#This Row],[ID]],Tabela1[],3,0)</f>
        <v>#N/A</v>
      </c>
      <c r="E210" s="127" t="str">
        <f>IFERROR(VLOOKUP(Tabela8[[#This Row],[ID]],Tabela1[],4,0),"")</f>
        <v/>
      </c>
      <c r="F210" s="127" t="str">
        <f>IFERROR(VLOOKUP(Tabela8[[#This Row],[ID]],Tabela1[],5,0),"")</f>
        <v/>
      </c>
      <c r="G210" s="127" t="str">
        <f>IFERROR(VLOOKUP(Tabela8[[#This Row],[ID]],Tabela1[],6,0),"")</f>
        <v/>
      </c>
      <c r="H210" s="127" t="str">
        <f>IFERROR(VLOOKUP(Tabela8[[#This Row],[ID]],Tabela1[],7,0),"")</f>
        <v/>
      </c>
      <c r="I210" s="126"/>
      <c r="J210" s="126"/>
      <c r="K210" s="129" t="str">
        <f>IFERROR(VLOOKUP(Tabela8[[#This Row],[ID]],Tabela7[],11,0),"")</f>
        <v/>
      </c>
      <c r="L210" s="130" t="e">
        <f>Tabela8[[#This Row],[Latas a Pagar]]*Tabela9[VALOR LATA]</f>
        <v>#VALUE!</v>
      </c>
    </row>
    <row r="211" spans="2:12" hidden="1" x14ac:dyDescent="0.3">
      <c r="B211" s="127">
        <f>VALUE('CONTROLE DE PRODUÇÃO'!B185)</f>
        <v>0</v>
      </c>
      <c r="C211" s="128" t="str">
        <f>IFERROR(VLOOKUP(Tabela8[[#This Row],[ID]],Tabela7[],2,0),"")</f>
        <v/>
      </c>
      <c r="D211" s="128" t="e">
        <f>VLOOKUP(Tabela8[[#This Row],[ID]],Tabela1[],3,0)</f>
        <v>#N/A</v>
      </c>
      <c r="E211" s="127" t="str">
        <f>IFERROR(VLOOKUP(Tabela8[[#This Row],[ID]],Tabela1[],4,0),"")</f>
        <v/>
      </c>
      <c r="F211" s="127" t="str">
        <f>IFERROR(VLOOKUP(Tabela8[[#This Row],[ID]],Tabela1[],5,0),"")</f>
        <v/>
      </c>
      <c r="G211" s="127" t="str">
        <f>IFERROR(VLOOKUP(Tabela8[[#This Row],[ID]],Tabela1[],6,0),"")</f>
        <v/>
      </c>
      <c r="H211" s="127" t="str">
        <f>IFERROR(VLOOKUP(Tabela8[[#This Row],[ID]],Tabela1[],7,0),"")</f>
        <v/>
      </c>
      <c r="I211" s="126"/>
      <c r="J211" s="126"/>
      <c r="K211" s="129" t="str">
        <f>IFERROR(VLOOKUP(Tabela8[[#This Row],[ID]],Tabela7[],11,0),"")</f>
        <v/>
      </c>
      <c r="L211" s="130" t="e">
        <f>Tabela8[[#This Row],[Latas a Pagar]]*Tabela9[VALOR LATA]</f>
        <v>#VALUE!</v>
      </c>
    </row>
    <row r="212" spans="2:12" hidden="1" x14ac:dyDescent="0.3">
      <c r="B212" s="127">
        <f>VALUE('CONTROLE DE PRODUÇÃO'!B186)</f>
        <v>0</v>
      </c>
      <c r="C212" s="128" t="str">
        <f>IFERROR(VLOOKUP(Tabela8[[#This Row],[ID]],Tabela7[],2,0),"")</f>
        <v/>
      </c>
      <c r="D212" s="128" t="e">
        <f>VLOOKUP(Tabela8[[#This Row],[ID]],Tabela1[],3,0)</f>
        <v>#N/A</v>
      </c>
      <c r="E212" s="127" t="str">
        <f>IFERROR(VLOOKUP(Tabela8[[#This Row],[ID]],Tabela1[],4,0),"")</f>
        <v/>
      </c>
      <c r="F212" s="127" t="str">
        <f>IFERROR(VLOOKUP(Tabela8[[#This Row],[ID]],Tabela1[],5,0),"")</f>
        <v/>
      </c>
      <c r="G212" s="127" t="str">
        <f>IFERROR(VLOOKUP(Tabela8[[#This Row],[ID]],Tabela1[],6,0),"")</f>
        <v/>
      </c>
      <c r="H212" s="127" t="str">
        <f>IFERROR(VLOOKUP(Tabela8[[#This Row],[ID]],Tabela1[],7,0),"")</f>
        <v/>
      </c>
      <c r="I212" s="126"/>
      <c r="J212" s="126"/>
      <c r="K212" s="129" t="str">
        <f>IFERROR(VLOOKUP(Tabela8[[#This Row],[ID]],Tabela7[],11,0),"")</f>
        <v/>
      </c>
      <c r="L212" s="130" t="e">
        <f>Tabela8[[#This Row],[Latas a Pagar]]*Tabela9[VALOR LATA]</f>
        <v>#VALUE!</v>
      </c>
    </row>
    <row r="213" spans="2:12" hidden="1" x14ac:dyDescent="0.3">
      <c r="B213" s="127">
        <f>VALUE('CONTROLE DE PRODUÇÃO'!B187)</f>
        <v>0</v>
      </c>
      <c r="C213" s="128" t="str">
        <f>IFERROR(VLOOKUP(Tabela8[[#This Row],[ID]],Tabela7[],2,0),"")</f>
        <v/>
      </c>
      <c r="D213" s="128" t="e">
        <f>VLOOKUP(Tabela8[[#This Row],[ID]],Tabela1[],3,0)</f>
        <v>#N/A</v>
      </c>
      <c r="E213" s="127" t="str">
        <f>IFERROR(VLOOKUP(Tabela8[[#This Row],[ID]],Tabela1[],4,0),"")</f>
        <v/>
      </c>
      <c r="F213" s="127" t="str">
        <f>IFERROR(VLOOKUP(Tabela8[[#This Row],[ID]],Tabela1[],5,0),"")</f>
        <v/>
      </c>
      <c r="G213" s="127" t="str">
        <f>IFERROR(VLOOKUP(Tabela8[[#This Row],[ID]],Tabela1[],6,0),"")</f>
        <v/>
      </c>
      <c r="H213" s="127" t="str">
        <f>IFERROR(VLOOKUP(Tabela8[[#This Row],[ID]],Tabela1[],7,0),"")</f>
        <v/>
      </c>
      <c r="I213" s="126"/>
      <c r="J213" s="126"/>
      <c r="K213" s="129" t="str">
        <f>IFERROR(VLOOKUP(Tabela8[[#This Row],[ID]],Tabela7[],11,0),"")</f>
        <v/>
      </c>
      <c r="L213" s="130" t="e">
        <f>Tabela8[[#This Row],[Latas a Pagar]]*Tabela9[VALOR LATA]</f>
        <v>#VALUE!</v>
      </c>
    </row>
    <row r="214" spans="2:12" hidden="1" x14ac:dyDescent="0.3">
      <c r="B214" s="127">
        <f>VALUE('CONTROLE DE PRODUÇÃO'!B188)</f>
        <v>0</v>
      </c>
      <c r="C214" s="128" t="str">
        <f>IFERROR(VLOOKUP(Tabela8[[#This Row],[ID]],Tabela7[],2,0),"")</f>
        <v/>
      </c>
      <c r="D214" s="128" t="e">
        <f>VLOOKUP(Tabela8[[#This Row],[ID]],Tabela1[],3,0)</f>
        <v>#N/A</v>
      </c>
      <c r="E214" s="127" t="str">
        <f>IFERROR(VLOOKUP(Tabela8[[#This Row],[ID]],Tabela1[],4,0),"")</f>
        <v/>
      </c>
      <c r="F214" s="127" t="str">
        <f>IFERROR(VLOOKUP(Tabela8[[#This Row],[ID]],Tabela1[],5,0),"")</f>
        <v/>
      </c>
      <c r="G214" s="127" t="str">
        <f>IFERROR(VLOOKUP(Tabela8[[#This Row],[ID]],Tabela1[],6,0),"")</f>
        <v/>
      </c>
      <c r="H214" s="127" t="str">
        <f>IFERROR(VLOOKUP(Tabela8[[#This Row],[ID]],Tabela1[],7,0),"")</f>
        <v/>
      </c>
      <c r="I214" s="126"/>
      <c r="J214" s="126"/>
      <c r="K214" s="129" t="str">
        <f>IFERROR(VLOOKUP(Tabela8[[#This Row],[ID]],Tabela7[],11,0),"")</f>
        <v/>
      </c>
      <c r="L214" s="130" t="e">
        <f>Tabela8[[#This Row],[Latas a Pagar]]*Tabela9[VALOR LATA]</f>
        <v>#VALUE!</v>
      </c>
    </row>
    <row r="215" spans="2:12" hidden="1" x14ac:dyDescent="0.3">
      <c r="B215" s="127">
        <f>VALUE('CONTROLE DE PRODUÇÃO'!B189)</f>
        <v>0</v>
      </c>
      <c r="C215" s="128" t="str">
        <f>IFERROR(VLOOKUP(Tabela8[[#This Row],[ID]],Tabela7[],2,0),"")</f>
        <v/>
      </c>
      <c r="D215" s="128" t="e">
        <f>VLOOKUP(Tabela8[[#This Row],[ID]],Tabela1[],3,0)</f>
        <v>#N/A</v>
      </c>
      <c r="E215" s="127" t="str">
        <f>IFERROR(VLOOKUP(Tabela8[[#This Row],[ID]],Tabela1[],4,0),"")</f>
        <v/>
      </c>
      <c r="F215" s="127" t="str">
        <f>IFERROR(VLOOKUP(Tabela8[[#This Row],[ID]],Tabela1[],5,0),"")</f>
        <v/>
      </c>
      <c r="G215" s="127" t="str">
        <f>IFERROR(VLOOKUP(Tabela8[[#This Row],[ID]],Tabela1[],6,0),"")</f>
        <v/>
      </c>
      <c r="H215" s="127" t="str">
        <f>IFERROR(VLOOKUP(Tabela8[[#This Row],[ID]],Tabela1[],7,0),"")</f>
        <v/>
      </c>
      <c r="I215" s="126"/>
      <c r="J215" s="126"/>
      <c r="K215" s="129" t="str">
        <f>IFERROR(VLOOKUP(Tabela8[[#This Row],[ID]],Tabela7[],11,0),"")</f>
        <v/>
      </c>
      <c r="L215" s="130" t="e">
        <f>Tabela8[[#This Row],[Latas a Pagar]]*Tabela9[VALOR LATA]</f>
        <v>#VALUE!</v>
      </c>
    </row>
    <row r="216" spans="2:12" hidden="1" x14ac:dyDescent="0.3">
      <c r="B216" s="127">
        <f>VALUE('CONTROLE DE PRODUÇÃO'!B190)</f>
        <v>0</v>
      </c>
      <c r="C216" s="128" t="str">
        <f>IFERROR(VLOOKUP(Tabela8[[#This Row],[ID]],Tabela7[],2,0),"")</f>
        <v/>
      </c>
      <c r="D216" s="128" t="e">
        <f>VLOOKUP(Tabela8[[#This Row],[ID]],Tabela1[],3,0)</f>
        <v>#N/A</v>
      </c>
      <c r="E216" s="127" t="str">
        <f>IFERROR(VLOOKUP(Tabela8[[#This Row],[ID]],Tabela1[],4,0),"")</f>
        <v/>
      </c>
      <c r="F216" s="127" t="str">
        <f>IFERROR(VLOOKUP(Tabela8[[#This Row],[ID]],Tabela1[],5,0),"")</f>
        <v/>
      </c>
      <c r="G216" s="127" t="str">
        <f>IFERROR(VLOOKUP(Tabela8[[#This Row],[ID]],Tabela1[],6,0),"")</f>
        <v/>
      </c>
      <c r="H216" s="127" t="str">
        <f>IFERROR(VLOOKUP(Tabela8[[#This Row],[ID]],Tabela1[],7,0),"")</f>
        <v/>
      </c>
      <c r="I216" s="126"/>
      <c r="J216" s="126"/>
      <c r="K216" s="129" t="str">
        <f>IFERROR(VLOOKUP(Tabela8[[#This Row],[ID]],Tabela7[],11,0),"")</f>
        <v/>
      </c>
      <c r="L216" s="130" t="e">
        <f>Tabela8[[#This Row],[Latas a Pagar]]*Tabela9[VALOR LATA]</f>
        <v>#VALUE!</v>
      </c>
    </row>
    <row r="217" spans="2:12" hidden="1" x14ac:dyDescent="0.3">
      <c r="B217" s="127">
        <f>VALUE('CONTROLE DE PRODUÇÃO'!B191)</f>
        <v>0</v>
      </c>
      <c r="C217" s="128" t="str">
        <f>IFERROR(VLOOKUP(Tabela8[[#This Row],[ID]],Tabela7[],2,0),"")</f>
        <v/>
      </c>
      <c r="D217" s="128" t="e">
        <f>VLOOKUP(Tabela8[[#This Row],[ID]],Tabela1[],3,0)</f>
        <v>#N/A</v>
      </c>
      <c r="E217" s="127" t="str">
        <f>IFERROR(VLOOKUP(Tabela8[[#This Row],[ID]],Tabela1[],4,0),"")</f>
        <v/>
      </c>
      <c r="F217" s="127" t="str">
        <f>IFERROR(VLOOKUP(Tabela8[[#This Row],[ID]],Tabela1[],5,0),"")</f>
        <v/>
      </c>
      <c r="G217" s="127" t="str">
        <f>IFERROR(VLOOKUP(Tabela8[[#This Row],[ID]],Tabela1[],6,0),"")</f>
        <v/>
      </c>
      <c r="H217" s="127" t="str">
        <f>IFERROR(VLOOKUP(Tabela8[[#This Row],[ID]],Tabela1[],7,0),"")</f>
        <v/>
      </c>
      <c r="I217" s="126"/>
      <c r="J217" s="126"/>
      <c r="K217" s="129" t="str">
        <f>IFERROR(VLOOKUP(Tabela8[[#This Row],[ID]],Tabela7[],11,0),"")</f>
        <v/>
      </c>
      <c r="L217" s="130" t="e">
        <f>Tabela8[[#This Row],[Latas a Pagar]]*Tabela9[VALOR LATA]</f>
        <v>#VALUE!</v>
      </c>
    </row>
    <row r="218" spans="2:12" hidden="1" x14ac:dyDescent="0.3">
      <c r="B218" s="127">
        <f>VALUE('CONTROLE DE PRODUÇÃO'!B192)</f>
        <v>0</v>
      </c>
      <c r="C218" s="128" t="str">
        <f>IFERROR(VLOOKUP(Tabela8[[#This Row],[ID]],Tabela7[],2,0),"")</f>
        <v/>
      </c>
      <c r="D218" s="128" t="e">
        <f>VLOOKUP(Tabela8[[#This Row],[ID]],Tabela1[],3,0)</f>
        <v>#N/A</v>
      </c>
      <c r="E218" s="127" t="str">
        <f>IFERROR(VLOOKUP(Tabela8[[#This Row],[ID]],Tabela1[],4,0),"")</f>
        <v/>
      </c>
      <c r="F218" s="127" t="str">
        <f>IFERROR(VLOOKUP(Tabela8[[#This Row],[ID]],Tabela1[],5,0),"")</f>
        <v/>
      </c>
      <c r="G218" s="127" t="str">
        <f>IFERROR(VLOOKUP(Tabela8[[#This Row],[ID]],Tabela1[],6,0),"")</f>
        <v/>
      </c>
      <c r="H218" s="127" t="str">
        <f>IFERROR(VLOOKUP(Tabela8[[#This Row],[ID]],Tabela1[],7,0),"")</f>
        <v/>
      </c>
      <c r="I218" s="126"/>
      <c r="J218" s="126"/>
      <c r="K218" s="129" t="str">
        <f>IFERROR(VLOOKUP(Tabela8[[#This Row],[ID]],Tabela7[],11,0),"")</f>
        <v/>
      </c>
      <c r="L218" s="130" t="e">
        <f>Tabela8[[#This Row],[Latas a Pagar]]*Tabela9[VALOR LATA]</f>
        <v>#VALUE!</v>
      </c>
    </row>
    <row r="219" spans="2:12" hidden="1" x14ac:dyDescent="0.3">
      <c r="B219" s="127">
        <f>VALUE('CONTROLE DE PRODUÇÃO'!B193)</f>
        <v>0</v>
      </c>
      <c r="C219" s="128" t="str">
        <f>IFERROR(VLOOKUP(Tabela8[[#This Row],[ID]],Tabela7[],2,0),"")</f>
        <v/>
      </c>
      <c r="D219" s="128" t="e">
        <f>VLOOKUP(Tabela8[[#This Row],[ID]],Tabela1[],3,0)</f>
        <v>#N/A</v>
      </c>
      <c r="E219" s="127" t="str">
        <f>IFERROR(VLOOKUP(Tabela8[[#This Row],[ID]],Tabela1[],4,0),"")</f>
        <v/>
      </c>
      <c r="F219" s="127" t="str">
        <f>IFERROR(VLOOKUP(Tabela8[[#This Row],[ID]],Tabela1[],5,0),"")</f>
        <v/>
      </c>
      <c r="G219" s="127" t="str">
        <f>IFERROR(VLOOKUP(Tabela8[[#This Row],[ID]],Tabela1[],6,0),"")</f>
        <v/>
      </c>
      <c r="H219" s="127" t="str">
        <f>IFERROR(VLOOKUP(Tabela8[[#This Row],[ID]],Tabela1[],7,0),"")</f>
        <v/>
      </c>
      <c r="I219" s="126"/>
      <c r="J219" s="126"/>
      <c r="K219" s="129" t="str">
        <f>IFERROR(VLOOKUP(Tabela8[[#This Row],[ID]],Tabela7[],11,0),"")</f>
        <v/>
      </c>
      <c r="L219" s="130" t="e">
        <f>Tabela8[[#This Row],[Latas a Pagar]]*Tabela9[VALOR LATA]</f>
        <v>#VALUE!</v>
      </c>
    </row>
    <row r="220" spans="2:12" hidden="1" x14ac:dyDescent="0.3">
      <c r="B220" s="127">
        <f>VALUE('CONTROLE DE PRODUÇÃO'!B194)</f>
        <v>0</v>
      </c>
      <c r="C220" s="128" t="str">
        <f>IFERROR(VLOOKUP(Tabela8[[#This Row],[ID]],Tabela7[],2,0),"")</f>
        <v/>
      </c>
      <c r="D220" s="128" t="e">
        <f>VLOOKUP(Tabela8[[#This Row],[ID]],Tabela1[],3,0)</f>
        <v>#N/A</v>
      </c>
      <c r="E220" s="127" t="str">
        <f>IFERROR(VLOOKUP(Tabela8[[#This Row],[ID]],Tabela1[],4,0),"")</f>
        <v/>
      </c>
      <c r="F220" s="127" t="str">
        <f>IFERROR(VLOOKUP(Tabela8[[#This Row],[ID]],Tabela1[],5,0),"")</f>
        <v/>
      </c>
      <c r="G220" s="127" t="str">
        <f>IFERROR(VLOOKUP(Tabela8[[#This Row],[ID]],Tabela1[],6,0),"")</f>
        <v/>
      </c>
      <c r="H220" s="127" t="str">
        <f>IFERROR(VLOOKUP(Tabela8[[#This Row],[ID]],Tabela1[],7,0),"")</f>
        <v/>
      </c>
      <c r="I220" s="126"/>
      <c r="J220" s="126"/>
      <c r="K220" s="129" t="str">
        <f>IFERROR(VLOOKUP(Tabela8[[#This Row],[ID]],Tabela7[],11,0),"")</f>
        <v/>
      </c>
      <c r="L220" s="130" t="e">
        <f>Tabela8[[#This Row],[Latas a Pagar]]*Tabela9[VALOR LATA]</f>
        <v>#VALUE!</v>
      </c>
    </row>
    <row r="221" spans="2:12" hidden="1" x14ac:dyDescent="0.3">
      <c r="B221" s="127">
        <f>VALUE('CONTROLE DE PRODUÇÃO'!B195)</f>
        <v>0</v>
      </c>
      <c r="C221" s="128" t="str">
        <f>IFERROR(VLOOKUP(Tabela8[[#This Row],[ID]],Tabela7[],2,0),"")</f>
        <v/>
      </c>
      <c r="D221" s="128" t="e">
        <f>VLOOKUP(Tabela8[[#This Row],[ID]],Tabela1[],3,0)</f>
        <v>#N/A</v>
      </c>
      <c r="E221" s="127" t="str">
        <f>IFERROR(VLOOKUP(Tabela8[[#This Row],[ID]],Tabela1[],4,0),"")</f>
        <v/>
      </c>
      <c r="F221" s="127" t="str">
        <f>IFERROR(VLOOKUP(Tabela8[[#This Row],[ID]],Tabela1[],5,0),"")</f>
        <v/>
      </c>
      <c r="G221" s="127" t="str">
        <f>IFERROR(VLOOKUP(Tabela8[[#This Row],[ID]],Tabela1[],6,0),"")</f>
        <v/>
      </c>
      <c r="H221" s="127" t="str">
        <f>IFERROR(VLOOKUP(Tabela8[[#This Row],[ID]],Tabela1[],7,0),"")</f>
        <v/>
      </c>
      <c r="I221" s="126"/>
      <c r="J221" s="126"/>
      <c r="K221" s="129" t="str">
        <f>IFERROR(VLOOKUP(Tabela8[[#This Row],[ID]],Tabela7[],11,0),"")</f>
        <v/>
      </c>
      <c r="L221" s="130" t="e">
        <f>Tabela8[[#This Row],[Latas a Pagar]]*Tabela9[VALOR LATA]</f>
        <v>#VALUE!</v>
      </c>
    </row>
    <row r="222" spans="2:12" hidden="1" x14ac:dyDescent="0.3">
      <c r="B222" s="127">
        <f>VALUE('CONTROLE DE PRODUÇÃO'!B196)</f>
        <v>0</v>
      </c>
      <c r="C222" s="128" t="str">
        <f>IFERROR(VLOOKUP(Tabela8[[#This Row],[ID]],Tabela7[],2,0),"")</f>
        <v/>
      </c>
      <c r="D222" s="128" t="e">
        <f>VLOOKUP(Tabela8[[#This Row],[ID]],Tabela1[],3,0)</f>
        <v>#N/A</v>
      </c>
      <c r="E222" s="127" t="str">
        <f>IFERROR(VLOOKUP(Tabela8[[#This Row],[ID]],Tabela1[],4,0),"")</f>
        <v/>
      </c>
      <c r="F222" s="127" t="str">
        <f>IFERROR(VLOOKUP(Tabela8[[#This Row],[ID]],Tabela1[],5,0),"")</f>
        <v/>
      </c>
      <c r="G222" s="127" t="str">
        <f>IFERROR(VLOOKUP(Tabela8[[#This Row],[ID]],Tabela1[],6,0),"")</f>
        <v/>
      </c>
      <c r="H222" s="127" t="str">
        <f>IFERROR(VLOOKUP(Tabela8[[#This Row],[ID]],Tabela1[],7,0),"")</f>
        <v/>
      </c>
      <c r="I222" s="126"/>
      <c r="J222" s="126"/>
      <c r="K222" s="129" t="str">
        <f>IFERROR(VLOOKUP(Tabela8[[#This Row],[ID]],Tabela7[],11,0),"")</f>
        <v/>
      </c>
      <c r="L222" s="130" t="e">
        <f>Tabela8[[#This Row],[Latas a Pagar]]*Tabela9[VALOR LATA]</f>
        <v>#VALUE!</v>
      </c>
    </row>
    <row r="223" spans="2:12" hidden="1" x14ac:dyDescent="0.3">
      <c r="B223" s="127">
        <f>VALUE('CONTROLE DE PRODUÇÃO'!B197)</f>
        <v>0</v>
      </c>
      <c r="C223" s="128" t="str">
        <f>IFERROR(VLOOKUP(Tabela8[[#This Row],[ID]],Tabela7[],2,0),"")</f>
        <v/>
      </c>
      <c r="D223" s="128" t="e">
        <f>VLOOKUP(Tabela8[[#This Row],[ID]],Tabela1[],3,0)</f>
        <v>#N/A</v>
      </c>
      <c r="E223" s="127" t="str">
        <f>IFERROR(VLOOKUP(Tabela8[[#This Row],[ID]],Tabela1[],4,0),"")</f>
        <v/>
      </c>
      <c r="F223" s="127" t="str">
        <f>IFERROR(VLOOKUP(Tabela8[[#This Row],[ID]],Tabela1[],5,0),"")</f>
        <v/>
      </c>
      <c r="G223" s="127" t="str">
        <f>IFERROR(VLOOKUP(Tabela8[[#This Row],[ID]],Tabela1[],6,0),"")</f>
        <v/>
      </c>
      <c r="H223" s="127" t="str">
        <f>IFERROR(VLOOKUP(Tabela8[[#This Row],[ID]],Tabela1[],7,0),"")</f>
        <v/>
      </c>
      <c r="I223" s="126"/>
      <c r="J223" s="126"/>
      <c r="K223" s="129" t="str">
        <f>IFERROR(VLOOKUP(Tabela8[[#This Row],[ID]],Tabela7[],11,0),"")</f>
        <v/>
      </c>
      <c r="L223" s="130" t="e">
        <f>Tabela8[[#This Row],[Latas a Pagar]]*Tabela9[VALOR LATA]</f>
        <v>#VALUE!</v>
      </c>
    </row>
    <row r="224" spans="2:12" hidden="1" x14ac:dyDescent="0.3">
      <c r="B224" s="127">
        <f>VALUE('CONTROLE DE PRODUÇÃO'!B198)</f>
        <v>0</v>
      </c>
      <c r="C224" s="128" t="str">
        <f>IFERROR(VLOOKUP(Tabela8[[#This Row],[ID]],Tabela7[],2,0),"")</f>
        <v/>
      </c>
      <c r="D224" s="128" t="e">
        <f>VLOOKUP(Tabela8[[#This Row],[ID]],Tabela1[],3,0)</f>
        <v>#N/A</v>
      </c>
      <c r="E224" s="127" t="str">
        <f>IFERROR(VLOOKUP(Tabela8[[#This Row],[ID]],Tabela1[],4,0),"")</f>
        <v/>
      </c>
      <c r="F224" s="127" t="str">
        <f>IFERROR(VLOOKUP(Tabela8[[#This Row],[ID]],Tabela1[],5,0),"")</f>
        <v/>
      </c>
      <c r="G224" s="127" t="str">
        <f>IFERROR(VLOOKUP(Tabela8[[#This Row],[ID]],Tabela1[],6,0),"")</f>
        <v/>
      </c>
      <c r="H224" s="127" t="str">
        <f>IFERROR(VLOOKUP(Tabela8[[#This Row],[ID]],Tabela1[],7,0),"")</f>
        <v/>
      </c>
      <c r="I224" s="126"/>
      <c r="J224" s="126"/>
      <c r="K224" s="129" t="str">
        <f>IFERROR(VLOOKUP(Tabela8[[#This Row],[ID]],Tabela7[],11,0),"")</f>
        <v/>
      </c>
      <c r="L224" s="130" t="e">
        <f>Tabela8[[#This Row],[Latas a Pagar]]*Tabela9[VALOR LATA]</f>
        <v>#VALUE!</v>
      </c>
    </row>
    <row r="225" spans="2:12" hidden="1" x14ac:dyDescent="0.3">
      <c r="B225" s="127">
        <f>VALUE('CONTROLE DE PRODUÇÃO'!B199)</f>
        <v>0</v>
      </c>
      <c r="C225" s="128" t="str">
        <f>IFERROR(VLOOKUP(Tabela8[[#This Row],[ID]],Tabela7[],2,0),"")</f>
        <v/>
      </c>
      <c r="D225" s="128" t="e">
        <f>VLOOKUP(Tabela8[[#This Row],[ID]],Tabela1[],3,0)</f>
        <v>#N/A</v>
      </c>
      <c r="E225" s="127" t="str">
        <f>IFERROR(VLOOKUP(Tabela8[[#This Row],[ID]],Tabela1[],4,0),"")</f>
        <v/>
      </c>
      <c r="F225" s="127" t="str">
        <f>IFERROR(VLOOKUP(Tabela8[[#This Row],[ID]],Tabela1[],5,0),"")</f>
        <v/>
      </c>
      <c r="G225" s="127" t="str">
        <f>IFERROR(VLOOKUP(Tabela8[[#This Row],[ID]],Tabela1[],6,0),"")</f>
        <v/>
      </c>
      <c r="H225" s="127" t="str">
        <f>IFERROR(VLOOKUP(Tabela8[[#This Row],[ID]],Tabela1[],7,0),"")</f>
        <v/>
      </c>
      <c r="I225" s="126"/>
      <c r="J225" s="126"/>
      <c r="K225" s="129" t="str">
        <f>IFERROR(VLOOKUP(Tabela8[[#This Row],[ID]],Tabela7[],11,0),"")</f>
        <v/>
      </c>
      <c r="L225" s="130" t="e">
        <f>Tabela8[[#This Row],[Latas a Pagar]]*Tabela9[VALOR LATA]</f>
        <v>#VALUE!</v>
      </c>
    </row>
    <row r="226" spans="2:12" hidden="1" x14ac:dyDescent="0.3">
      <c r="B226" s="127">
        <f>VALUE('CONTROLE DE PRODUÇÃO'!B200)</f>
        <v>0</v>
      </c>
      <c r="C226" s="128" t="str">
        <f>IFERROR(VLOOKUP(Tabela8[[#This Row],[ID]],Tabela7[],2,0),"")</f>
        <v/>
      </c>
      <c r="D226" s="128" t="e">
        <f>VLOOKUP(Tabela8[[#This Row],[ID]],Tabela1[],3,0)</f>
        <v>#N/A</v>
      </c>
      <c r="E226" s="127" t="str">
        <f>IFERROR(VLOOKUP(Tabela8[[#This Row],[ID]],Tabela1[],4,0),"")</f>
        <v/>
      </c>
      <c r="F226" s="127" t="str">
        <f>IFERROR(VLOOKUP(Tabela8[[#This Row],[ID]],Tabela1[],5,0),"")</f>
        <v/>
      </c>
      <c r="G226" s="127" t="str">
        <f>IFERROR(VLOOKUP(Tabela8[[#This Row],[ID]],Tabela1[],6,0),"")</f>
        <v/>
      </c>
      <c r="H226" s="127" t="str">
        <f>IFERROR(VLOOKUP(Tabela8[[#This Row],[ID]],Tabela1[],7,0),"")</f>
        <v/>
      </c>
      <c r="I226" s="126"/>
      <c r="J226" s="126"/>
      <c r="K226" s="129" t="str">
        <f>IFERROR(VLOOKUP(Tabela8[[#This Row],[ID]],Tabela7[],11,0),"")</f>
        <v/>
      </c>
      <c r="L226" s="130" t="e">
        <f>Tabela8[[#This Row],[Latas a Pagar]]*Tabela9[VALOR LATA]</f>
        <v>#VALUE!</v>
      </c>
    </row>
    <row r="227" spans="2:12" hidden="1" x14ac:dyDescent="0.3">
      <c r="B227" s="127">
        <f>VALUE('CONTROLE DE PRODUÇÃO'!B201)</f>
        <v>0</v>
      </c>
      <c r="C227" s="128" t="str">
        <f>IFERROR(VLOOKUP(Tabela8[[#This Row],[ID]],Tabela7[],2,0),"")</f>
        <v/>
      </c>
      <c r="D227" s="128" t="e">
        <f>VLOOKUP(Tabela8[[#This Row],[ID]],Tabela1[],3,0)</f>
        <v>#N/A</v>
      </c>
      <c r="E227" s="127" t="str">
        <f>IFERROR(VLOOKUP(Tabela8[[#This Row],[ID]],Tabela1[],4,0),"")</f>
        <v/>
      </c>
      <c r="F227" s="127" t="str">
        <f>IFERROR(VLOOKUP(Tabela8[[#This Row],[ID]],Tabela1[],5,0),"")</f>
        <v/>
      </c>
      <c r="G227" s="127" t="str">
        <f>IFERROR(VLOOKUP(Tabela8[[#This Row],[ID]],Tabela1[],6,0),"")</f>
        <v/>
      </c>
      <c r="H227" s="127" t="str">
        <f>IFERROR(VLOOKUP(Tabela8[[#This Row],[ID]],Tabela1[],7,0),"")</f>
        <v/>
      </c>
      <c r="I227" s="126"/>
      <c r="J227" s="126"/>
      <c r="K227" s="129" t="str">
        <f>IFERROR(VLOOKUP(Tabela8[[#This Row],[ID]],Tabela7[],11,0),"")</f>
        <v/>
      </c>
      <c r="L227" s="130" t="e">
        <f>Tabela8[[#This Row],[Latas a Pagar]]*Tabela9[VALOR LATA]</f>
        <v>#VALUE!</v>
      </c>
    </row>
    <row r="228" spans="2:12" hidden="1" x14ac:dyDescent="0.3">
      <c r="B228" s="127">
        <f>VALUE('CONTROLE DE PRODUÇÃO'!B202)</f>
        <v>0</v>
      </c>
      <c r="C228" s="128" t="str">
        <f>IFERROR(VLOOKUP(Tabela8[[#This Row],[ID]],Tabela7[],2,0),"")</f>
        <v/>
      </c>
      <c r="D228" s="128" t="e">
        <f>VLOOKUP(Tabela8[[#This Row],[ID]],Tabela1[],3,0)</f>
        <v>#N/A</v>
      </c>
      <c r="E228" s="127" t="str">
        <f>IFERROR(VLOOKUP(Tabela8[[#This Row],[ID]],Tabela1[],4,0),"")</f>
        <v/>
      </c>
      <c r="F228" s="127" t="str">
        <f>IFERROR(VLOOKUP(Tabela8[[#This Row],[ID]],Tabela1[],5,0),"")</f>
        <v/>
      </c>
      <c r="G228" s="127" t="str">
        <f>IFERROR(VLOOKUP(Tabela8[[#This Row],[ID]],Tabela1[],6,0),"")</f>
        <v/>
      </c>
      <c r="H228" s="127" t="str">
        <f>IFERROR(VLOOKUP(Tabela8[[#This Row],[ID]],Tabela1[],7,0),"")</f>
        <v/>
      </c>
      <c r="I228" s="126"/>
      <c r="J228" s="126"/>
      <c r="K228" s="129" t="str">
        <f>IFERROR(VLOOKUP(Tabela8[[#This Row],[ID]],Tabela7[],11,0),"")</f>
        <v/>
      </c>
      <c r="L228" s="130" t="e">
        <f>Tabela8[[#This Row],[Latas a Pagar]]*Tabela9[VALOR LATA]</f>
        <v>#VALUE!</v>
      </c>
    </row>
    <row r="229" spans="2:12" hidden="1" x14ac:dyDescent="0.3">
      <c r="B229" s="127">
        <f>VALUE('CONTROLE DE PRODUÇÃO'!B203)</f>
        <v>0</v>
      </c>
      <c r="C229" s="128" t="str">
        <f>IFERROR(VLOOKUP(Tabela8[[#This Row],[ID]],Tabela7[],2,0),"")</f>
        <v/>
      </c>
      <c r="D229" s="128" t="e">
        <f>VLOOKUP(Tabela8[[#This Row],[ID]],Tabela1[],3,0)</f>
        <v>#N/A</v>
      </c>
      <c r="E229" s="127" t="str">
        <f>IFERROR(VLOOKUP(Tabela8[[#This Row],[ID]],Tabela1[],4,0),"")</f>
        <v/>
      </c>
      <c r="F229" s="127" t="str">
        <f>IFERROR(VLOOKUP(Tabela8[[#This Row],[ID]],Tabela1[],5,0),"")</f>
        <v/>
      </c>
      <c r="G229" s="127" t="str">
        <f>IFERROR(VLOOKUP(Tabela8[[#This Row],[ID]],Tabela1[],6,0),"")</f>
        <v/>
      </c>
      <c r="H229" s="127" t="str">
        <f>IFERROR(VLOOKUP(Tabela8[[#This Row],[ID]],Tabela1[],7,0),"")</f>
        <v/>
      </c>
      <c r="I229" s="126"/>
      <c r="J229" s="126"/>
      <c r="K229" s="129" t="str">
        <f>IFERROR(VLOOKUP(Tabela8[[#This Row],[ID]],Tabela7[],11,0),"")</f>
        <v/>
      </c>
      <c r="L229" s="130" t="e">
        <f>Tabela8[[#This Row],[Latas a Pagar]]*Tabela9[VALOR LATA]</f>
        <v>#VALUE!</v>
      </c>
    </row>
    <row r="230" spans="2:12" hidden="1" x14ac:dyDescent="0.3">
      <c r="B230" s="127">
        <f>VALUE('CONTROLE DE PRODUÇÃO'!B204)</f>
        <v>0</v>
      </c>
      <c r="C230" s="128" t="str">
        <f>IFERROR(VLOOKUP(Tabela8[[#This Row],[ID]],Tabela7[],2,0),"")</f>
        <v/>
      </c>
      <c r="D230" s="128" t="e">
        <f>VLOOKUP(Tabela8[[#This Row],[ID]],Tabela1[],3,0)</f>
        <v>#N/A</v>
      </c>
      <c r="E230" s="127" t="str">
        <f>IFERROR(VLOOKUP(Tabela8[[#This Row],[ID]],Tabela1[],4,0),"")</f>
        <v/>
      </c>
      <c r="F230" s="127" t="str">
        <f>IFERROR(VLOOKUP(Tabela8[[#This Row],[ID]],Tabela1[],5,0),"")</f>
        <v/>
      </c>
      <c r="G230" s="127" t="str">
        <f>IFERROR(VLOOKUP(Tabela8[[#This Row],[ID]],Tabela1[],6,0),"")</f>
        <v/>
      </c>
      <c r="H230" s="127" t="str">
        <f>IFERROR(VLOOKUP(Tabela8[[#This Row],[ID]],Tabela1[],7,0),"")</f>
        <v/>
      </c>
      <c r="I230" s="126"/>
      <c r="J230" s="126"/>
      <c r="K230" s="129" t="str">
        <f>IFERROR(VLOOKUP(Tabela8[[#This Row],[ID]],Tabela7[],11,0),"")</f>
        <v/>
      </c>
      <c r="L230" s="130" t="e">
        <f>Tabela8[[#This Row],[Latas a Pagar]]*Tabela9[VALOR LATA]</f>
        <v>#VALUE!</v>
      </c>
    </row>
    <row r="231" spans="2:12" hidden="1" x14ac:dyDescent="0.3">
      <c r="B231" s="127">
        <f>VALUE('CONTROLE DE PRODUÇÃO'!B205)</f>
        <v>0</v>
      </c>
      <c r="C231" s="128" t="str">
        <f>IFERROR(VLOOKUP(Tabela8[[#This Row],[ID]],Tabela7[],2,0),"")</f>
        <v/>
      </c>
      <c r="D231" s="128" t="e">
        <f>VLOOKUP(Tabela8[[#This Row],[ID]],Tabela1[],3,0)</f>
        <v>#N/A</v>
      </c>
      <c r="E231" s="127" t="str">
        <f>IFERROR(VLOOKUP(Tabela8[[#This Row],[ID]],Tabela1[],4,0),"")</f>
        <v/>
      </c>
      <c r="F231" s="127" t="str">
        <f>IFERROR(VLOOKUP(Tabela8[[#This Row],[ID]],Tabela1[],5,0),"")</f>
        <v/>
      </c>
      <c r="G231" s="127" t="str">
        <f>IFERROR(VLOOKUP(Tabela8[[#This Row],[ID]],Tabela1[],6,0),"")</f>
        <v/>
      </c>
      <c r="H231" s="127" t="str">
        <f>IFERROR(VLOOKUP(Tabela8[[#This Row],[ID]],Tabela1[],7,0),"")</f>
        <v/>
      </c>
      <c r="I231" s="126"/>
      <c r="J231" s="126"/>
      <c r="K231" s="129" t="str">
        <f>IFERROR(VLOOKUP(Tabela8[[#This Row],[ID]],Tabela7[],11,0),"")</f>
        <v/>
      </c>
      <c r="L231" s="130" t="e">
        <f>Tabela8[[#This Row],[Latas a Pagar]]*Tabela9[VALOR LATA]</f>
        <v>#VALUE!</v>
      </c>
    </row>
    <row r="232" spans="2:12" hidden="1" x14ac:dyDescent="0.3">
      <c r="B232" s="127">
        <f>VALUE('CONTROLE DE PRODUÇÃO'!B206)</f>
        <v>0</v>
      </c>
      <c r="C232" s="128" t="str">
        <f>IFERROR(VLOOKUP(Tabela8[[#This Row],[ID]],Tabela7[],2,0),"")</f>
        <v/>
      </c>
      <c r="D232" s="128" t="e">
        <f>VLOOKUP(Tabela8[[#This Row],[ID]],Tabela1[],3,0)</f>
        <v>#N/A</v>
      </c>
      <c r="E232" s="127" t="str">
        <f>IFERROR(VLOOKUP(Tabela8[[#This Row],[ID]],Tabela1[],4,0),"")</f>
        <v/>
      </c>
      <c r="F232" s="127" t="str">
        <f>IFERROR(VLOOKUP(Tabela8[[#This Row],[ID]],Tabela1[],5,0),"")</f>
        <v/>
      </c>
      <c r="G232" s="127" t="str">
        <f>IFERROR(VLOOKUP(Tabela8[[#This Row],[ID]],Tabela1[],6,0),"")</f>
        <v/>
      </c>
      <c r="H232" s="127" t="str">
        <f>IFERROR(VLOOKUP(Tabela8[[#This Row],[ID]],Tabela1[],7,0),"")</f>
        <v/>
      </c>
      <c r="I232" s="126"/>
      <c r="J232" s="126"/>
      <c r="K232" s="129" t="str">
        <f>IFERROR(VLOOKUP(Tabela8[[#This Row],[ID]],Tabela7[],11,0),"")</f>
        <v/>
      </c>
      <c r="L232" s="130" t="e">
        <f>Tabela8[[#This Row],[Latas a Pagar]]*Tabela9[VALOR LATA]</f>
        <v>#VALUE!</v>
      </c>
    </row>
    <row r="233" spans="2:12" hidden="1" x14ac:dyDescent="0.3">
      <c r="B233" s="127">
        <f>VALUE('CONTROLE DE PRODUÇÃO'!B207)</f>
        <v>0</v>
      </c>
      <c r="C233" s="128" t="str">
        <f>IFERROR(VLOOKUP(Tabela8[[#This Row],[ID]],Tabela7[],2,0),"")</f>
        <v/>
      </c>
      <c r="D233" s="128" t="e">
        <f>VLOOKUP(Tabela8[[#This Row],[ID]],Tabela1[],3,0)</f>
        <v>#N/A</v>
      </c>
      <c r="E233" s="127" t="str">
        <f>IFERROR(VLOOKUP(Tabela8[[#This Row],[ID]],Tabela1[],4,0),"")</f>
        <v/>
      </c>
      <c r="F233" s="127" t="str">
        <f>IFERROR(VLOOKUP(Tabela8[[#This Row],[ID]],Tabela1[],5,0),"")</f>
        <v/>
      </c>
      <c r="G233" s="127" t="str">
        <f>IFERROR(VLOOKUP(Tabela8[[#This Row],[ID]],Tabela1[],6,0),"")</f>
        <v/>
      </c>
      <c r="H233" s="127" t="str">
        <f>IFERROR(VLOOKUP(Tabela8[[#This Row],[ID]],Tabela1[],7,0),"")</f>
        <v/>
      </c>
      <c r="I233" s="126"/>
      <c r="J233" s="126"/>
      <c r="K233" s="129" t="str">
        <f>IFERROR(VLOOKUP(Tabela8[[#This Row],[ID]],Tabela7[],11,0),"")</f>
        <v/>
      </c>
      <c r="L233" s="130" t="e">
        <f>Tabela8[[#This Row],[Latas a Pagar]]*Tabela9[VALOR LATA]</f>
        <v>#VALUE!</v>
      </c>
    </row>
    <row r="234" spans="2:12" hidden="1" x14ac:dyDescent="0.3">
      <c r="B234" s="127">
        <f>VALUE('CONTROLE DE PRODUÇÃO'!B208)</f>
        <v>0</v>
      </c>
      <c r="C234" s="128" t="str">
        <f>IFERROR(VLOOKUP(Tabela8[[#This Row],[ID]],Tabela7[],2,0),"")</f>
        <v/>
      </c>
      <c r="D234" s="128" t="e">
        <f>VLOOKUP(Tabela8[[#This Row],[ID]],Tabela1[],3,0)</f>
        <v>#N/A</v>
      </c>
      <c r="E234" s="127" t="str">
        <f>IFERROR(VLOOKUP(Tabela8[[#This Row],[ID]],Tabela1[],4,0),"")</f>
        <v/>
      </c>
      <c r="F234" s="127" t="str">
        <f>IFERROR(VLOOKUP(Tabela8[[#This Row],[ID]],Tabela1[],5,0),"")</f>
        <v/>
      </c>
      <c r="G234" s="127" t="str">
        <f>IFERROR(VLOOKUP(Tabela8[[#This Row],[ID]],Tabela1[],6,0),"")</f>
        <v/>
      </c>
      <c r="H234" s="127" t="str">
        <f>IFERROR(VLOOKUP(Tabela8[[#This Row],[ID]],Tabela1[],7,0),"")</f>
        <v/>
      </c>
      <c r="I234" s="126"/>
      <c r="J234" s="126"/>
      <c r="K234" s="129" t="str">
        <f>IFERROR(VLOOKUP(Tabela8[[#This Row],[ID]],Tabela7[],11,0),"")</f>
        <v/>
      </c>
      <c r="L234" s="130" t="e">
        <f>Tabela8[[#This Row],[Latas a Pagar]]*Tabela9[VALOR LATA]</f>
        <v>#VALUE!</v>
      </c>
    </row>
    <row r="235" spans="2:12" hidden="1" x14ac:dyDescent="0.3">
      <c r="B235" s="127">
        <f>VALUE('CONTROLE DE PRODUÇÃO'!B209)</f>
        <v>0</v>
      </c>
      <c r="C235" s="128" t="str">
        <f>IFERROR(VLOOKUP(Tabela8[[#This Row],[ID]],Tabela7[],2,0),"")</f>
        <v/>
      </c>
      <c r="D235" s="128" t="e">
        <f>VLOOKUP(Tabela8[[#This Row],[ID]],Tabela1[],3,0)</f>
        <v>#N/A</v>
      </c>
      <c r="E235" s="127" t="str">
        <f>IFERROR(VLOOKUP(Tabela8[[#This Row],[ID]],Tabela1[],4,0),"")</f>
        <v/>
      </c>
      <c r="F235" s="127" t="str">
        <f>IFERROR(VLOOKUP(Tabela8[[#This Row],[ID]],Tabela1[],5,0),"")</f>
        <v/>
      </c>
      <c r="G235" s="127" t="str">
        <f>IFERROR(VLOOKUP(Tabela8[[#This Row],[ID]],Tabela1[],6,0),"")</f>
        <v/>
      </c>
      <c r="H235" s="127" t="str">
        <f>IFERROR(VLOOKUP(Tabela8[[#This Row],[ID]],Tabela1[],7,0),"")</f>
        <v/>
      </c>
      <c r="I235" s="126"/>
      <c r="J235" s="126"/>
      <c r="K235" s="129" t="str">
        <f>IFERROR(VLOOKUP(Tabela8[[#This Row],[ID]],Tabela7[],11,0),"")</f>
        <v/>
      </c>
      <c r="L235" s="130" t="e">
        <f>Tabela8[[#This Row],[Latas a Pagar]]*Tabela9[VALOR LATA]</f>
        <v>#VALUE!</v>
      </c>
    </row>
    <row r="236" spans="2:12" hidden="1" x14ac:dyDescent="0.3">
      <c r="B236" s="127">
        <f>VALUE('CONTROLE DE PRODUÇÃO'!B210)</f>
        <v>0</v>
      </c>
      <c r="C236" s="128" t="str">
        <f>IFERROR(VLOOKUP(Tabela8[[#This Row],[ID]],Tabela7[],2,0),"")</f>
        <v/>
      </c>
      <c r="D236" s="128" t="e">
        <f>VLOOKUP(Tabela8[[#This Row],[ID]],Tabela1[],3,0)</f>
        <v>#N/A</v>
      </c>
      <c r="E236" s="127" t="str">
        <f>IFERROR(VLOOKUP(Tabela8[[#This Row],[ID]],Tabela1[],4,0),"")</f>
        <v/>
      </c>
      <c r="F236" s="127" t="str">
        <f>IFERROR(VLOOKUP(Tabela8[[#This Row],[ID]],Tabela1[],5,0),"")</f>
        <v/>
      </c>
      <c r="G236" s="127" t="str">
        <f>IFERROR(VLOOKUP(Tabela8[[#This Row],[ID]],Tabela1[],6,0),"")</f>
        <v/>
      </c>
      <c r="H236" s="127" t="str">
        <f>IFERROR(VLOOKUP(Tabela8[[#This Row],[ID]],Tabela1[],7,0),"")</f>
        <v/>
      </c>
      <c r="I236" s="126"/>
      <c r="J236" s="126"/>
      <c r="K236" s="129" t="str">
        <f>IFERROR(VLOOKUP(Tabela8[[#This Row],[ID]],Tabela7[],11,0),"")</f>
        <v/>
      </c>
      <c r="L236" s="130" t="e">
        <f>Tabela8[[#This Row],[Latas a Pagar]]*Tabela9[VALOR LATA]</f>
        <v>#VALUE!</v>
      </c>
    </row>
    <row r="237" spans="2:12" hidden="1" x14ac:dyDescent="0.3">
      <c r="B237" s="127">
        <f>VALUE('CONTROLE DE PRODUÇÃO'!B211)</f>
        <v>0</v>
      </c>
      <c r="C237" s="128" t="str">
        <f>IFERROR(VLOOKUP(Tabela8[[#This Row],[ID]],Tabela7[],2,0),"")</f>
        <v/>
      </c>
      <c r="D237" s="128" t="e">
        <f>VLOOKUP(Tabela8[[#This Row],[ID]],Tabela1[],3,0)</f>
        <v>#N/A</v>
      </c>
      <c r="E237" s="127" t="str">
        <f>IFERROR(VLOOKUP(Tabela8[[#This Row],[ID]],Tabela1[],4,0),"")</f>
        <v/>
      </c>
      <c r="F237" s="127" t="str">
        <f>IFERROR(VLOOKUP(Tabela8[[#This Row],[ID]],Tabela1[],5,0),"")</f>
        <v/>
      </c>
      <c r="G237" s="127" t="str">
        <f>IFERROR(VLOOKUP(Tabela8[[#This Row],[ID]],Tabela1[],6,0),"")</f>
        <v/>
      </c>
      <c r="H237" s="127" t="str">
        <f>IFERROR(VLOOKUP(Tabela8[[#This Row],[ID]],Tabela1[],7,0),"")</f>
        <v/>
      </c>
      <c r="I237" s="126"/>
      <c r="J237" s="126"/>
      <c r="K237" s="129" t="str">
        <f>IFERROR(VLOOKUP(Tabela8[[#This Row],[ID]],Tabela7[],11,0),"")</f>
        <v/>
      </c>
      <c r="L237" s="130" t="e">
        <f>Tabela8[[#This Row],[Latas a Pagar]]*Tabela9[VALOR LATA]</f>
        <v>#VALUE!</v>
      </c>
    </row>
    <row r="238" spans="2:12" hidden="1" x14ac:dyDescent="0.3">
      <c r="B238" s="127">
        <f>VALUE('CONTROLE DE PRODUÇÃO'!B212)</f>
        <v>0</v>
      </c>
      <c r="C238" s="128" t="str">
        <f>IFERROR(VLOOKUP(Tabela8[[#This Row],[ID]],Tabela7[],2,0),"")</f>
        <v/>
      </c>
      <c r="D238" s="128" t="e">
        <f>VLOOKUP(Tabela8[[#This Row],[ID]],Tabela1[],3,0)</f>
        <v>#N/A</v>
      </c>
      <c r="E238" s="127" t="str">
        <f>IFERROR(VLOOKUP(Tabela8[[#This Row],[ID]],Tabela1[],4,0),"")</f>
        <v/>
      </c>
      <c r="F238" s="127" t="str">
        <f>IFERROR(VLOOKUP(Tabela8[[#This Row],[ID]],Tabela1[],5,0),"")</f>
        <v/>
      </c>
      <c r="G238" s="127" t="str">
        <f>IFERROR(VLOOKUP(Tabela8[[#This Row],[ID]],Tabela1[],6,0),"")</f>
        <v/>
      </c>
      <c r="H238" s="127" t="str">
        <f>IFERROR(VLOOKUP(Tabela8[[#This Row],[ID]],Tabela1[],7,0),"")</f>
        <v/>
      </c>
      <c r="I238" s="126"/>
      <c r="J238" s="126"/>
      <c r="K238" s="129" t="str">
        <f>IFERROR(VLOOKUP(Tabela8[[#This Row],[ID]],Tabela7[],11,0),"")</f>
        <v/>
      </c>
      <c r="L238" s="130" t="e">
        <f>Tabela8[[#This Row],[Latas a Pagar]]*Tabela9[VALOR LATA]</f>
        <v>#VALUE!</v>
      </c>
    </row>
    <row r="239" spans="2:12" hidden="1" x14ac:dyDescent="0.3">
      <c r="B239" s="127">
        <f>VALUE('CONTROLE DE PRODUÇÃO'!B213)</f>
        <v>0</v>
      </c>
      <c r="C239" s="128" t="str">
        <f>IFERROR(VLOOKUP(Tabela8[[#This Row],[ID]],Tabela7[],2,0),"")</f>
        <v/>
      </c>
      <c r="D239" s="128" t="e">
        <f>VLOOKUP(Tabela8[[#This Row],[ID]],Tabela1[],3,0)</f>
        <v>#N/A</v>
      </c>
      <c r="E239" s="127" t="str">
        <f>IFERROR(VLOOKUP(Tabela8[[#This Row],[ID]],Tabela1[],4,0),"")</f>
        <v/>
      </c>
      <c r="F239" s="127" t="str">
        <f>IFERROR(VLOOKUP(Tabela8[[#This Row],[ID]],Tabela1[],5,0),"")</f>
        <v/>
      </c>
      <c r="G239" s="127" t="str">
        <f>IFERROR(VLOOKUP(Tabela8[[#This Row],[ID]],Tabela1[],6,0),"")</f>
        <v/>
      </c>
      <c r="H239" s="127" t="str">
        <f>IFERROR(VLOOKUP(Tabela8[[#This Row],[ID]],Tabela1[],7,0),"")</f>
        <v/>
      </c>
      <c r="I239" s="126"/>
      <c r="J239" s="126"/>
      <c r="K239" s="129" t="str">
        <f>IFERROR(VLOOKUP(Tabela8[[#This Row],[ID]],Tabela7[],11,0),"")</f>
        <v/>
      </c>
      <c r="L239" s="130" t="e">
        <f>Tabela8[[#This Row],[Latas a Pagar]]*Tabela9[VALOR LATA]</f>
        <v>#VALUE!</v>
      </c>
    </row>
    <row r="240" spans="2:12" hidden="1" x14ac:dyDescent="0.3">
      <c r="B240" s="127">
        <f>VALUE('CONTROLE DE PRODUÇÃO'!B214)</f>
        <v>0</v>
      </c>
      <c r="C240" s="128" t="str">
        <f>IFERROR(VLOOKUP(Tabela8[[#This Row],[ID]],Tabela7[],2,0),"")</f>
        <v/>
      </c>
      <c r="D240" s="128" t="e">
        <f>VLOOKUP(Tabela8[[#This Row],[ID]],Tabela1[],3,0)</f>
        <v>#N/A</v>
      </c>
      <c r="E240" s="127" t="str">
        <f>IFERROR(VLOOKUP(Tabela8[[#This Row],[ID]],Tabela1[],4,0),"")</f>
        <v/>
      </c>
      <c r="F240" s="127" t="str">
        <f>IFERROR(VLOOKUP(Tabela8[[#This Row],[ID]],Tabela1[],5,0),"")</f>
        <v/>
      </c>
      <c r="G240" s="127" t="str">
        <f>IFERROR(VLOOKUP(Tabela8[[#This Row],[ID]],Tabela1[],6,0),"")</f>
        <v/>
      </c>
      <c r="H240" s="127" t="str">
        <f>IFERROR(VLOOKUP(Tabela8[[#This Row],[ID]],Tabela1[],7,0),"")</f>
        <v/>
      </c>
      <c r="I240" s="126"/>
      <c r="J240" s="126"/>
      <c r="K240" s="129" t="str">
        <f>IFERROR(VLOOKUP(Tabela8[[#This Row],[ID]],Tabela7[],11,0),"")</f>
        <v/>
      </c>
      <c r="L240" s="130" t="e">
        <f>Tabela8[[#This Row],[Latas a Pagar]]*Tabela9[VALOR LATA]</f>
        <v>#VALUE!</v>
      </c>
    </row>
    <row r="241" spans="2:12" hidden="1" x14ac:dyDescent="0.3">
      <c r="B241" s="127">
        <f>VALUE('CONTROLE DE PRODUÇÃO'!B215)</f>
        <v>0</v>
      </c>
      <c r="C241" s="128" t="str">
        <f>IFERROR(VLOOKUP(Tabela8[[#This Row],[ID]],Tabela7[],2,0),"")</f>
        <v/>
      </c>
      <c r="D241" s="128" t="e">
        <f>VLOOKUP(Tabela8[[#This Row],[ID]],Tabela1[],3,0)</f>
        <v>#N/A</v>
      </c>
      <c r="E241" s="127" t="str">
        <f>IFERROR(VLOOKUP(Tabela8[[#This Row],[ID]],Tabela1[],4,0),"")</f>
        <v/>
      </c>
      <c r="F241" s="127" t="str">
        <f>IFERROR(VLOOKUP(Tabela8[[#This Row],[ID]],Tabela1[],5,0),"")</f>
        <v/>
      </c>
      <c r="G241" s="127" t="str">
        <f>IFERROR(VLOOKUP(Tabela8[[#This Row],[ID]],Tabela1[],6,0),"")</f>
        <v/>
      </c>
      <c r="H241" s="127" t="str">
        <f>IFERROR(VLOOKUP(Tabela8[[#This Row],[ID]],Tabela1[],7,0),"")</f>
        <v/>
      </c>
      <c r="I241" s="126"/>
      <c r="J241" s="126"/>
      <c r="K241" s="129" t="str">
        <f>IFERROR(VLOOKUP(Tabela8[[#This Row],[ID]],Tabela7[],11,0),"")</f>
        <v/>
      </c>
      <c r="L241" s="130" t="e">
        <f>Tabela8[[#This Row],[Latas a Pagar]]*Tabela9[VALOR LATA]</f>
        <v>#VALUE!</v>
      </c>
    </row>
    <row r="242" spans="2:12" hidden="1" x14ac:dyDescent="0.3">
      <c r="B242" s="127">
        <f>VALUE('CONTROLE DE PRODUÇÃO'!B216)</f>
        <v>0</v>
      </c>
      <c r="C242" s="128" t="str">
        <f>IFERROR(VLOOKUP(Tabela8[[#This Row],[ID]],Tabela7[],2,0),"")</f>
        <v/>
      </c>
      <c r="D242" s="128" t="e">
        <f>VLOOKUP(Tabela8[[#This Row],[ID]],Tabela1[],3,0)</f>
        <v>#N/A</v>
      </c>
      <c r="E242" s="127" t="str">
        <f>IFERROR(VLOOKUP(Tabela8[[#This Row],[ID]],Tabela1[],4,0),"")</f>
        <v/>
      </c>
      <c r="F242" s="127" t="str">
        <f>IFERROR(VLOOKUP(Tabela8[[#This Row],[ID]],Tabela1[],5,0),"")</f>
        <v/>
      </c>
      <c r="G242" s="127" t="str">
        <f>IFERROR(VLOOKUP(Tabela8[[#This Row],[ID]],Tabela1[],6,0),"")</f>
        <v/>
      </c>
      <c r="H242" s="127" t="str">
        <f>IFERROR(VLOOKUP(Tabela8[[#This Row],[ID]],Tabela1[],7,0),"")</f>
        <v/>
      </c>
      <c r="I242" s="126"/>
      <c r="J242" s="126"/>
      <c r="K242" s="129" t="str">
        <f>IFERROR(VLOOKUP(Tabela8[[#This Row],[ID]],Tabela7[],11,0),"")</f>
        <v/>
      </c>
      <c r="L242" s="130" t="e">
        <f>Tabela8[[#This Row],[Latas a Pagar]]*Tabela9[VALOR LATA]</f>
        <v>#VALUE!</v>
      </c>
    </row>
    <row r="243" spans="2:12" hidden="1" x14ac:dyDescent="0.3">
      <c r="B243" s="127">
        <f>VALUE('CONTROLE DE PRODUÇÃO'!B217)</f>
        <v>0</v>
      </c>
      <c r="C243" s="128" t="str">
        <f>IFERROR(VLOOKUP(Tabela8[[#This Row],[ID]],Tabela7[],2,0),"")</f>
        <v/>
      </c>
      <c r="D243" s="128" t="e">
        <f>VLOOKUP(Tabela8[[#This Row],[ID]],Tabela1[],3,0)</f>
        <v>#N/A</v>
      </c>
      <c r="E243" s="127" t="str">
        <f>IFERROR(VLOOKUP(Tabela8[[#This Row],[ID]],Tabela1[],4,0),"")</f>
        <v/>
      </c>
      <c r="F243" s="127" t="str">
        <f>IFERROR(VLOOKUP(Tabela8[[#This Row],[ID]],Tabela1[],5,0),"")</f>
        <v/>
      </c>
      <c r="G243" s="127" t="str">
        <f>IFERROR(VLOOKUP(Tabela8[[#This Row],[ID]],Tabela1[],6,0),"")</f>
        <v/>
      </c>
      <c r="H243" s="127" t="str">
        <f>IFERROR(VLOOKUP(Tabela8[[#This Row],[ID]],Tabela1[],7,0),"")</f>
        <v/>
      </c>
      <c r="I243" s="126"/>
      <c r="J243" s="126"/>
      <c r="K243" s="129" t="str">
        <f>IFERROR(VLOOKUP(Tabela8[[#This Row],[ID]],Tabela7[],11,0),"")</f>
        <v/>
      </c>
      <c r="L243" s="130" t="e">
        <f>Tabela8[[#This Row],[Latas a Pagar]]*Tabela9[VALOR LATA]</f>
        <v>#VALUE!</v>
      </c>
    </row>
    <row r="244" spans="2:12" hidden="1" x14ac:dyDescent="0.3">
      <c r="B244" s="127">
        <f>VALUE('CONTROLE DE PRODUÇÃO'!B218)</f>
        <v>0</v>
      </c>
      <c r="C244" s="128" t="str">
        <f>IFERROR(VLOOKUP(Tabela8[[#This Row],[ID]],Tabela7[],2,0),"")</f>
        <v/>
      </c>
      <c r="D244" s="128" t="e">
        <f>VLOOKUP(Tabela8[[#This Row],[ID]],Tabela1[],3,0)</f>
        <v>#N/A</v>
      </c>
      <c r="E244" s="127" t="str">
        <f>IFERROR(VLOOKUP(Tabela8[[#This Row],[ID]],Tabela1[],4,0),"")</f>
        <v/>
      </c>
      <c r="F244" s="127" t="str">
        <f>IFERROR(VLOOKUP(Tabela8[[#This Row],[ID]],Tabela1[],5,0),"")</f>
        <v/>
      </c>
      <c r="G244" s="127" t="str">
        <f>IFERROR(VLOOKUP(Tabela8[[#This Row],[ID]],Tabela1[],6,0),"")</f>
        <v/>
      </c>
      <c r="H244" s="127" t="str">
        <f>IFERROR(VLOOKUP(Tabela8[[#This Row],[ID]],Tabela1[],7,0),"")</f>
        <v/>
      </c>
      <c r="I244" s="126"/>
      <c r="J244" s="126"/>
      <c r="K244" s="129" t="str">
        <f>IFERROR(VLOOKUP(Tabela8[[#This Row],[ID]],Tabela7[],11,0),"")</f>
        <v/>
      </c>
      <c r="L244" s="130" t="e">
        <f>Tabela8[[#This Row],[Latas a Pagar]]*Tabela9[VALOR LATA]</f>
        <v>#VALUE!</v>
      </c>
    </row>
    <row r="245" spans="2:12" hidden="1" x14ac:dyDescent="0.3">
      <c r="B245" s="127">
        <f>VALUE('CONTROLE DE PRODUÇÃO'!B219)</f>
        <v>0</v>
      </c>
      <c r="C245" s="128" t="str">
        <f>IFERROR(VLOOKUP(Tabela8[[#This Row],[ID]],Tabela7[],2,0),"")</f>
        <v/>
      </c>
      <c r="D245" s="128" t="e">
        <f>VLOOKUP(Tabela8[[#This Row],[ID]],Tabela1[],3,0)</f>
        <v>#N/A</v>
      </c>
      <c r="E245" s="127" t="str">
        <f>IFERROR(VLOOKUP(Tabela8[[#This Row],[ID]],Tabela1[],4,0),"")</f>
        <v/>
      </c>
      <c r="F245" s="127" t="str">
        <f>IFERROR(VLOOKUP(Tabela8[[#This Row],[ID]],Tabela1[],5,0),"")</f>
        <v/>
      </c>
      <c r="G245" s="127" t="str">
        <f>IFERROR(VLOOKUP(Tabela8[[#This Row],[ID]],Tabela1[],6,0),"")</f>
        <v/>
      </c>
      <c r="H245" s="127" t="str">
        <f>IFERROR(VLOOKUP(Tabela8[[#This Row],[ID]],Tabela1[],7,0),"")</f>
        <v/>
      </c>
      <c r="I245" s="126"/>
      <c r="J245" s="126"/>
      <c r="K245" s="129" t="str">
        <f>IFERROR(VLOOKUP(Tabela8[[#This Row],[ID]],Tabela7[],11,0),"")</f>
        <v/>
      </c>
      <c r="L245" s="130" t="e">
        <f>Tabela8[[#This Row],[Latas a Pagar]]*Tabela9[VALOR LATA]</f>
        <v>#VALUE!</v>
      </c>
    </row>
    <row r="246" spans="2:12" hidden="1" x14ac:dyDescent="0.3">
      <c r="B246" s="127">
        <f>VALUE('CONTROLE DE PRODUÇÃO'!B220)</f>
        <v>0</v>
      </c>
      <c r="C246" s="128" t="str">
        <f>IFERROR(VLOOKUP(Tabela8[[#This Row],[ID]],Tabela7[],2,0),"")</f>
        <v/>
      </c>
      <c r="D246" s="128" t="e">
        <f>VLOOKUP(Tabela8[[#This Row],[ID]],Tabela1[],3,0)</f>
        <v>#N/A</v>
      </c>
      <c r="E246" s="127" t="str">
        <f>IFERROR(VLOOKUP(Tabela8[[#This Row],[ID]],Tabela1[],4,0),"")</f>
        <v/>
      </c>
      <c r="F246" s="127" t="str">
        <f>IFERROR(VLOOKUP(Tabela8[[#This Row],[ID]],Tabela1[],5,0),"")</f>
        <v/>
      </c>
      <c r="G246" s="127" t="str">
        <f>IFERROR(VLOOKUP(Tabela8[[#This Row],[ID]],Tabela1[],6,0),"")</f>
        <v/>
      </c>
      <c r="H246" s="127" t="str">
        <f>IFERROR(VLOOKUP(Tabela8[[#This Row],[ID]],Tabela1[],7,0),"")</f>
        <v/>
      </c>
      <c r="I246" s="126"/>
      <c r="J246" s="126"/>
      <c r="K246" s="129" t="str">
        <f>IFERROR(VLOOKUP(Tabela8[[#This Row],[ID]],Tabela7[],11,0),"")</f>
        <v/>
      </c>
      <c r="L246" s="130" t="e">
        <f>Tabela8[[#This Row],[Latas a Pagar]]*Tabela9[VALOR LATA]</f>
        <v>#VALUE!</v>
      </c>
    </row>
    <row r="247" spans="2:12" hidden="1" x14ac:dyDescent="0.3">
      <c r="B247" s="127">
        <f>VALUE('CONTROLE DE PRODUÇÃO'!B221)</f>
        <v>0</v>
      </c>
      <c r="C247" s="128" t="str">
        <f>IFERROR(VLOOKUP(Tabela8[[#This Row],[ID]],Tabela7[],2,0),"")</f>
        <v/>
      </c>
      <c r="D247" s="128" t="e">
        <f>VLOOKUP(Tabela8[[#This Row],[ID]],Tabela1[],3,0)</f>
        <v>#N/A</v>
      </c>
      <c r="E247" s="127" t="str">
        <f>IFERROR(VLOOKUP(Tabela8[[#This Row],[ID]],Tabela1[],4,0),"")</f>
        <v/>
      </c>
      <c r="F247" s="127" t="str">
        <f>IFERROR(VLOOKUP(Tabela8[[#This Row],[ID]],Tabela1[],5,0),"")</f>
        <v/>
      </c>
      <c r="G247" s="127" t="str">
        <f>IFERROR(VLOOKUP(Tabela8[[#This Row],[ID]],Tabela1[],6,0),"")</f>
        <v/>
      </c>
      <c r="H247" s="127" t="str">
        <f>IFERROR(VLOOKUP(Tabela8[[#This Row],[ID]],Tabela1[],7,0),"")</f>
        <v/>
      </c>
      <c r="I247" s="126"/>
      <c r="J247" s="126"/>
      <c r="K247" s="129" t="str">
        <f>IFERROR(VLOOKUP(Tabela8[[#This Row],[ID]],Tabela7[],11,0),"")</f>
        <v/>
      </c>
      <c r="L247" s="130" t="e">
        <f>Tabela8[[#This Row],[Latas a Pagar]]*Tabela9[VALOR LATA]</f>
        <v>#VALUE!</v>
      </c>
    </row>
    <row r="248" spans="2:12" hidden="1" x14ac:dyDescent="0.3">
      <c r="B248" s="127">
        <f>VALUE('CONTROLE DE PRODUÇÃO'!B222)</f>
        <v>0</v>
      </c>
      <c r="C248" s="128" t="str">
        <f>IFERROR(VLOOKUP(Tabela8[[#This Row],[ID]],Tabela7[],2,0),"")</f>
        <v/>
      </c>
      <c r="D248" s="128" t="e">
        <f>VLOOKUP(Tabela8[[#This Row],[ID]],Tabela1[],3,0)</f>
        <v>#N/A</v>
      </c>
      <c r="E248" s="127" t="str">
        <f>IFERROR(VLOOKUP(Tabela8[[#This Row],[ID]],Tabela1[],4,0),"")</f>
        <v/>
      </c>
      <c r="F248" s="127" t="str">
        <f>IFERROR(VLOOKUP(Tabela8[[#This Row],[ID]],Tabela1[],5,0),"")</f>
        <v/>
      </c>
      <c r="G248" s="127" t="str">
        <f>IFERROR(VLOOKUP(Tabela8[[#This Row],[ID]],Tabela1[],6,0),"")</f>
        <v/>
      </c>
      <c r="H248" s="127" t="str">
        <f>IFERROR(VLOOKUP(Tabela8[[#This Row],[ID]],Tabela1[],7,0),"")</f>
        <v/>
      </c>
      <c r="I248" s="126"/>
      <c r="J248" s="126"/>
      <c r="K248" s="129" t="str">
        <f>IFERROR(VLOOKUP(Tabela8[[#This Row],[ID]],Tabela7[],11,0),"")</f>
        <v/>
      </c>
      <c r="L248" s="130" t="e">
        <f>Tabela8[[#This Row],[Latas a Pagar]]*Tabela9[VALOR LATA]</f>
        <v>#VALUE!</v>
      </c>
    </row>
    <row r="249" spans="2:12" hidden="1" x14ac:dyDescent="0.3">
      <c r="B249" s="127">
        <f>VALUE('CONTROLE DE PRODUÇÃO'!B223)</f>
        <v>0</v>
      </c>
      <c r="C249" s="128" t="str">
        <f>IFERROR(VLOOKUP(Tabela8[[#This Row],[ID]],Tabela7[],2,0),"")</f>
        <v/>
      </c>
      <c r="D249" s="128" t="e">
        <f>VLOOKUP(Tabela8[[#This Row],[ID]],Tabela1[],3,0)</f>
        <v>#N/A</v>
      </c>
      <c r="E249" s="127" t="str">
        <f>IFERROR(VLOOKUP(Tabela8[[#This Row],[ID]],Tabela1[],4,0),"")</f>
        <v/>
      </c>
      <c r="F249" s="127" t="str">
        <f>IFERROR(VLOOKUP(Tabela8[[#This Row],[ID]],Tabela1[],5,0),"")</f>
        <v/>
      </c>
      <c r="G249" s="127" t="str">
        <f>IFERROR(VLOOKUP(Tabela8[[#This Row],[ID]],Tabela1[],6,0),"")</f>
        <v/>
      </c>
      <c r="H249" s="127" t="str">
        <f>IFERROR(VLOOKUP(Tabela8[[#This Row],[ID]],Tabela1[],7,0),"")</f>
        <v/>
      </c>
      <c r="I249" s="126"/>
      <c r="J249" s="126"/>
      <c r="K249" s="129" t="str">
        <f>IFERROR(VLOOKUP(Tabela8[[#This Row],[ID]],Tabela7[],11,0),"")</f>
        <v/>
      </c>
      <c r="L249" s="130" t="e">
        <f>Tabela8[[#This Row],[Latas a Pagar]]*Tabela9[VALOR LATA]</f>
        <v>#VALUE!</v>
      </c>
    </row>
    <row r="250" spans="2:12" hidden="1" x14ac:dyDescent="0.3">
      <c r="B250" s="127">
        <f>VALUE('CONTROLE DE PRODUÇÃO'!B224)</f>
        <v>0</v>
      </c>
      <c r="C250" s="128" t="str">
        <f>IFERROR(VLOOKUP(Tabela8[[#This Row],[ID]],Tabela7[],2,0),"")</f>
        <v/>
      </c>
      <c r="D250" s="128" t="e">
        <f>VLOOKUP(Tabela8[[#This Row],[ID]],Tabela1[],3,0)</f>
        <v>#N/A</v>
      </c>
      <c r="E250" s="127" t="str">
        <f>IFERROR(VLOOKUP(Tabela8[[#This Row],[ID]],Tabela1[],4,0),"")</f>
        <v/>
      </c>
      <c r="F250" s="127" t="str">
        <f>IFERROR(VLOOKUP(Tabela8[[#This Row],[ID]],Tabela1[],5,0),"")</f>
        <v/>
      </c>
      <c r="G250" s="127" t="str">
        <f>IFERROR(VLOOKUP(Tabela8[[#This Row],[ID]],Tabela1[],6,0),"")</f>
        <v/>
      </c>
      <c r="H250" s="127" t="str">
        <f>IFERROR(VLOOKUP(Tabela8[[#This Row],[ID]],Tabela1[],7,0),"")</f>
        <v/>
      </c>
      <c r="I250" s="126"/>
      <c r="J250" s="126"/>
      <c r="K250" s="129" t="str">
        <f>IFERROR(VLOOKUP(Tabela8[[#This Row],[ID]],Tabela7[],11,0),"")</f>
        <v/>
      </c>
      <c r="L250" s="130" t="e">
        <f>Tabela8[[#This Row],[Latas a Pagar]]*Tabela9[VALOR LATA]</f>
        <v>#VALUE!</v>
      </c>
    </row>
    <row r="251" spans="2:12" hidden="1" x14ac:dyDescent="0.3">
      <c r="B251" s="127">
        <f>VALUE('CONTROLE DE PRODUÇÃO'!B225)</f>
        <v>0</v>
      </c>
      <c r="C251" s="128" t="str">
        <f>IFERROR(VLOOKUP(Tabela8[[#This Row],[ID]],Tabela7[],2,0),"")</f>
        <v/>
      </c>
      <c r="D251" s="128" t="e">
        <f>VLOOKUP(Tabela8[[#This Row],[ID]],Tabela1[],3,0)</f>
        <v>#N/A</v>
      </c>
      <c r="E251" s="127" t="str">
        <f>IFERROR(VLOOKUP(Tabela8[[#This Row],[ID]],Tabela1[],4,0),"")</f>
        <v/>
      </c>
      <c r="F251" s="127" t="str">
        <f>IFERROR(VLOOKUP(Tabela8[[#This Row],[ID]],Tabela1[],5,0),"")</f>
        <v/>
      </c>
      <c r="G251" s="127" t="str">
        <f>IFERROR(VLOOKUP(Tabela8[[#This Row],[ID]],Tabela1[],6,0),"")</f>
        <v/>
      </c>
      <c r="H251" s="127" t="str">
        <f>IFERROR(VLOOKUP(Tabela8[[#This Row],[ID]],Tabela1[],7,0),"")</f>
        <v/>
      </c>
      <c r="I251" s="126"/>
      <c r="J251" s="126"/>
      <c r="K251" s="129" t="str">
        <f>IFERROR(VLOOKUP(Tabela8[[#This Row],[ID]],Tabela7[],11,0),"")</f>
        <v/>
      </c>
      <c r="L251" s="130" t="e">
        <f>Tabela8[[#This Row],[Latas a Pagar]]*Tabela9[VALOR LATA]</f>
        <v>#VALUE!</v>
      </c>
    </row>
    <row r="252" spans="2:12" hidden="1" x14ac:dyDescent="0.3">
      <c r="B252" s="127">
        <f>VALUE('CONTROLE DE PRODUÇÃO'!B226)</f>
        <v>0</v>
      </c>
      <c r="C252" s="128" t="str">
        <f>IFERROR(VLOOKUP(Tabela8[[#This Row],[ID]],Tabela7[],2,0),"")</f>
        <v/>
      </c>
      <c r="D252" s="128" t="e">
        <f>VLOOKUP(Tabela8[[#This Row],[ID]],Tabela1[],3,0)</f>
        <v>#N/A</v>
      </c>
      <c r="E252" s="127" t="str">
        <f>IFERROR(VLOOKUP(Tabela8[[#This Row],[ID]],Tabela1[],4,0),"")</f>
        <v/>
      </c>
      <c r="F252" s="127" t="str">
        <f>IFERROR(VLOOKUP(Tabela8[[#This Row],[ID]],Tabela1[],5,0),"")</f>
        <v/>
      </c>
      <c r="G252" s="127" t="str">
        <f>IFERROR(VLOOKUP(Tabela8[[#This Row],[ID]],Tabela1[],6,0),"")</f>
        <v/>
      </c>
      <c r="H252" s="127" t="str">
        <f>IFERROR(VLOOKUP(Tabela8[[#This Row],[ID]],Tabela1[],7,0),"")</f>
        <v/>
      </c>
      <c r="I252" s="126"/>
      <c r="J252" s="126"/>
      <c r="K252" s="129" t="str">
        <f>IFERROR(VLOOKUP(Tabela8[[#This Row],[ID]],Tabela7[],11,0),"")</f>
        <v/>
      </c>
      <c r="L252" s="130" t="e">
        <f>Tabela8[[#This Row],[Latas a Pagar]]*Tabela9[VALOR LATA]</f>
        <v>#VALUE!</v>
      </c>
    </row>
    <row r="253" spans="2:12" hidden="1" x14ac:dyDescent="0.3">
      <c r="B253" s="127">
        <f>VALUE('CONTROLE DE PRODUÇÃO'!B227)</f>
        <v>0</v>
      </c>
      <c r="C253" s="128" t="str">
        <f>IFERROR(VLOOKUP(Tabela8[[#This Row],[ID]],Tabela7[],2,0),"")</f>
        <v/>
      </c>
      <c r="D253" s="128" t="e">
        <f>VLOOKUP(Tabela8[[#This Row],[ID]],Tabela1[],3,0)</f>
        <v>#N/A</v>
      </c>
      <c r="E253" s="127" t="str">
        <f>IFERROR(VLOOKUP(Tabela8[[#This Row],[ID]],Tabela1[],4,0),"")</f>
        <v/>
      </c>
      <c r="F253" s="127" t="str">
        <f>IFERROR(VLOOKUP(Tabela8[[#This Row],[ID]],Tabela1[],5,0),"")</f>
        <v/>
      </c>
      <c r="G253" s="127" t="str">
        <f>IFERROR(VLOOKUP(Tabela8[[#This Row],[ID]],Tabela1[],6,0),"")</f>
        <v/>
      </c>
      <c r="H253" s="127" t="str">
        <f>IFERROR(VLOOKUP(Tabela8[[#This Row],[ID]],Tabela1[],7,0),"")</f>
        <v/>
      </c>
      <c r="I253" s="126"/>
      <c r="J253" s="126"/>
      <c r="K253" s="129" t="str">
        <f>IFERROR(VLOOKUP(Tabela8[[#This Row],[ID]],Tabela7[],11,0),"")</f>
        <v/>
      </c>
      <c r="L253" s="130" t="e">
        <f>Tabela8[[#This Row],[Latas a Pagar]]*Tabela9[VALOR LATA]</f>
        <v>#VALUE!</v>
      </c>
    </row>
    <row r="254" spans="2:12" hidden="1" x14ac:dyDescent="0.3">
      <c r="B254" s="127">
        <f>VALUE('CONTROLE DE PRODUÇÃO'!B228)</f>
        <v>0</v>
      </c>
      <c r="C254" s="128" t="str">
        <f>IFERROR(VLOOKUP(Tabela8[[#This Row],[ID]],Tabela7[],2,0),"")</f>
        <v/>
      </c>
      <c r="D254" s="128" t="e">
        <f>VLOOKUP(Tabela8[[#This Row],[ID]],Tabela1[],3,0)</f>
        <v>#N/A</v>
      </c>
      <c r="E254" s="127" t="str">
        <f>IFERROR(VLOOKUP(Tabela8[[#This Row],[ID]],Tabela1[],4,0),"")</f>
        <v/>
      </c>
      <c r="F254" s="127" t="str">
        <f>IFERROR(VLOOKUP(Tabela8[[#This Row],[ID]],Tabela1[],5,0),"")</f>
        <v/>
      </c>
      <c r="G254" s="127" t="str">
        <f>IFERROR(VLOOKUP(Tabela8[[#This Row],[ID]],Tabela1[],6,0),"")</f>
        <v/>
      </c>
      <c r="H254" s="127" t="str">
        <f>IFERROR(VLOOKUP(Tabela8[[#This Row],[ID]],Tabela1[],7,0),"")</f>
        <v/>
      </c>
      <c r="I254" s="126"/>
      <c r="J254" s="126"/>
      <c r="K254" s="129" t="str">
        <f>IFERROR(VLOOKUP(Tabela8[[#This Row],[ID]],Tabela7[],11,0),"")</f>
        <v/>
      </c>
      <c r="L254" s="130" t="e">
        <f>Tabela8[[#This Row],[Latas a Pagar]]*Tabela9[VALOR LATA]</f>
        <v>#VALUE!</v>
      </c>
    </row>
    <row r="255" spans="2:12" hidden="1" x14ac:dyDescent="0.3">
      <c r="B255" s="127">
        <f>VALUE('CONTROLE DE PRODUÇÃO'!B229)</f>
        <v>0</v>
      </c>
      <c r="C255" s="128" t="str">
        <f>IFERROR(VLOOKUP(Tabela8[[#This Row],[ID]],Tabela7[],2,0),"")</f>
        <v/>
      </c>
      <c r="D255" s="128" t="e">
        <f>VLOOKUP(Tabela8[[#This Row],[ID]],Tabela1[],3,0)</f>
        <v>#N/A</v>
      </c>
      <c r="E255" s="127" t="str">
        <f>IFERROR(VLOOKUP(Tabela8[[#This Row],[ID]],Tabela1[],4,0),"")</f>
        <v/>
      </c>
      <c r="F255" s="127" t="str">
        <f>IFERROR(VLOOKUP(Tabela8[[#This Row],[ID]],Tabela1[],5,0),"")</f>
        <v/>
      </c>
      <c r="G255" s="127" t="str">
        <f>IFERROR(VLOOKUP(Tabela8[[#This Row],[ID]],Tabela1[],6,0),"")</f>
        <v/>
      </c>
      <c r="H255" s="127" t="str">
        <f>IFERROR(VLOOKUP(Tabela8[[#This Row],[ID]],Tabela1[],7,0),"")</f>
        <v/>
      </c>
      <c r="I255" s="126"/>
      <c r="J255" s="126"/>
      <c r="K255" s="129" t="str">
        <f>IFERROR(VLOOKUP(Tabela8[[#This Row],[ID]],Tabela7[],11,0),"")</f>
        <v/>
      </c>
      <c r="L255" s="130" t="e">
        <f>Tabela8[[#This Row],[Latas a Pagar]]*Tabela9[VALOR LATA]</f>
        <v>#VALUE!</v>
      </c>
    </row>
    <row r="256" spans="2:12" hidden="1" x14ac:dyDescent="0.3">
      <c r="B256" s="127">
        <f>VALUE('CONTROLE DE PRODUÇÃO'!B230)</f>
        <v>0</v>
      </c>
      <c r="C256" s="128" t="str">
        <f>IFERROR(VLOOKUP(Tabela8[[#This Row],[ID]],Tabela7[],2,0),"")</f>
        <v/>
      </c>
      <c r="D256" s="128" t="e">
        <f>VLOOKUP(Tabela8[[#This Row],[ID]],Tabela1[],3,0)</f>
        <v>#N/A</v>
      </c>
      <c r="E256" s="127" t="str">
        <f>IFERROR(VLOOKUP(Tabela8[[#This Row],[ID]],Tabela1[],4,0),"")</f>
        <v/>
      </c>
      <c r="F256" s="127" t="str">
        <f>IFERROR(VLOOKUP(Tabela8[[#This Row],[ID]],Tabela1[],5,0),"")</f>
        <v/>
      </c>
      <c r="G256" s="127" t="str">
        <f>IFERROR(VLOOKUP(Tabela8[[#This Row],[ID]],Tabela1[],6,0),"")</f>
        <v/>
      </c>
      <c r="H256" s="127" t="str">
        <f>IFERROR(VLOOKUP(Tabela8[[#This Row],[ID]],Tabela1[],7,0),"")</f>
        <v/>
      </c>
      <c r="I256" s="126"/>
      <c r="J256" s="126"/>
      <c r="K256" s="129" t="str">
        <f>IFERROR(VLOOKUP(Tabela8[[#This Row],[ID]],Tabela7[],11,0),"")</f>
        <v/>
      </c>
      <c r="L256" s="130" t="e">
        <f>Tabela8[[#This Row],[Latas a Pagar]]*Tabela9[VALOR LATA]</f>
        <v>#VALUE!</v>
      </c>
    </row>
    <row r="257" spans="2:12" hidden="1" x14ac:dyDescent="0.3">
      <c r="B257" s="127">
        <f>VALUE('CONTROLE DE PRODUÇÃO'!B231)</f>
        <v>0</v>
      </c>
      <c r="C257" s="128" t="str">
        <f>IFERROR(VLOOKUP(Tabela8[[#This Row],[ID]],Tabela7[],2,0),"")</f>
        <v/>
      </c>
      <c r="D257" s="128" t="e">
        <f>VLOOKUP(Tabela8[[#This Row],[ID]],Tabela1[],3,0)</f>
        <v>#N/A</v>
      </c>
      <c r="E257" s="127" t="str">
        <f>IFERROR(VLOOKUP(Tabela8[[#This Row],[ID]],Tabela1[],4,0),"")</f>
        <v/>
      </c>
      <c r="F257" s="127" t="str">
        <f>IFERROR(VLOOKUP(Tabela8[[#This Row],[ID]],Tabela1[],5,0),"")</f>
        <v/>
      </c>
      <c r="G257" s="127" t="str">
        <f>IFERROR(VLOOKUP(Tabela8[[#This Row],[ID]],Tabela1[],6,0),"")</f>
        <v/>
      </c>
      <c r="H257" s="127" t="str">
        <f>IFERROR(VLOOKUP(Tabela8[[#This Row],[ID]],Tabela1[],7,0),"")</f>
        <v/>
      </c>
      <c r="I257" s="126"/>
      <c r="J257" s="126"/>
      <c r="K257" s="129" t="str">
        <f>IFERROR(VLOOKUP(Tabela8[[#This Row],[ID]],Tabela7[],11,0),"")</f>
        <v/>
      </c>
      <c r="L257" s="130" t="e">
        <f>Tabela8[[#This Row],[Latas a Pagar]]*Tabela9[VALOR LATA]</f>
        <v>#VALUE!</v>
      </c>
    </row>
    <row r="258" spans="2:12" hidden="1" x14ac:dyDescent="0.3">
      <c r="B258" s="127">
        <f>VALUE('CONTROLE DE PRODUÇÃO'!B232)</f>
        <v>0</v>
      </c>
      <c r="C258" s="128" t="str">
        <f>IFERROR(VLOOKUP(Tabela8[[#This Row],[ID]],Tabela7[],2,0),"")</f>
        <v/>
      </c>
      <c r="D258" s="128" t="e">
        <f>VLOOKUP(Tabela8[[#This Row],[ID]],Tabela1[],3,0)</f>
        <v>#N/A</v>
      </c>
      <c r="E258" s="127" t="str">
        <f>IFERROR(VLOOKUP(Tabela8[[#This Row],[ID]],Tabela1[],4,0),"")</f>
        <v/>
      </c>
      <c r="F258" s="127" t="str">
        <f>IFERROR(VLOOKUP(Tabela8[[#This Row],[ID]],Tabela1[],5,0),"")</f>
        <v/>
      </c>
      <c r="G258" s="127" t="str">
        <f>IFERROR(VLOOKUP(Tabela8[[#This Row],[ID]],Tabela1[],6,0),"")</f>
        <v/>
      </c>
      <c r="H258" s="127" t="str">
        <f>IFERROR(VLOOKUP(Tabela8[[#This Row],[ID]],Tabela1[],7,0),"")</f>
        <v/>
      </c>
      <c r="I258" s="126"/>
      <c r="J258" s="126"/>
      <c r="K258" s="129" t="str">
        <f>IFERROR(VLOOKUP(Tabela8[[#This Row],[ID]],Tabela7[],11,0),"")</f>
        <v/>
      </c>
      <c r="L258" s="130" t="e">
        <f>Tabela8[[#This Row],[Latas a Pagar]]*Tabela9[VALOR LATA]</f>
        <v>#VALUE!</v>
      </c>
    </row>
    <row r="259" spans="2:12" hidden="1" x14ac:dyDescent="0.3">
      <c r="B259" s="127">
        <f>VALUE('CONTROLE DE PRODUÇÃO'!B233)</f>
        <v>0</v>
      </c>
      <c r="C259" s="128" t="str">
        <f>IFERROR(VLOOKUP(Tabela8[[#This Row],[ID]],Tabela7[],2,0),"")</f>
        <v/>
      </c>
      <c r="D259" s="128" t="e">
        <f>VLOOKUP(Tabela8[[#This Row],[ID]],Tabela1[],3,0)</f>
        <v>#N/A</v>
      </c>
      <c r="E259" s="127" t="str">
        <f>IFERROR(VLOOKUP(Tabela8[[#This Row],[ID]],Tabela1[],4,0),"")</f>
        <v/>
      </c>
      <c r="F259" s="127" t="str">
        <f>IFERROR(VLOOKUP(Tabela8[[#This Row],[ID]],Tabela1[],5,0),"")</f>
        <v/>
      </c>
      <c r="G259" s="127" t="str">
        <f>IFERROR(VLOOKUP(Tabela8[[#This Row],[ID]],Tabela1[],6,0),"")</f>
        <v/>
      </c>
      <c r="H259" s="127" t="str">
        <f>IFERROR(VLOOKUP(Tabela8[[#This Row],[ID]],Tabela1[],7,0),"")</f>
        <v/>
      </c>
      <c r="I259" s="126"/>
      <c r="J259" s="126"/>
      <c r="K259" s="129" t="str">
        <f>IFERROR(VLOOKUP(Tabela8[[#This Row],[ID]],Tabela7[],11,0),"")</f>
        <v/>
      </c>
      <c r="L259" s="130" t="e">
        <f>Tabela8[[#This Row],[Latas a Pagar]]*Tabela9[VALOR LATA]</f>
        <v>#VALUE!</v>
      </c>
    </row>
    <row r="260" spans="2:12" hidden="1" x14ac:dyDescent="0.3">
      <c r="B260" s="127">
        <f>VALUE('CONTROLE DE PRODUÇÃO'!B234)</f>
        <v>0</v>
      </c>
      <c r="C260" s="128" t="str">
        <f>IFERROR(VLOOKUP(Tabela8[[#This Row],[ID]],Tabela7[],2,0),"")</f>
        <v/>
      </c>
      <c r="D260" s="128" t="e">
        <f>VLOOKUP(Tabela8[[#This Row],[ID]],Tabela1[],3,0)</f>
        <v>#N/A</v>
      </c>
      <c r="E260" s="127" t="str">
        <f>IFERROR(VLOOKUP(Tabela8[[#This Row],[ID]],Tabela1[],4,0),"")</f>
        <v/>
      </c>
      <c r="F260" s="127" t="str">
        <f>IFERROR(VLOOKUP(Tabela8[[#This Row],[ID]],Tabela1[],5,0),"")</f>
        <v/>
      </c>
      <c r="G260" s="127" t="str">
        <f>IFERROR(VLOOKUP(Tabela8[[#This Row],[ID]],Tabela1[],6,0),"")</f>
        <v/>
      </c>
      <c r="H260" s="127" t="str">
        <f>IFERROR(VLOOKUP(Tabela8[[#This Row],[ID]],Tabela1[],7,0),"")</f>
        <v/>
      </c>
      <c r="I260" s="126"/>
      <c r="J260" s="126"/>
      <c r="K260" s="129" t="str">
        <f>IFERROR(VLOOKUP(Tabela8[[#This Row],[ID]],Tabela7[],11,0),"")</f>
        <v/>
      </c>
      <c r="L260" s="130" t="e">
        <f>Tabela8[[#This Row],[Latas a Pagar]]*Tabela9[VALOR LATA]</f>
        <v>#VALUE!</v>
      </c>
    </row>
    <row r="261" spans="2:12" hidden="1" x14ac:dyDescent="0.3">
      <c r="B261" s="127">
        <f>VALUE('CONTROLE DE PRODUÇÃO'!B235)</f>
        <v>0</v>
      </c>
      <c r="C261" s="128" t="str">
        <f>IFERROR(VLOOKUP(Tabela8[[#This Row],[ID]],Tabela7[],2,0),"")</f>
        <v/>
      </c>
      <c r="D261" s="128" t="e">
        <f>VLOOKUP(Tabela8[[#This Row],[ID]],Tabela1[],3,0)</f>
        <v>#N/A</v>
      </c>
      <c r="E261" s="127" t="str">
        <f>IFERROR(VLOOKUP(Tabela8[[#This Row],[ID]],Tabela1[],4,0),"")</f>
        <v/>
      </c>
      <c r="F261" s="127" t="str">
        <f>IFERROR(VLOOKUP(Tabela8[[#This Row],[ID]],Tabela1[],5,0),"")</f>
        <v/>
      </c>
      <c r="G261" s="127" t="str">
        <f>IFERROR(VLOOKUP(Tabela8[[#This Row],[ID]],Tabela1[],6,0),"")</f>
        <v/>
      </c>
      <c r="H261" s="127" t="str">
        <f>IFERROR(VLOOKUP(Tabela8[[#This Row],[ID]],Tabela1[],7,0),"")</f>
        <v/>
      </c>
      <c r="I261" s="126"/>
      <c r="J261" s="126"/>
      <c r="K261" s="129" t="str">
        <f>IFERROR(VLOOKUP(Tabela8[[#This Row],[ID]],Tabela7[],11,0),"")</f>
        <v/>
      </c>
      <c r="L261" s="130" t="e">
        <f>Tabela8[[#This Row],[Latas a Pagar]]*Tabela9[VALOR LATA]</f>
        <v>#VALUE!</v>
      </c>
    </row>
    <row r="262" spans="2:12" hidden="1" x14ac:dyDescent="0.3">
      <c r="B262" s="127">
        <f>VALUE('CONTROLE DE PRODUÇÃO'!B236)</f>
        <v>0</v>
      </c>
      <c r="C262" s="128" t="str">
        <f>IFERROR(VLOOKUP(Tabela8[[#This Row],[ID]],Tabela7[],2,0),"")</f>
        <v/>
      </c>
      <c r="D262" s="128" t="e">
        <f>VLOOKUP(Tabela8[[#This Row],[ID]],Tabela1[],3,0)</f>
        <v>#N/A</v>
      </c>
      <c r="E262" s="127" t="str">
        <f>IFERROR(VLOOKUP(Tabela8[[#This Row],[ID]],Tabela1[],4,0),"")</f>
        <v/>
      </c>
      <c r="F262" s="127" t="str">
        <f>IFERROR(VLOOKUP(Tabela8[[#This Row],[ID]],Tabela1[],5,0),"")</f>
        <v/>
      </c>
      <c r="G262" s="127" t="str">
        <f>IFERROR(VLOOKUP(Tabela8[[#This Row],[ID]],Tabela1[],6,0),"")</f>
        <v/>
      </c>
      <c r="H262" s="127" t="str">
        <f>IFERROR(VLOOKUP(Tabela8[[#This Row],[ID]],Tabela1[],7,0),"")</f>
        <v/>
      </c>
      <c r="I262" s="126"/>
      <c r="J262" s="126"/>
      <c r="K262" s="129" t="str">
        <f>IFERROR(VLOOKUP(Tabela8[[#This Row],[ID]],Tabela7[],11,0),"")</f>
        <v/>
      </c>
      <c r="L262" s="130" t="e">
        <f>Tabela8[[#This Row],[Latas a Pagar]]*Tabela9[VALOR LATA]</f>
        <v>#VALUE!</v>
      </c>
    </row>
    <row r="263" spans="2:12" hidden="1" x14ac:dyDescent="0.3">
      <c r="B263" s="127">
        <f>VALUE('CONTROLE DE PRODUÇÃO'!B237)</f>
        <v>0</v>
      </c>
      <c r="C263" s="128" t="str">
        <f>IFERROR(VLOOKUP(Tabela8[[#This Row],[ID]],Tabela7[],2,0),"")</f>
        <v/>
      </c>
      <c r="D263" s="128" t="e">
        <f>VLOOKUP(Tabela8[[#This Row],[ID]],Tabela1[],3,0)</f>
        <v>#N/A</v>
      </c>
      <c r="E263" s="127" t="str">
        <f>IFERROR(VLOOKUP(Tabela8[[#This Row],[ID]],Tabela1[],4,0),"")</f>
        <v/>
      </c>
      <c r="F263" s="127" t="str">
        <f>IFERROR(VLOOKUP(Tabela8[[#This Row],[ID]],Tabela1[],5,0),"")</f>
        <v/>
      </c>
      <c r="G263" s="127" t="str">
        <f>IFERROR(VLOOKUP(Tabela8[[#This Row],[ID]],Tabela1[],6,0),"")</f>
        <v/>
      </c>
      <c r="H263" s="127" t="str">
        <f>IFERROR(VLOOKUP(Tabela8[[#This Row],[ID]],Tabela1[],7,0),"")</f>
        <v/>
      </c>
      <c r="I263" s="126"/>
      <c r="J263" s="126"/>
      <c r="K263" s="129" t="str">
        <f>IFERROR(VLOOKUP(Tabela8[[#This Row],[ID]],Tabela7[],11,0),"")</f>
        <v/>
      </c>
      <c r="L263" s="130" t="e">
        <f>Tabela8[[#This Row],[Latas a Pagar]]*Tabela9[VALOR LATA]</f>
        <v>#VALUE!</v>
      </c>
    </row>
    <row r="264" spans="2:12" hidden="1" x14ac:dyDescent="0.3">
      <c r="B264" s="127">
        <f>VALUE('CONTROLE DE PRODUÇÃO'!B238)</f>
        <v>0</v>
      </c>
      <c r="C264" s="128" t="str">
        <f>IFERROR(VLOOKUP(Tabela8[[#This Row],[ID]],Tabela7[],2,0),"")</f>
        <v/>
      </c>
      <c r="D264" s="128" t="e">
        <f>VLOOKUP(Tabela8[[#This Row],[ID]],Tabela1[],3,0)</f>
        <v>#N/A</v>
      </c>
      <c r="E264" s="127" t="str">
        <f>IFERROR(VLOOKUP(Tabela8[[#This Row],[ID]],Tabela1[],4,0),"")</f>
        <v/>
      </c>
      <c r="F264" s="127" t="str">
        <f>IFERROR(VLOOKUP(Tabela8[[#This Row],[ID]],Tabela1[],5,0),"")</f>
        <v/>
      </c>
      <c r="G264" s="127" t="str">
        <f>IFERROR(VLOOKUP(Tabela8[[#This Row],[ID]],Tabela1[],6,0),"")</f>
        <v/>
      </c>
      <c r="H264" s="127" t="str">
        <f>IFERROR(VLOOKUP(Tabela8[[#This Row],[ID]],Tabela1[],7,0),"")</f>
        <v/>
      </c>
      <c r="I264" s="126"/>
      <c r="J264" s="126"/>
      <c r="K264" s="129" t="str">
        <f>IFERROR(VLOOKUP(Tabela8[[#This Row],[ID]],Tabela7[],11,0),"")</f>
        <v/>
      </c>
      <c r="L264" s="130" t="e">
        <f>Tabela8[[#This Row],[Latas a Pagar]]*Tabela9[VALOR LATA]</f>
        <v>#VALUE!</v>
      </c>
    </row>
    <row r="265" spans="2:12" hidden="1" x14ac:dyDescent="0.3">
      <c r="B265" s="127">
        <f>VALUE('CONTROLE DE PRODUÇÃO'!B239)</f>
        <v>0</v>
      </c>
      <c r="C265" s="128" t="str">
        <f>IFERROR(VLOOKUP(Tabela8[[#This Row],[ID]],Tabela7[],2,0),"")</f>
        <v/>
      </c>
      <c r="D265" s="128" t="e">
        <f>VLOOKUP(Tabela8[[#This Row],[ID]],Tabela1[],3,0)</f>
        <v>#N/A</v>
      </c>
      <c r="E265" s="127" t="str">
        <f>IFERROR(VLOOKUP(Tabela8[[#This Row],[ID]],Tabela1[],4,0),"")</f>
        <v/>
      </c>
      <c r="F265" s="127" t="str">
        <f>IFERROR(VLOOKUP(Tabela8[[#This Row],[ID]],Tabela1[],5,0),"")</f>
        <v/>
      </c>
      <c r="G265" s="127" t="str">
        <f>IFERROR(VLOOKUP(Tabela8[[#This Row],[ID]],Tabela1[],6,0),"")</f>
        <v/>
      </c>
      <c r="H265" s="127" t="str">
        <f>IFERROR(VLOOKUP(Tabela8[[#This Row],[ID]],Tabela1[],7,0),"")</f>
        <v/>
      </c>
      <c r="I265" s="126"/>
      <c r="J265" s="126"/>
      <c r="K265" s="129" t="str">
        <f>IFERROR(VLOOKUP(Tabela8[[#This Row],[ID]],Tabela7[],11,0),"")</f>
        <v/>
      </c>
      <c r="L265" s="130" t="e">
        <f>Tabela8[[#This Row],[Latas a Pagar]]*Tabela9[VALOR LATA]</f>
        <v>#VALUE!</v>
      </c>
    </row>
    <row r="266" spans="2:12" hidden="1" x14ac:dyDescent="0.3">
      <c r="B266" s="127">
        <f>VALUE('CONTROLE DE PRODUÇÃO'!B240)</f>
        <v>0</v>
      </c>
      <c r="C266" s="128" t="str">
        <f>IFERROR(VLOOKUP(Tabela8[[#This Row],[ID]],Tabela7[],2,0),"")</f>
        <v/>
      </c>
      <c r="D266" s="128" t="e">
        <f>VLOOKUP(Tabela8[[#This Row],[ID]],Tabela1[],3,0)</f>
        <v>#N/A</v>
      </c>
      <c r="E266" s="127" t="str">
        <f>IFERROR(VLOOKUP(Tabela8[[#This Row],[ID]],Tabela1[],4,0),"")</f>
        <v/>
      </c>
      <c r="F266" s="127" t="str">
        <f>IFERROR(VLOOKUP(Tabela8[[#This Row],[ID]],Tabela1[],5,0),"")</f>
        <v/>
      </c>
      <c r="G266" s="127" t="str">
        <f>IFERROR(VLOOKUP(Tabela8[[#This Row],[ID]],Tabela1[],6,0),"")</f>
        <v/>
      </c>
      <c r="H266" s="127" t="str">
        <f>IFERROR(VLOOKUP(Tabela8[[#This Row],[ID]],Tabela1[],7,0),"")</f>
        <v/>
      </c>
      <c r="I266" s="126"/>
      <c r="J266" s="126"/>
      <c r="K266" s="129" t="str">
        <f>IFERROR(VLOOKUP(Tabela8[[#This Row],[ID]],Tabela7[],11,0),"")</f>
        <v/>
      </c>
      <c r="L266" s="130" t="e">
        <f>Tabela8[[#This Row],[Latas a Pagar]]*Tabela9[VALOR LATA]</f>
        <v>#VALUE!</v>
      </c>
    </row>
    <row r="267" spans="2:12" hidden="1" x14ac:dyDescent="0.3">
      <c r="B267" s="127">
        <f>VALUE('CONTROLE DE PRODUÇÃO'!B241)</f>
        <v>0</v>
      </c>
      <c r="C267" s="128" t="str">
        <f>IFERROR(VLOOKUP(Tabela8[[#This Row],[ID]],Tabela7[],2,0),"")</f>
        <v/>
      </c>
      <c r="D267" s="128" t="e">
        <f>VLOOKUP(Tabela8[[#This Row],[ID]],Tabela1[],3,0)</f>
        <v>#N/A</v>
      </c>
      <c r="E267" s="127" t="str">
        <f>IFERROR(VLOOKUP(Tabela8[[#This Row],[ID]],Tabela1[],4,0),"")</f>
        <v/>
      </c>
      <c r="F267" s="127" t="str">
        <f>IFERROR(VLOOKUP(Tabela8[[#This Row],[ID]],Tabela1[],5,0),"")</f>
        <v/>
      </c>
      <c r="G267" s="127" t="str">
        <f>IFERROR(VLOOKUP(Tabela8[[#This Row],[ID]],Tabela1[],6,0),"")</f>
        <v/>
      </c>
      <c r="H267" s="127" t="str">
        <f>IFERROR(VLOOKUP(Tabela8[[#This Row],[ID]],Tabela1[],7,0),"")</f>
        <v/>
      </c>
      <c r="I267" s="126"/>
      <c r="J267" s="126"/>
      <c r="K267" s="129" t="str">
        <f>IFERROR(VLOOKUP(Tabela8[[#This Row],[ID]],Tabela7[],11,0),"")</f>
        <v/>
      </c>
      <c r="L267" s="130" t="e">
        <f>Tabela8[[#This Row],[Latas a Pagar]]*Tabela9[VALOR LATA]</f>
        <v>#VALUE!</v>
      </c>
    </row>
    <row r="268" spans="2:12" hidden="1" x14ac:dyDescent="0.3">
      <c r="B268" s="127">
        <f>VALUE('CONTROLE DE PRODUÇÃO'!B242)</f>
        <v>0</v>
      </c>
      <c r="C268" s="128" t="str">
        <f>IFERROR(VLOOKUP(Tabela8[[#This Row],[ID]],Tabela7[],2,0),"")</f>
        <v/>
      </c>
      <c r="D268" s="128" t="e">
        <f>VLOOKUP(Tabela8[[#This Row],[ID]],Tabela1[],3,0)</f>
        <v>#N/A</v>
      </c>
      <c r="E268" s="127" t="str">
        <f>IFERROR(VLOOKUP(Tabela8[[#This Row],[ID]],Tabela1[],4,0),"")</f>
        <v/>
      </c>
      <c r="F268" s="127" t="str">
        <f>IFERROR(VLOOKUP(Tabela8[[#This Row],[ID]],Tabela1[],5,0),"")</f>
        <v/>
      </c>
      <c r="G268" s="127" t="str">
        <f>IFERROR(VLOOKUP(Tabela8[[#This Row],[ID]],Tabela1[],6,0),"")</f>
        <v/>
      </c>
      <c r="H268" s="127" t="str">
        <f>IFERROR(VLOOKUP(Tabela8[[#This Row],[ID]],Tabela1[],7,0),"")</f>
        <v/>
      </c>
      <c r="I268" s="126"/>
      <c r="J268" s="126"/>
      <c r="K268" s="129" t="str">
        <f>IFERROR(VLOOKUP(Tabela8[[#This Row],[ID]],Tabela7[],11,0),"")</f>
        <v/>
      </c>
      <c r="L268" s="130" t="e">
        <f>Tabela8[[#This Row],[Latas a Pagar]]*Tabela9[VALOR LATA]</f>
        <v>#VALUE!</v>
      </c>
    </row>
    <row r="269" spans="2:12" hidden="1" x14ac:dyDescent="0.3">
      <c r="B269" s="127">
        <f>VALUE('CONTROLE DE PRODUÇÃO'!B243)</f>
        <v>0</v>
      </c>
      <c r="C269" s="128" t="str">
        <f>IFERROR(VLOOKUP(Tabela8[[#This Row],[ID]],Tabela7[],2,0),"")</f>
        <v/>
      </c>
      <c r="D269" s="128" t="e">
        <f>VLOOKUP(Tabela8[[#This Row],[ID]],Tabela1[],3,0)</f>
        <v>#N/A</v>
      </c>
      <c r="E269" s="127" t="str">
        <f>IFERROR(VLOOKUP(Tabela8[[#This Row],[ID]],Tabela1[],4,0),"")</f>
        <v/>
      </c>
      <c r="F269" s="127" t="str">
        <f>IFERROR(VLOOKUP(Tabela8[[#This Row],[ID]],Tabela1[],5,0),"")</f>
        <v/>
      </c>
      <c r="G269" s="127" t="str">
        <f>IFERROR(VLOOKUP(Tabela8[[#This Row],[ID]],Tabela1[],6,0),"")</f>
        <v/>
      </c>
      <c r="H269" s="127" t="str">
        <f>IFERROR(VLOOKUP(Tabela8[[#This Row],[ID]],Tabela1[],7,0),"")</f>
        <v/>
      </c>
      <c r="I269" s="126"/>
      <c r="J269" s="126"/>
      <c r="K269" s="129" t="str">
        <f>IFERROR(VLOOKUP(Tabela8[[#This Row],[ID]],Tabela7[],11,0),"")</f>
        <v/>
      </c>
      <c r="L269" s="130" t="e">
        <f>Tabela8[[#This Row],[Latas a Pagar]]*Tabela9[VALOR LATA]</f>
        <v>#VALUE!</v>
      </c>
    </row>
    <row r="270" spans="2:12" hidden="1" x14ac:dyDescent="0.3">
      <c r="B270" s="127">
        <f>VALUE('CONTROLE DE PRODUÇÃO'!B244)</f>
        <v>0</v>
      </c>
      <c r="C270" s="128" t="str">
        <f>IFERROR(VLOOKUP(Tabela8[[#This Row],[ID]],Tabela7[],2,0),"")</f>
        <v/>
      </c>
      <c r="D270" s="128" t="e">
        <f>VLOOKUP(Tabela8[[#This Row],[ID]],Tabela1[],3,0)</f>
        <v>#N/A</v>
      </c>
      <c r="E270" s="127" t="str">
        <f>IFERROR(VLOOKUP(Tabela8[[#This Row],[ID]],Tabela1[],4,0),"")</f>
        <v/>
      </c>
      <c r="F270" s="127" t="str">
        <f>IFERROR(VLOOKUP(Tabela8[[#This Row],[ID]],Tabela1[],5,0),"")</f>
        <v/>
      </c>
      <c r="G270" s="127" t="str">
        <f>IFERROR(VLOOKUP(Tabela8[[#This Row],[ID]],Tabela1[],6,0),"")</f>
        <v/>
      </c>
      <c r="H270" s="127" t="str">
        <f>IFERROR(VLOOKUP(Tabela8[[#This Row],[ID]],Tabela1[],7,0),"")</f>
        <v/>
      </c>
      <c r="I270" s="126"/>
      <c r="J270" s="126"/>
      <c r="K270" s="129" t="str">
        <f>IFERROR(VLOOKUP(Tabela8[[#This Row],[ID]],Tabela7[],11,0),"")</f>
        <v/>
      </c>
      <c r="L270" s="130" t="e">
        <f>Tabela8[[#This Row],[Latas a Pagar]]*Tabela9[VALOR LATA]</f>
        <v>#VALUE!</v>
      </c>
    </row>
    <row r="271" spans="2:12" hidden="1" x14ac:dyDescent="0.3">
      <c r="B271" s="127">
        <f>VALUE('CONTROLE DE PRODUÇÃO'!B245)</f>
        <v>0</v>
      </c>
      <c r="C271" s="128" t="str">
        <f>IFERROR(VLOOKUP(Tabela8[[#This Row],[ID]],Tabela7[],2,0),"")</f>
        <v/>
      </c>
      <c r="D271" s="128" t="e">
        <f>VLOOKUP(Tabela8[[#This Row],[ID]],Tabela1[],3,0)</f>
        <v>#N/A</v>
      </c>
      <c r="E271" s="127" t="str">
        <f>IFERROR(VLOOKUP(Tabela8[[#This Row],[ID]],Tabela1[],4,0),"")</f>
        <v/>
      </c>
      <c r="F271" s="127" t="str">
        <f>IFERROR(VLOOKUP(Tabela8[[#This Row],[ID]],Tabela1[],5,0),"")</f>
        <v/>
      </c>
      <c r="G271" s="127" t="str">
        <f>IFERROR(VLOOKUP(Tabela8[[#This Row],[ID]],Tabela1[],6,0),"")</f>
        <v/>
      </c>
      <c r="H271" s="127" t="str">
        <f>IFERROR(VLOOKUP(Tabela8[[#This Row],[ID]],Tabela1[],7,0),"")</f>
        <v/>
      </c>
      <c r="I271" s="126"/>
      <c r="J271" s="126"/>
      <c r="K271" s="129" t="str">
        <f>IFERROR(VLOOKUP(Tabela8[[#This Row],[ID]],Tabela7[],11,0),"")</f>
        <v/>
      </c>
      <c r="L271" s="130" t="e">
        <f>Tabela8[[#This Row],[Latas a Pagar]]*Tabela9[VALOR LATA]</f>
        <v>#VALUE!</v>
      </c>
    </row>
    <row r="272" spans="2:12" hidden="1" x14ac:dyDescent="0.3">
      <c r="B272" s="127">
        <f>VALUE('CONTROLE DE PRODUÇÃO'!B246)</f>
        <v>0</v>
      </c>
      <c r="C272" s="128" t="str">
        <f>IFERROR(VLOOKUP(Tabela8[[#This Row],[ID]],Tabela7[],2,0),"")</f>
        <v/>
      </c>
      <c r="D272" s="128" t="e">
        <f>VLOOKUP(Tabela8[[#This Row],[ID]],Tabela1[],3,0)</f>
        <v>#N/A</v>
      </c>
      <c r="E272" s="127" t="str">
        <f>IFERROR(VLOOKUP(Tabela8[[#This Row],[ID]],Tabela1[],4,0),"")</f>
        <v/>
      </c>
      <c r="F272" s="127" t="str">
        <f>IFERROR(VLOOKUP(Tabela8[[#This Row],[ID]],Tabela1[],5,0),"")</f>
        <v/>
      </c>
      <c r="G272" s="127" t="str">
        <f>IFERROR(VLOOKUP(Tabela8[[#This Row],[ID]],Tabela1[],6,0),"")</f>
        <v/>
      </c>
      <c r="H272" s="127" t="str">
        <f>IFERROR(VLOOKUP(Tabela8[[#This Row],[ID]],Tabela1[],7,0),"")</f>
        <v/>
      </c>
      <c r="I272" s="126"/>
      <c r="J272" s="126"/>
      <c r="K272" s="129" t="str">
        <f>IFERROR(VLOOKUP(Tabela8[[#This Row],[ID]],Tabela7[],11,0),"")</f>
        <v/>
      </c>
      <c r="L272" s="130" t="e">
        <f>Tabela8[[#This Row],[Latas a Pagar]]*Tabela9[VALOR LATA]</f>
        <v>#VALUE!</v>
      </c>
    </row>
    <row r="273" spans="2:12" hidden="1" x14ac:dyDescent="0.3">
      <c r="B273" s="127">
        <f>VALUE('CONTROLE DE PRODUÇÃO'!B247)</f>
        <v>0</v>
      </c>
      <c r="C273" s="128" t="str">
        <f>IFERROR(VLOOKUP(Tabela8[[#This Row],[ID]],Tabela7[],2,0),"")</f>
        <v/>
      </c>
      <c r="D273" s="128" t="e">
        <f>VLOOKUP(Tabela8[[#This Row],[ID]],Tabela1[],3,0)</f>
        <v>#N/A</v>
      </c>
      <c r="E273" s="127" t="str">
        <f>IFERROR(VLOOKUP(Tabela8[[#This Row],[ID]],Tabela1[],4,0),"")</f>
        <v/>
      </c>
      <c r="F273" s="127" t="str">
        <f>IFERROR(VLOOKUP(Tabela8[[#This Row],[ID]],Tabela1[],5,0),"")</f>
        <v/>
      </c>
      <c r="G273" s="127" t="str">
        <f>IFERROR(VLOOKUP(Tabela8[[#This Row],[ID]],Tabela1[],6,0),"")</f>
        <v/>
      </c>
      <c r="H273" s="127" t="str">
        <f>IFERROR(VLOOKUP(Tabela8[[#This Row],[ID]],Tabela1[],7,0),"")</f>
        <v/>
      </c>
      <c r="I273" s="126"/>
      <c r="J273" s="126"/>
      <c r="K273" s="129" t="str">
        <f>IFERROR(VLOOKUP(Tabela8[[#This Row],[ID]],Tabela7[],11,0),"")</f>
        <v/>
      </c>
      <c r="L273" s="130" t="e">
        <f>Tabela8[[#This Row],[Latas a Pagar]]*Tabela9[VALOR LATA]</f>
        <v>#VALUE!</v>
      </c>
    </row>
    <row r="274" spans="2:12" hidden="1" x14ac:dyDescent="0.3">
      <c r="B274" s="127">
        <f>VALUE('CONTROLE DE PRODUÇÃO'!B248)</f>
        <v>0</v>
      </c>
      <c r="C274" s="128" t="str">
        <f>IFERROR(VLOOKUP(Tabela8[[#This Row],[ID]],Tabela7[],2,0),"")</f>
        <v/>
      </c>
      <c r="D274" s="128" t="e">
        <f>VLOOKUP(Tabela8[[#This Row],[ID]],Tabela1[],3,0)</f>
        <v>#N/A</v>
      </c>
      <c r="E274" s="127" t="str">
        <f>IFERROR(VLOOKUP(Tabela8[[#This Row],[ID]],Tabela1[],4,0),"")</f>
        <v/>
      </c>
      <c r="F274" s="127" t="str">
        <f>IFERROR(VLOOKUP(Tabela8[[#This Row],[ID]],Tabela1[],5,0),"")</f>
        <v/>
      </c>
      <c r="G274" s="127" t="str">
        <f>IFERROR(VLOOKUP(Tabela8[[#This Row],[ID]],Tabela1[],6,0),"")</f>
        <v/>
      </c>
      <c r="H274" s="127" t="str">
        <f>IFERROR(VLOOKUP(Tabela8[[#This Row],[ID]],Tabela1[],7,0),"")</f>
        <v/>
      </c>
      <c r="I274" s="126"/>
      <c r="J274" s="126"/>
      <c r="K274" s="129" t="str">
        <f>IFERROR(VLOOKUP(Tabela8[[#This Row],[ID]],Tabela7[],11,0),"")</f>
        <v/>
      </c>
      <c r="L274" s="130" t="e">
        <f>Tabela8[[#This Row],[Latas a Pagar]]*Tabela9[VALOR LATA]</f>
        <v>#VALUE!</v>
      </c>
    </row>
    <row r="275" spans="2:12" hidden="1" x14ac:dyDescent="0.3">
      <c r="B275" s="127">
        <f>VALUE('CONTROLE DE PRODUÇÃO'!B249)</f>
        <v>0</v>
      </c>
      <c r="C275" s="128" t="str">
        <f>IFERROR(VLOOKUP(Tabela8[[#This Row],[ID]],Tabela7[],2,0),"")</f>
        <v/>
      </c>
      <c r="D275" s="128" t="e">
        <f>VLOOKUP(Tabela8[[#This Row],[ID]],Tabela1[],3,0)</f>
        <v>#N/A</v>
      </c>
      <c r="E275" s="127" t="str">
        <f>IFERROR(VLOOKUP(Tabela8[[#This Row],[ID]],Tabela1[],4,0),"")</f>
        <v/>
      </c>
      <c r="F275" s="127" t="str">
        <f>IFERROR(VLOOKUP(Tabela8[[#This Row],[ID]],Tabela1[],5,0),"")</f>
        <v/>
      </c>
      <c r="G275" s="127" t="str">
        <f>IFERROR(VLOOKUP(Tabela8[[#This Row],[ID]],Tabela1[],6,0),"")</f>
        <v/>
      </c>
      <c r="H275" s="127" t="str">
        <f>IFERROR(VLOOKUP(Tabela8[[#This Row],[ID]],Tabela1[],7,0),"")</f>
        <v/>
      </c>
      <c r="I275" s="126"/>
      <c r="J275" s="126"/>
      <c r="K275" s="129" t="str">
        <f>IFERROR(VLOOKUP(Tabela8[[#This Row],[ID]],Tabela7[],11,0),"")</f>
        <v/>
      </c>
      <c r="L275" s="130" t="e">
        <f>Tabela8[[#This Row],[Latas a Pagar]]*Tabela9[VALOR LATA]</f>
        <v>#VALUE!</v>
      </c>
    </row>
    <row r="276" spans="2:12" hidden="1" x14ac:dyDescent="0.3">
      <c r="B276" s="127">
        <f>VALUE('CONTROLE DE PRODUÇÃO'!B250)</f>
        <v>0</v>
      </c>
      <c r="C276" s="128" t="str">
        <f>IFERROR(VLOOKUP(Tabela8[[#This Row],[ID]],Tabela7[],2,0),"")</f>
        <v/>
      </c>
      <c r="D276" s="128" t="e">
        <f>VLOOKUP(Tabela8[[#This Row],[ID]],Tabela1[],3,0)</f>
        <v>#N/A</v>
      </c>
      <c r="E276" s="127" t="str">
        <f>IFERROR(VLOOKUP(Tabela8[[#This Row],[ID]],Tabela1[],4,0),"")</f>
        <v/>
      </c>
      <c r="F276" s="127" t="str">
        <f>IFERROR(VLOOKUP(Tabela8[[#This Row],[ID]],Tabela1[],5,0),"")</f>
        <v/>
      </c>
      <c r="G276" s="127" t="str">
        <f>IFERROR(VLOOKUP(Tabela8[[#This Row],[ID]],Tabela1[],6,0),"")</f>
        <v/>
      </c>
      <c r="H276" s="127" t="str">
        <f>IFERROR(VLOOKUP(Tabela8[[#This Row],[ID]],Tabela1[],7,0),"")</f>
        <v/>
      </c>
      <c r="I276" s="126"/>
      <c r="J276" s="126"/>
      <c r="K276" s="129" t="str">
        <f>IFERROR(VLOOKUP(Tabela8[[#This Row],[ID]],Tabela7[],11,0),"")</f>
        <v/>
      </c>
      <c r="L276" s="130" t="e">
        <f>Tabela8[[#This Row],[Latas a Pagar]]*Tabela9[VALOR LATA]</f>
        <v>#VALUE!</v>
      </c>
    </row>
    <row r="277" spans="2:12" hidden="1" x14ac:dyDescent="0.3">
      <c r="B277" s="127">
        <f>VALUE('CONTROLE DE PRODUÇÃO'!B251)</f>
        <v>0</v>
      </c>
      <c r="C277" s="128" t="str">
        <f>IFERROR(VLOOKUP(Tabela8[[#This Row],[ID]],Tabela7[],2,0),"")</f>
        <v/>
      </c>
      <c r="D277" s="128" t="e">
        <f>VLOOKUP(Tabela8[[#This Row],[ID]],Tabela1[],3,0)</f>
        <v>#N/A</v>
      </c>
      <c r="E277" s="127" t="str">
        <f>IFERROR(VLOOKUP(Tabela8[[#This Row],[ID]],Tabela1[],4,0),"")</f>
        <v/>
      </c>
      <c r="F277" s="127" t="str">
        <f>IFERROR(VLOOKUP(Tabela8[[#This Row],[ID]],Tabela1[],5,0),"")</f>
        <v/>
      </c>
      <c r="G277" s="127" t="str">
        <f>IFERROR(VLOOKUP(Tabela8[[#This Row],[ID]],Tabela1[],6,0),"")</f>
        <v/>
      </c>
      <c r="H277" s="127" t="str">
        <f>IFERROR(VLOOKUP(Tabela8[[#This Row],[ID]],Tabela1[],7,0),"")</f>
        <v/>
      </c>
      <c r="I277" s="126"/>
      <c r="J277" s="126"/>
      <c r="K277" s="129" t="str">
        <f>IFERROR(VLOOKUP(Tabela8[[#This Row],[ID]],Tabela7[],11,0),"")</f>
        <v/>
      </c>
      <c r="L277" s="130" t="e">
        <f>Tabela8[[#This Row],[Latas a Pagar]]*Tabela9[VALOR LATA]</f>
        <v>#VALUE!</v>
      </c>
    </row>
    <row r="278" spans="2:12" hidden="1" x14ac:dyDescent="0.3">
      <c r="B278" s="127">
        <f>VALUE('CONTROLE DE PRODUÇÃO'!B252)</f>
        <v>0</v>
      </c>
      <c r="C278" s="128" t="str">
        <f>IFERROR(VLOOKUP(Tabela8[[#This Row],[ID]],Tabela7[],2,0),"")</f>
        <v/>
      </c>
      <c r="D278" s="128" t="e">
        <f>VLOOKUP(Tabela8[[#This Row],[ID]],Tabela1[],3,0)</f>
        <v>#N/A</v>
      </c>
      <c r="E278" s="127" t="str">
        <f>IFERROR(VLOOKUP(Tabela8[[#This Row],[ID]],Tabela1[],4,0),"")</f>
        <v/>
      </c>
      <c r="F278" s="127" t="str">
        <f>IFERROR(VLOOKUP(Tabela8[[#This Row],[ID]],Tabela1[],5,0),"")</f>
        <v/>
      </c>
      <c r="G278" s="127" t="str">
        <f>IFERROR(VLOOKUP(Tabela8[[#This Row],[ID]],Tabela1[],6,0),"")</f>
        <v/>
      </c>
      <c r="H278" s="127" t="str">
        <f>IFERROR(VLOOKUP(Tabela8[[#This Row],[ID]],Tabela1[],7,0),"")</f>
        <v/>
      </c>
      <c r="I278" s="126"/>
      <c r="J278" s="126"/>
      <c r="K278" s="129" t="str">
        <f>IFERROR(VLOOKUP(Tabela8[[#This Row],[ID]],Tabela7[],11,0),"")</f>
        <v/>
      </c>
      <c r="L278" s="130" t="e">
        <f>Tabela8[[#This Row],[Latas a Pagar]]*Tabela9[VALOR LATA]</f>
        <v>#VALUE!</v>
      </c>
    </row>
    <row r="279" spans="2:12" hidden="1" x14ac:dyDescent="0.3">
      <c r="B279" s="127">
        <f>VALUE('CONTROLE DE PRODUÇÃO'!B253)</f>
        <v>0</v>
      </c>
      <c r="C279" s="128" t="str">
        <f>IFERROR(VLOOKUP(Tabela8[[#This Row],[ID]],Tabela7[],2,0),"")</f>
        <v/>
      </c>
      <c r="D279" s="128" t="e">
        <f>VLOOKUP(Tabela8[[#This Row],[ID]],Tabela1[],3,0)</f>
        <v>#N/A</v>
      </c>
      <c r="E279" s="127" t="str">
        <f>IFERROR(VLOOKUP(Tabela8[[#This Row],[ID]],Tabela1[],4,0),"")</f>
        <v/>
      </c>
      <c r="F279" s="127" t="str">
        <f>IFERROR(VLOOKUP(Tabela8[[#This Row],[ID]],Tabela1[],5,0),"")</f>
        <v/>
      </c>
      <c r="G279" s="127" t="str">
        <f>IFERROR(VLOOKUP(Tabela8[[#This Row],[ID]],Tabela1[],6,0),"")</f>
        <v/>
      </c>
      <c r="H279" s="127" t="str">
        <f>IFERROR(VLOOKUP(Tabela8[[#This Row],[ID]],Tabela1[],7,0),"")</f>
        <v/>
      </c>
      <c r="I279" s="126"/>
      <c r="J279" s="126"/>
      <c r="K279" s="129" t="str">
        <f>IFERROR(VLOOKUP(Tabela8[[#This Row],[ID]],Tabela7[],11,0),"")</f>
        <v/>
      </c>
      <c r="L279" s="130" t="e">
        <f>Tabela8[[#This Row],[Latas a Pagar]]*Tabela9[VALOR LATA]</f>
        <v>#VALUE!</v>
      </c>
    </row>
    <row r="280" spans="2:12" hidden="1" x14ac:dyDescent="0.3">
      <c r="B280" s="127">
        <f>VALUE('CONTROLE DE PRODUÇÃO'!B254)</f>
        <v>0</v>
      </c>
      <c r="C280" s="128" t="str">
        <f>IFERROR(VLOOKUP(Tabela8[[#This Row],[ID]],Tabela7[],2,0),"")</f>
        <v/>
      </c>
      <c r="D280" s="128" t="e">
        <f>VLOOKUP(Tabela8[[#This Row],[ID]],Tabela1[],3,0)</f>
        <v>#N/A</v>
      </c>
      <c r="E280" s="127" t="str">
        <f>IFERROR(VLOOKUP(Tabela8[[#This Row],[ID]],Tabela1[],4,0),"")</f>
        <v/>
      </c>
      <c r="F280" s="127" t="str">
        <f>IFERROR(VLOOKUP(Tabela8[[#This Row],[ID]],Tabela1[],5,0),"")</f>
        <v/>
      </c>
      <c r="G280" s="127" t="str">
        <f>IFERROR(VLOOKUP(Tabela8[[#This Row],[ID]],Tabela1[],6,0),"")</f>
        <v/>
      </c>
      <c r="H280" s="127" t="str">
        <f>IFERROR(VLOOKUP(Tabela8[[#This Row],[ID]],Tabela1[],7,0),"")</f>
        <v/>
      </c>
      <c r="I280" s="126"/>
      <c r="J280" s="126"/>
      <c r="K280" s="129" t="str">
        <f>IFERROR(VLOOKUP(Tabela8[[#This Row],[ID]],Tabela7[],11,0),"")</f>
        <v/>
      </c>
      <c r="L280" s="130" t="e">
        <f>Tabela8[[#This Row],[Latas a Pagar]]*Tabela9[VALOR LATA]</f>
        <v>#VALUE!</v>
      </c>
    </row>
    <row r="281" spans="2:12" hidden="1" x14ac:dyDescent="0.3">
      <c r="B281" s="127">
        <f>VALUE('CONTROLE DE PRODUÇÃO'!B255)</f>
        <v>0</v>
      </c>
      <c r="C281" s="128" t="str">
        <f>IFERROR(VLOOKUP(Tabela8[[#This Row],[ID]],Tabela7[],2,0),"")</f>
        <v/>
      </c>
      <c r="D281" s="128" t="e">
        <f>VLOOKUP(Tabela8[[#This Row],[ID]],Tabela1[],3,0)</f>
        <v>#N/A</v>
      </c>
      <c r="E281" s="127" t="str">
        <f>IFERROR(VLOOKUP(Tabela8[[#This Row],[ID]],Tabela1[],4,0),"")</f>
        <v/>
      </c>
      <c r="F281" s="127" t="str">
        <f>IFERROR(VLOOKUP(Tabela8[[#This Row],[ID]],Tabela1[],5,0),"")</f>
        <v/>
      </c>
      <c r="G281" s="127" t="str">
        <f>IFERROR(VLOOKUP(Tabela8[[#This Row],[ID]],Tabela1[],6,0),"")</f>
        <v/>
      </c>
      <c r="H281" s="127" t="str">
        <f>IFERROR(VLOOKUP(Tabela8[[#This Row],[ID]],Tabela1[],7,0),"")</f>
        <v/>
      </c>
      <c r="I281" s="126"/>
      <c r="J281" s="126"/>
      <c r="K281" s="129" t="str">
        <f>IFERROR(VLOOKUP(Tabela8[[#This Row],[ID]],Tabela7[],11,0),"")</f>
        <v/>
      </c>
      <c r="L281" s="130" t="e">
        <f>Tabela8[[#This Row],[Latas a Pagar]]*Tabela9[VALOR LATA]</f>
        <v>#VALUE!</v>
      </c>
    </row>
    <row r="282" spans="2:12" hidden="1" x14ac:dyDescent="0.3">
      <c r="B282" s="127">
        <f>VALUE('CONTROLE DE PRODUÇÃO'!B256)</f>
        <v>0</v>
      </c>
      <c r="C282" s="128" t="str">
        <f>IFERROR(VLOOKUP(Tabela8[[#This Row],[ID]],Tabela7[],2,0),"")</f>
        <v/>
      </c>
      <c r="D282" s="128" t="e">
        <f>VLOOKUP(Tabela8[[#This Row],[ID]],Tabela1[],3,0)</f>
        <v>#N/A</v>
      </c>
      <c r="E282" s="127" t="str">
        <f>IFERROR(VLOOKUP(Tabela8[[#This Row],[ID]],Tabela1[],4,0),"")</f>
        <v/>
      </c>
      <c r="F282" s="127" t="str">
        <f>IFERROR(VLOOKUP(Tabela8[[#This Row],[ID]],Tabela1[],5,0),"")</f>
        <v/>
      </c>
      <c r="G282" s="127" t="str">
        <f>IFERROR(VLOOKUP(Tabela8[[#This Row],[ID]],Tabela1[],6,0),"")</f>
        <v/>
      </c>
      <c r="H282" s="127" t="str">
        <f>IFERROR(VLOOKUP(Tabela8[[#This Row],[ID]],Tabela1[],7,0),"")</f>
        <v/>
      </c>
      <c r="I282" s="126"/>
      <c r="J282" s="126"/>
      <c r="K282" s="129" t="str">
        <f>IFERROR(VLOOKUP(Tabela8[[#This Row],[ID]],Tabela7[],11,0),"")</f>
        <v/>
      </c>
      <c r="L282" s="130" t="e">
        <f>Tabela8[[#This Row],[Latas a Pagar]]*Tabela9[VALOR LATA]</f>
        <v>#VALUE!</v>
      </c>
    </row>
    <row r="283" spans="2:12" hidden="1" x14ac:dyDescent="0.3">
      <c r="B283" s="127">
        <f>VALUE('CONTROLE DE PRODUÇÃO'!B257)</f>
        <v>0</v>
      </c>
      <c r="C283" s="128" t="str">
        <f>IFERROR(VLOOKUP(Tabela8[[#This Row],[ID]],Tabela7[],2,0),"")</f>
        <v/>
      </c>
      <c r="D283" s="128" t="e">
        <f>VLOOKUP(Tabela8[[#This Row],[ID]],Tabela1[],3,0)</f>
        <v>#N/A</v>
      </c>
      <c r="E283" s="127" t="str">
        <f>IFERROR(VLOOKUP(Tabela8[[#This Row],[ID]],Tabela1[],4,0),"")</f>
        <v/>
      </c>
      <c r="F283" s="127" t="str">
        <f>IFERROR(VLOOKUP(Tabela8[[#This Row],[ID]],Tabela1[],5,0),"")</f>
        <v/>
      </c>
      <c r="G283" s="127" t="str">
        <f>IFERROR(VLOOKUP(Tabela8[[#This Row],[ID]],Tabela1[],6,0),"")</f>
        <v/>
      </c>
      <c r="H283" s="127" t="str">
        <f>IFERROR(VLOOKUP(Tabela8[[#This Row],[ID]],Tabela1[],7,0),"")</f>
        <v/>
      </c>
      <c r="I283" s="126"/>
      <c r="J283" s="126"/>
      <c r="K283" s="129" t="str">
        <f>IFERROR(VLOOKUP(Tabela8[[#This Row],[ID]],Tabela7[],11,0),"")</f>
        <v/>
      </c>
      <c r="L283" s="130" t="e">
        <f>Tabela8[[#This Row],[Latas a Pagar]]*Tabela9[VALOR LATA]</f>
        <v>#VALUE!</v>
      </c>
    </row>
    <row r="284" spans="2:12" hidden="1" x14ac:dyDescent="0.3">
      <c r="B284" s="127">
        <f>VALUE('CONTROLE DE PRODUÇÃO'!B258)</f>
        <v>0</v>
      </c>
      <c r="C284" s="128" t="str">
        <f>IFERROR(VLOOKUP(Tabela8[[#This Row],[ID]],Tabela7[],2,0),"")</f>
        <v/>
      </c>
      <c r="D284" s="128" t="e">
        <f>VLOOKUP(Tabela8[[#This Row],[ID]],Tabela1[],3,0)</f>
        <v>#N/A</v>
      </c>
      <c r="E284" s="127" t="str">
        <f>IFERROR(VLOOKUP(Tabela8[[#This Row],[ID]],Tabela1[],4,0),"")</f>
        <v/>
      </c>
      <c r="F284" s="127" t="str">
        <f>IFERROR(VLOOKUP(Tabela8[[#This Row],[ID]],Tabela1[],5,0),"")</f>
        <v/>
      </c>
      <c r="G284" s="127" t="str">
        <f>IFERROR(VLOOKUP(Tabela8[[#This Row],[ID]],Tabela1[],6,0),"")</f>
        <v/>
      </c>
      <c r="H284" s="127" t="str">
        <f>IFERROR(VLOOKUP(Tabela8[[#This Row],[ID]],Tabela1[],7,0),"")</f>
        <v/>
      </c>
      <c r="I284" s="126"/>
      <c r="J284" s="126"/>
      <c r="K284" s="129" t="str">
        <f>IFERROR(VLOOKUP(Tabela8[[#This Row],[ID]],Tabela7[],11,0),"")</f>
        <v/>
      </c>
      <c r="L284" s="130" t="e">
        <f>Tabela8[[#This Row],[Latas a Pagar]]*Tabela9[VALOR LATA]</f>
        <v>#VALUE!</v>
      </c>
    </row>
    <row r="285" spans="2:12" hidden="1" x14ac:dyDescent="0.3">
      <c r="B285" s="127">
        <f>VALUE('CONTROLE DE PRODUÇÃO'!B259)</f>
        <v>0</v>
      </c>
      <c r="C285" s="128" t="str">
        <f>IFERROR(VLOOKUP(Tabela8[[#This Row],[ID]],Tabela7[],2,0),"")</f>
        <v/>
      </c>
      <c r="D285" s="128" t="e">
        <f>VLOOKUP(Tabela8[[#This Row],[ID]],Tabela1[],3,0)</f>
        <v>#N/A</v>
      </c>
      <c r="E285" s="127" t="str">
        <f>IFERROR(VLOOKUP(Tabela8[[#This Row],[ID]],Tabela1[],4,0),"")</f>
        <v/>
      </c>
      <c r="F285" s="127" t="str">
        <f>IFERROR(VLOOKUP(Tabela8[[#This Row],[ID]],Tabela1[],5,0),"")</f>
        <v/>
      </c>
      <c r="G285" s="127" t="str">
        <f>IFERROR(VLOOKUP(Tabela8[[#This Row],[ID]],Tabela1[],6,0),"")</f>
        <v/>
      </c>
      <c r="H285" s="127" t="str">
        <f>IFERROR(VLOOKUP(Tabela8[[#This Row],[ID]],Tabela1[],7,0),"")</f>
        <v/>
      </c>
      <c r="I285" s="126"/>
      <c r="J285" s="126"/>
      <c r="K285" s="129" t="str">
        <f>IFERROR(VLOOKUP(Tabela8[[#This Row],[ID]],Tabela7[],11,0),"")</f>
        <v/>
      </c>
      <c r="L285" s="130" t="e">
        <f>Tabela8[[#This Row],[Latas a Pagar]]*Tabela9[VALOR LATA]</f>
        <v>#VALUE!</v>
      </c>
    </row>
    <row r="286" spans="2:12" hidden="1" x14ac:dyDescent="0.3">
      <c r="B286" s="127">
        <f>VALUE('CONTROLE DE PRODUÇÃO'!B260)</f>
        <v>0</v>
      </c>
      <c r="C286" s="128" t="str">
        <f>IFERROR(VLOOKUP(Tabela8[[#This Row],[ID]],Tabela7[],2,0),"")</f>
        <v/>
      </c>
      <c r="D286" s="128" t="e">
        <f>VLOOKUP(Tabela8[[#This Row],[ID]],Tabela1[],3,0)</f>
        <v>#N/A</v>
      </c>
      <c r="E286" s="127" t="str">
        <f>IFERROR(VLOOKUP(Tabela8[[#This Row],[ID]],Tabela1[],4,0),"")</f>
        <v/>
      </c>
      <c r="F286" s="127" t="str">
        <f>IFERROR(VLOOKUP(Tabela8[[#This Row],[ID]],Tabela1[],5,0),"")</f>
        <v/>
      </c>
      <c r="G286" s="127" t="str">
        <f>IFERROR(VLOOKUP(Tabela8[[#This Row],[ID]],Tabela1[],6,0),"")</f>
        <v/>
      </c>
      <c r="H286" s="127" t="str">
        <f>IFERROR(VLOOKUP(Tabela8[[#This Row],[ID]],Tabela1[],7,0),"")</f>
        <v/>
      </c>
      <c r="I286" s="126"/>
      <c r="J286" s="126"/>
      <c r="K286" s="129" t="str">
        <f>IFERROR(VLOOKUP(Tabela8[[#This Row],[ID]],Tabela7[],11,0),"")</f>
        <v/>
      </c>
      <c r="L286" s="130" t="e">
        <f>Tabela8[[#This Row],[Latas a Pagar]]*Tabela9[VALOR LATA]</f>
        <v>#VALUE!</v>
      </c>
    </row>
    <row r="287" spans="2:12" hidden="1" x14ac:dyDescent="0.3">
      <c r="B287" s="127">
        <f>VALUE('CONTROLE DE PRODUÇÃO'!B261)</f>
        <v>0</v>
      </c>
      <c r="C287" s="128" t="str">
        <f>IFERROR(VLOOKUP(Tabela8[[#This Row],[ID]],Tabela7[],2,0),"")</f>
        <v/>
      </c>
      <c r="D287" s="128" t="e">
        <f>VLOOKUP(Tabela8[[#This Row],[ID]],Tabela1[],3,0)</f>
        <v>#N/A</v>
      </c>
      <c r="E287" s="127" t="str">
        <f>IFERROR(VLOOKUP(Tabela8[[#This Row],[ID]],Tabela1[],4,0),"")</f>
        <v/>
      </c>
      <c r="F287" s="127" t="str">
        <f>IFERROR(VLOOKUP(Tabela8[[#This Row],[ID]],Tabela1[],5,0),"")</f>
        <v/>
      </c>
      <c r="G287" s="127" t="str">
        <f>IFERROR(VLOOKUP(Tabela8[[#This Row],[ID]],Tabela1[],6,0),"")</f>
        <v/>
      </c>
      <c r="H287" s="127" t="str">
        <f>IFERROR(VLOOKUP(Tabela8[[#This Row],[ID]],Tabela1[],7,0),"")</f>
        <v/>
      </c>
      <c r="I287" s="126"/>
      <c r="J287" s="126"/>
      <c r="K287" s="129" t="str">
        <f>IFERROR(VLOOKUP(Tabela8[[#This Row],[ID]],Tabela7[],11,0),"")</f>
        <v/>
      </c>
      <c r="L287" s="130" t="e">
        <f>Tabela8[[#This Row],[Latas a Pagar]]*Tabela9[VALOR LATA]</f>
        <v>#VALUE!</v>
      </c>
    </row>
    <row r="288" spans="2:12" hidden="1" x14ac:dyDescent="0.3">
      <c r="B288" s="127">
        <f>VALUE('CONTROLE DE PRODUÇÃO'!B262)</f>
        <v>0</v>
      </c>
      <c r="C288" s="128" t="str">
        <f>IFERROR(VLOOKUP(Tabela8[[#This Row],[ID]],Tabela7[],2,0),"")</f>
        <v/>
      </c>
      <c r="D288" s="128" t="e">
        <f>VLOOKUP(Tabela8[[#This Row],[ID]],Tabela1[],3,0)</f>
        <v>#N/A</v>
      </c>
      <c r="E288" s="127" t="str">
        <f>IFERROR(VLOOKUP(Tabela8[[#This Row],[ID]],Tabela1[],4,0),"")</f>
        <v/>
      </c>
      <c r="F288" s="127" t="str">
        <f>IFERROR(VLOOKUP(Tabela8[[#This Row],[ID]],Tabela1[],5,0),"")</f>
        <v/>
      </c>
      <c r="G288" s="127" t="str">
        <f>IFERROR(VLOOKUP(Tabela8[[#This Row],[ID]],Tabela1[],6,0),"")</f>
        <v/>
      </c>
      <c r="H288" s="127" t="str">
        <f>IFERROR(VLOOKUP(Tabela8[[#This Row],[ID]],Tabela1[],7,0),"")</f>
        <v/>
      </c>
      <c r="I288" s="126"/>
      <c r="J288" s="126"/>
      <c r="K288" s="129" t="str">
        <f>IFERROR(VLOOKUP(Tabela8[[#This Row],[ID]],Tabela7[],11,0),"")</f>
        <v/>
      </c>
      <c r="L288" s="130" t="e">
        <f>Tabela8[[#This Row],[Latas a Pagar]]*Tabela9[VALOR LATA]</f>
        <v>#VALUE!</v>
      </c>
    </row>
    <row r="289" spans="2:12" hidden="1" x14ac:dyDescent="0.3">
      <c r="B289" s="127">
        <f>VALUE('CONTROLE DE PRODUÇÃO'!B263)</f>
        <v>0</v>
      </c>
      <c r="C289" s="128" t="str">
        <f>IFERROR(VLOOKUP(Tabela8[[#This Row],[ID]],Tabela7[],2,0),"")</f>
        <v/>
      </c>
      <c r="D289" s="128" t="e">
        <f>VLOOKUP(Tabela8[[#This Row],[ID]],Tabela1[],3,0)</f>
        <v>#N/A</v>
      </c>
      <c r="E289" s="127" t="str">
        <f>IFERROR(VLOOKUP(Tabela8[[#This Row],[ID]],Tabela1[],4,0),"")</f>
        <v/>
      </c>
      <c r="F289" s="127" t="str">
        <f>IFERROR(VLOOKUP(Tabela8[[#This Row],[ID]],Tabela1[],5,0),"")</f>
        <v/>
      </c>
      <c r="G289" s="127" t="str">
        <f>IFERROR(VLOOKUP(Tabela8[[#This Row],[ID]],Tabela1[],6,0),"")</f>
        <v/>
      </c>
      <c r="H289" s="127" t="str">
        <f>IFERROR(VLOOKUP(Tabela8[[#This Row],[ID]],Tabela1[],7,0),"")</f>
        <v/>
      </c>
      <c r="I289" s="126"/>
      <c r="J289" s="126"/>
      <c r="K289" s="129" t="str">
        <f>IFERROR(VLOOKUP(Tabela8[[#This Row],[ID]],Tabela7[],11,0),"")</f>
        <v/>
      </c>
      <c r="L289" s="130" t="e">
        <f>Tabela8[[#This Row],[Latas a Pagar]]*Tabela9[VALOR LATA]</f>
        <v>#VALUE!</v>
      </c>
    </row>
    <row r="290" spans="2:12" hidden="1" x14ac:dyDescent="0.3">
      <c r="B290" s="127">
        <f>VALUE('CONTROLE DE PRODUÇÃO'!B264)</f>
        <v>0</v>
      </c>
      <c r="C290" s="128" t="str">
        <f>IFERROR(VLOOKUP(Tabela8[[#This Row],[ID]],Tabela7[],2,0),"")</f>
        <v/>
      </c>
      <c r="D290" s="128" t="e">
        <f>VLOOKUP(Tabela8[[#This Row],[ID]],Tabela1[],3,0)</f>
        <v>#N/A</v>
      </c>
      <c r="E290" s="127" t="str">
        <f>IFERROR(VLOOKUP(Tabela8[[#This Row],[ID]],Tabela1[],4,0),"")</f>
        <v/>
      </c>
      <c r="F290" s="127" t="str">
        <f>IFERROR(VLOOKUP(Tabela8[[#This Row],[ID]],Tabela1[],5,0),"")</f>
        <v/>
      </c>
      <c r="G290" s="127" t="str">
        <f>IFERROR(VLOOKUP(Tabela8[[#This Row],[ID]],Tabela1[],6,0),"")</f>
        <v/>
      </c>
      <c r="H290" s="127" t="str">
        <f>IFERROR(VLOOKUP(Tabela8[[#This Row],[ID]],Tabela1[],7,0),"")</f>
        <v/>
      </c>
      <c r="I290" s="126"/>
      <c r="J290" s="126"/>
      <c r="K290" s="129" t="str">
        <f>IFERROR(VLOOKUP(Tabela8[[#This Row],[ID]],Tabela7[],11,0),"")</f>
        <v/>
      </c>
      <c r="L290" s="130" t="e">
        <f>Tabela8[[#This Row],[Latas a Pagar]]*Tabela9[VALOR LATA]</f>
        <v>#VALUE!</v>
      </c>
    </row>
    <row r="291" spans="2:12" hidden="1" x14ac:dyDescent="0.3">
      <c r="B291" s="127">
        <f>VALUE('CONTROLE DE PRODUÇÃO'!B265)</f>
        <v>0</v>
      </c>
      <c r="C291" s="128" t="str">
        <f>IFERROR(VLOOKUP(Tabela8[[#This Row],[ID]],Tabela7[],2,0),"")</f>
        <v/>
      </c>
      <c r="D291" s="128" t="e">
        <f>VLOOKUP(Tabela8[[#This Row],[ID]],Tabela1[],3,0)</f>
        <v>#N/A</v>
      </c>
      <c r="E291" s="127" t="str">
        <f>IFERROR(VLOOKUP(Tabela8[[#This Row],[ID]],Tabela1[],4,0),"")</f>
        <v/>
      </c>
      <c r="F291" s="127" t="str">
        <f>IFERROR(VLOOKUP(Tabela8[[#This Row],[ID]],Tabela1[],5,0),"")</f>
        <v/>
      </c>
      <c r="G291" s="127" t="str">
        <f>IFERROR(VLOOKUP(Tabela8[[#This Row],[ID]],Tabela1[],6,0),"")</f>
        <v/>
      </c>
      <c r="H291" s="127" t="str">
        <f>IFERROR(VLOOKUP(Tabela8[[#This Row],[ID]],Tabela1[],7,0),"")</f>
        <v/>
      </c>
      <c r="I291" s="126"/>
      <c r="J291" s="126"/>
      <c r="K291" s="129" t="str">
        <f>IFERROR(VLOOKUP(Tabela8[[#This Row],[ID]],Tabela7[],11,0),"")</f>
        <v/>
      </c>
      <c r="L291" s="130" t="e">
        <f>Tabela8[[#This Row],[Latas a Pagar]]*Tabela9[VALOR LATA]</f>
        <v>#VALUE!</v>
      </c>
    </row>
    <row r="292" spans="2:12" hidden="1" x14ac:dyDescent="0.3">
      <c r="B292" s="127">
        <f>VALUE('CONTROLE DE PRODUÇÃO'!B266)</f>
        <v>0</v>
      </c>
      <c r="C292" s="128" t="str">
        <f>IFERROR(VLOOKUP(Tabela8[[#This Row],[ID]],Tabela7[],2,0),"")</f>
        <v/>
      </c>
      <c r="D292" s="128" t="e">
        <f>VLOOKUP(Tabela8[[#This Row],[ID]],Tabela1[],3,0)</f>
        <v>#N/A</v>
      </c>
      <c r="E292" s="127" t="str">
        <f>IFERROR(VLOOKUP(Tabela8[[#This Row],[ID]],Tabela1[],4,0),"")</f>
        <v/>
      </c>
      <c r="F292" s="127" t="str">
        <f>IFERROR(VLOOKUP(Tabela8[[#This Row],[ID]],Tabela1[],5,0),"")</f>
        <v/>
      </c>
      <c r="G292" s="127" t="str">
        <f>IFERROR(VLOOKUP(Tabela8[[#This Row],[ID]],Tabela1[],6,0),"")</f>
        <v/>
      </c>
      <c r="H292" s="127" t="str">
        <f>IFERROR(VLOOKUP(Tabela8[[#This Row],[ID]],Tabela1[],7,0),"")</f>
        <v/>
      </c>
      <c r="I292" s="126"/>
      <c r="J292" s="126"/>
      <c r="K292" s="129" t="str">
        <f>IFERROR(VLOOKUP(Tabela8[[#This Row],[ID]],Tabela7[],11,0),"")</f>
        <v/>
      </c>
      <c r="L292" s="130" t="e">
        <f>Tabela8[[#This Row],[Latas a Pagar]]*Tabela9[VALOR LATA]</f>
        <v>#VALUE!</v>
      </c>
    </row>
    <row r="293" spans="2:12" hidden="1" x14ac:dyDescent="0.3">
      <c r="B293" s="127">
        <f>VALUE('CONTROLE DE PRODUÇÃO'!B267)</f>
        <v>0</v>
      </c>
      <c r="C293" s="128" t="str">
        <f>IFERROR(VLOOKUP(Tabela8[[#This Row],[ID]],Tabela7[],2,0),"")</f>
        <v/>
      </c>
      <c r="D293" s="128" t="e">
        <f>VLOOKUP(Tabela8[[#This Row],[ID]],Tabela1[],3,0)</f>
        <v>#N/A</v>
      </c>
      <c r="E293" s="127" t="str">
        <f>IFERROR(VLOOKUP(Tabela8[[#This Row],[ID]],Tabela1[],4,0),"")</f>
        <v/>
      </c>
      <c r="F293" s="127" t="str">
        <f>IFERROR(VLOOKUP(Tabela8[[#This Row],[ID]],Tabela1[],5,0),"")</f>
        <v/>
      </c>
      <c r="G293" s="127" t="str">
        <f>IFERROR(VLOOKUP(Tabela8[[#This Row],[ID]],Tabela1[],6,0),"")</f>
        <v/>
      </c>
      <c r="H293" s="127" t="str">
        <f>IFERROR(VLOOKUP(Tabela8[[#This Row],[ID]],Tabela1[],7,0),"")</f>
        <v/>
      </c>
      <c r="I293" s="126"/>
      <c r="J293" s="126"/>
      <c r="K293" s="129" t="str">
        <f>IFERROR(VLOOKUP(Tabela8[[#This Row],[ID]],Tabela7[],11,0),"")</f>
        <v/>
      </c>
      <c r="L293" s="130" t="e">
        <f>Tabela8[[#This Row],[Latas a Pagar]]*Tabela9[VALOR LATA]</f>
        <v>#VALUE!</v>
      </c>
    </row>
    <row r="294" spans="2:12" hidden="1" x14ac:dyDescent="0.3">
      <c r="B294" s="127">
        <f>VALUE('CONTROLE DE PRODUÇÃO'!B268)</f>
        <v>0</v>
      </c>
      <c r="C294" s="128" t="str">
        <f>IFERROR(VLOOKUP(Tabela8[[#This Row],[ID]],Tabela7[],2,0),"")</f>
        <v/>
      </c>
      <c r="D294" s="128" t="e">
        <f>VLOOKUP(Tabela8[[#This Row],[ID]],Tabela1[],3,0)</f>
        <v>#N/A</v>
      </c>
      <c r="E294" s="127" t="str">
        <f>IFERROR(VLOOKUP(Tabela8[[#This Row],[ID]],Tabela1[],4,0),"")</f>
        <v/>
      </c>
      <c r="F294" s="127" t="str">
        <f>IFERROR(VLOOKUP(Tabela8[[#This Row],[ID]],Tabela1[],5,0),"")</f>
        <v/>
      </c>
      <c r="G294" s="127" t="str">
        <f>IFERROR(VLOOKUP(Tabela8[[#This Row],[ID]],Tabela1[],6,0),"")</f>
        <v/>
      </c>
      <c r="H294" s="127" t="str">
        <f>IFERROR(VLOOKUP(Tabela8[[#This Row],[ID]],Tabela1[],7,0),"")</f>
        <v/>
      </c>
      <c r="I294" s="126"/>
      <c r="J294" s="126"/>
      <c r="K294" s="129" t="str">
        <f>IFERROR(VLOOKUP(Tabela8[[#This Row],[ID]],Tabela7[],11,0),"")</f>
        <v/>
      </c>
      <c r="L294" s="130" t="e">
        <f>Tabela8[[#This Row],[Latas a Pagar]]*Tabela9[VALOR LATA]</f>
        <v>#VALUE!</v>
      </c>
    </row>
    <row r="295" spans="2:12" hidden="1" x14ac:dyDescent="0.3">
      <c r="B295" s="127">
        <f>VALUE('CONTROLE DE PRODUÇÃO'!B269)</f>
        <v>0</v>
      </c>
      <c r="C295" s="128" t="str">
        <f>IFERROR(VLOOKUP(Tabela8[[#This Row],[ID]],Tabela7[],2,0),"")</f>
        <v/>
      </c>
      <c r="D295" s="128" t="e">
        <f>VLOOKUP(Tabela8[[#This Row],[ID]],Tabela1[],3,0)</f>
        <v>#N/A</v>
      </c>
      <c r="E295" s="127" t="str">
        <f>IFERROR(VLOOKUP(Tabela8[[#This Row],[ID]],Tabela1[],4,0),"")</f>
        <v/>
      </c>
      <c r="F295" s="127" t="str">
        <f>IFERROR(VLOOKUP(Tabela8[[#This Row],[ID]],Tabela1[],5,0),"")</f>
        <v/>
      </c>
      <c r="G295" s="127" t="str">
        <f>IFERROR(VLOOKUP(Tabela8[[#This Row],[ID]],Tabela1[],6,0),"")</f>
        <v/>
      </c>
      <c r="H295" s="127" t="str">
        <f>IFERROR(VLOOKUP(Tabela8[[#This Row],[ID]],Tabela1[],7,0),"")</f>
        <v/>
      </c>
      <c r="I295" s="126"/>
      <c r="J295" s="126"/>
      <c r="K295" s="129" t="str">
        <f>IFERROR(VLOOKUP(Tabela8[[#This Row],[ID]],Tabela7[],11,0),"")</f>
        <v/>
      </c>
      <c r="L295" s="130" t="e">
        <f>Tabela8[[#This Row],[Latas a Pagar]]*Tabela9[VALOR LATA]</f>
        <v>#VALUE!</v>
      </c>
    </row>
    <row r="296" spans="2:12" hidden="1" x14ac:dyDescent="0.3">
      <c r="B296" s="127">
        <f>VALUE('CONTROLE DE PRODUÇÃO'!B270)</f>
        <v>0</v>
      </c>
      <c r="C296" s="128" t="str">
        <f>IFERROR(VLOOKUP(Tabela8[[#This Row],[ID]],Tabela7[],2,0),"")</f>
        <v/>
      </c>
      <c r="D296" s="128" t="e">
        <f>VLOOKUP(Tabela8[[#This Row],[ID]],Tabela1[],3,0)</f>
        <v>#N/A</v>
      </c>
      <c r="E296" s="127" t="str">
        <f>IFERROR(VLOOKUP(Tabela8[[#This Row],[ID]],Tabela1[],4,0),"")</f>
        <v/>
      </c>
      <c r="F296" s="127" t="str">
        <f>IFERROR(VLOOKUP(Tabela8[[#This Row],[ID]],Tabela1[],5,0),"")</f>
        <v/>
      </c>
      <c r="G296" s="127" t="str">
        <f>IFERROR(VLOOKUP(Tabela8[[#This Row],[ID]],Tabela1[],6,0),"")</f>
        <v/>
      </c>
      <c r="H296" s="127" t="str">
        <f>IFERROR(VLOOKUP(Tabela8[[#This Row],[ID]],Tabela1[],7,0),"")</f>
        <v/>
      </c>
      <c r="I296" s="126"/>
      <c r="J296" s="126"/>
      <c r="K296" s="129" t="str">
        <f>IFERROR(VLOOKUP(Tabela8[[#This Row],[ID]],Tabela7[],11,0),"")</f>
        <v/>
      </c>
      <c r="L296" s="130" t="e">
        <f>Tabela8[[#This Row],[Latas a Pagar]]*Tabela9[VALOR LATA]</f>
        <v>#VALUE!</v>
      </c>
    </row>
    <row r="297" spans="2:12" hidden="1" x14ac:dyDescent="0.3">
      <c r="B297" s="127">
        <f>VALUE('CONTROLE DE PRODUÇÃO'!B271)</f>
        <v>0</v>
      </c>
      <c r="C297" s="128" t="str">
        <f>IFERROR(VLOOKUP(Tabela8[[#This Row],[ID]],Tabela7[],2,0),"")</f>
        <v/>
      </c>
      <c r="D297" s="128" t="e">
        <f>VLOOKUP(Tabela8[[#This Row],[ID]],Tabela1[],3,0)</f>
        <v>#N/A</v>
      </c>
      <c r="E297" s="127" t="str">
        <f>IFERROR(VLOOKUP(Tabela8[[#This Row],[ID]],Tabela1[],4,0),"")</f>
        <v/>
      </c>
      <c r="F297" s="127" t="str">
        <f>IFERROR(VLOOKUP(Tabela8[[#This Row],[ID]],Tabela1[],5,0),"")</f>
        <v/>
      </c>
      <c r="G297" s="127" t="str">
        <f>IFERROR(VLOOKUP(Tabela8[[#This Row],[ID]],Tabela1[],6,0),"")</f>
        <v/>
      </c>
      <c r="H297" s="127" t="str">
        <f>IFERROR(VLOOKUP(Tabela8[[#This Row],[ID]],Tabela1[],7,0),"")</f>
        <v/>
      </c>
      <c r="I297" s="126"/>
      <c r="J297" s="126"/>
      <c r="K297" s="129" t="str">
        <f>IFERROR(VLOOKUP(Tabela8[[#This Row],[ID]],Tabela7[],11,0),"")</f>
        <v/>
      </c>
      <c r="L297" s="130" t="e">
        <f>Tabela8[[#This Row],[Latas a Pagar]]*Tabela9[VALOR LATA]</f>
        <v>#VALUE!</v>
      </c>
    </row>
    <row r="298" spans="2:12" hidden="1" x14ac:dyDescent="0.3">
      <c r="B298" s="127">
        <f>VALUE('CONTROLE DE PRODUÇÃO'!B250)</f>
        <v>0</v>
      </c>
      <c r="C298" s="128" t="str">
        <f>IFERROR(VLOOKUP(Tabela8[[#This Row],[ID]],Tabela7[],2,0),"")</f>
        <v/>
      </c>
      <c r="D298" s="128" t="e">
        <f>VLOOKUP(Tabela8[[#This Row],[ID]],Tabela1[],3,0)</f>
        <v>#N/A</v>
      </c>
      <c r="E298" s="127" t="str">
        <f>IFERROR(VLOOKUP(Tabela8[[#This Row],[ID]],Tabela1[],4,0),"")</f>
        <v/>
      </c>
      <c r="F298" s="127" t="str">
        <f>IFERROR(VLOOKUP(Tabela8[[#This Row],[ID]],Tabela1[],5,0),"")</f>
        <v/>
      </c>
      <c r="G298" s="127" t="str">
        <f>IFERROR(VLOOKUP(Tabela8[[#This Row],[ID]],Tabela1[],6,0),"")</f>
        <v/>
      </c>
      <c r="H298" s="127" t="str">
        <f>IFERROR(VLOOKUP(Tabela8[[#This Row],[ID]],Tabela1[],7,0),"")</f>
        <v/>
      </c>
      <c r="I298" s="126"/>
      <c r="J298" s="126"/>
      <c r="K298" s="129" t="str">
        <f>IFERROR(VLOOKUP(Tabela8[[#This Row],[ID]],Tabela7[],11,0),"")</f>
        <v/>
      </c>
      <c r="L298" s="130" t="e">
        <f>Tabela8[[#This Row],[Latas a Pagar]]*Tabela9[VALOR LATA]</f>
        <v>#VALUE!</v>
      </c>
    </row>
    <row r="299" spans="2:12" hidden="1" x14ac:dyDescent="0.3">
      <c r="B299" s="127">
        <f>VALUE('CONTROLE DE PRODUÇÃO'!B251)</f>
        <v>0</v>
      </c>
      <c r="C299" s="128" t="str">
        <f>IFERROR(VLOOKUP(Tabela8[[#This Row],[ID]],Tabela7[],2,0),"")</f>
        <v/>
      </c>
      <c r="D299" s="128" t="e">
        <f>VLOOKUP(Tabela8[[#This Row],[ID]],Tabela1[],3,0)</f>
        <v>#N/A</v>
      </c>
      <c r="E299" s="127" t="str">
        <f>IFERROR(VLOOKUP(Tabela8[[#This Row],[ID]],Tabela1[],4,0),"")</f>
        <v/>
      </c>
      <c r="F299" s="127" t="str">
        <f>IFERROR(VLOOKUP(Tabela8[[#This Row],[ID]],Tabela1[],5,0),"")</f>
        <v/>
      </c>
      <c r="G299" s="127" t="str">
        <f>IFERROR(VLOOKUP(Tabela8[[#This Row],[ID]],Tabela1[],6,0),"")</f>
        <v/>
      </c>
      <c r="H299" s="127" t="str">
        <f>IFERROR(VLOOKUP(Tabela8[[#This Row],[ID]],Tabela1[],7,0),"")</f>
        <v/>
      </c>
      <c r="I299" s="126"/>
      <c r="J299" s="126"/>
      <c r="K299" s="129" t="str">
        <f>IFERROR(VLOOKUP(Tabela8[[#This Row],[ID]],Tabela7[],11,0),"")</f>
        <v/>
      </c>
      <c r="L299" s="130" t="e">
        <f>Tabela8[[#This Row],[Latas a Pagar]]*Tabela9[VALOR LATA]</f>
        <v>#VALUE!</v>
      </c>
    </row>
    <row r="300" spans="2:12" hidden="1" x14ac:dyDescent="0.3">
      <c r="B300" s="127">
        <f>VALUE('CONTROLE DE PRODUÇÃO'!B252)</f>
        <v>0</v>
      </c>
      <c r="C300" s="128" t="str">
        <f>IFERROR(VLOOKUP(Tabela8[[#This Row],[ID]],Tabela7[],2,0),"")</f>
        <v/>
      </c>
      <c r="D300" s="128" t="e">
        <f>VLOOKUP(Tabela8[[#This Row],[ID]],Tabela1[],3,0)</f>
        <v>#N/A</v>
      </c>
      <c r="E300" s="127" t="str">
        <f>IFERROR(VLOOKUP(Tabela8[[#This Row],[ID]],Tabela1[],4,0),"")</f>
        <v/>
      </c>
      <c r="F300" s="127" t="str">
        <f>IFERROR(VLOOKUP(Tabela8[[#This Row],[ID]],Tabela1[],5,0),"")</f>
        <v/>
      </c>
      <c r="G300" s="127" t="str">
        <f>IFERROR(VLOOKUP(Tabela8[[#This Row],[ID]],Tabela1[],6,0),"")</f>
        <v/>
      </c>
      <c r="H300" s="127" t="str">
        <f>IFERROR(VLOOKUP(Tabela8[[#This Row],[ID]],Tabela1[],7,0),"")</f>
        <v/>
      </c>
      <c r="I300" s="126"/>
      <c r="J300" s="126"/>
      <c r="K300" s="129" t="str">
        <f>IFERROR(VLOOKUP(Tabela8[[#This Row],[ID]],Tabela7[],11,0),"")</f>
        <v/>
      </c>
      <c r="L300" s="130" t="e">
        <f>Tabela8[[#This Row],[Latas a Pagar]]*Tabela9[VALOR LATA]</f>
        <v>#VALUE!</v>
      </c>
    </row>
    <row r="301" spans="2:12" hidden="1" x14ac:dyDescent="0.3">
      <c r="B301" s="127">
        <f>VALUE('CONTROLE DE PRODUÇÃO'!B253)</f>
        <v>0</v>
      </c>
      <c r="C301" s="128" t="str">
        <f>IFERROR(VLOOKUP(Tabela8[[#This Row],[ID]],Tabela7[],2,0),"")</f>
        <v/>
      </c>
      <c r="D301" s="128" t="e">
        <f>VLOOKUP(Tabela8[[#This Row],[ID]],Tabela1[],3,0)</f>
        <v>#N/A</v>
      </c>
      <c r="E301" s="127" t="str">
        <f>IFERROR(VLOOKUP(Tabela8[[#This Row],[ID]],Tabela1[],4,0),"")</f>
        <v/>
      </c>
      <c r="F301" s="127" t="str">
        <f>IFERROR(VLOOKUP(Tabela8[[#This Row],[ID]],Tabela1[],5,0),"")</f>
        <v/>
      </c>
      <c r="G301" s="127" t="str">
        <f>IFERROR(VLOOKUP(Tabela8[[#This Row],[ID]],Tabela1[],6,0),"")</f>
        <v/>
      </c>
      <c r="H301" s="127" t="str">
        <f>IFERROR(VLOOKUP(Tabela8[[#This Row],[ID]],Tabela1[],7,0),"")</f>
        <v/>
      </c>
      <c r="I301" s="126"/>
      <c r="J301" s="126"/>
      <c r="K301" s="129" t="str">
        <f>IFERROR(VLOOKUP(Tabela8[[#This Row],[ID]],Tabela7[],11,0),"")</f>
        <v/>
      </c>
      <c r="L301" s="130" t="e">
        <f>Tabela8[[#This Row],[Latas a Pagar]]*Tabela9[VALOR LATA]</f>
        <v>#VALUE!</v>
      </c>
    </row>
    <row r="302" spans="2:12" hidden="1" x14ac:dyDescent="0.3">
      <c r="B302" s="127">
        <f>VALUE('CONTROLE DE PRODUÇÃO'!B254)</f>
        <v>0</v>
      </c>
      <c r="C302" s="128" t="str">
        <f>IFERROR(VLOOKUP(Tabela8[[#This Row],[ID]],Tabela7[],2,0),"")</f>
        <v/>
      </c>
      <c r="D302" s="128" t="e">
        <f>VLOOKUP(Tabela8[[#This Row],[ID]],Tabela1[],3,0)</f>
        <v>#N/A</v>
      </c>
      <c r="E302" s="127" t="str">
        <f>IFERROR(VLOOKUP(Tabela8[[#This Row],[ID]],Tabela1[],4,0),"")</f>
        <v/>
      </c>
      <c r="F302" s="127" t="str">
        <f>IFERROR(VLOOKUP(Tabela8[[#This Row],[ID]],Tabela1[],5,0),"")</f>
        <v/>
      </c>
      <c r="G302" s="127" t="str">
        <f>IFERROR(VLOOKUP(Tabela8[[#This Row],[ID]],Tabela1[],6,0),"")</f>
        <v/>
      </c>
      <c r="H302" s="127" t="str">
        <f>IFERROR(VLOOKUP(Tabela8[[#This Row],[ID]],Tabela1[],7,0),"")</f>
        <v/>
      </c>
      <c r="I302" s="126"/>
      <c r="J302" s="126"/>
      <c r="K302" s="129" t="str">
        <f>IFERROR(VLOOKUP(Tabela8[[#This Row],[ID]],Tabela7[],11,0),"")</f>
        <v/>
      </c>
      <c r="L302" s="130" t="e">
        <f>Tabela8[[#This Row],[Latas a Pagar]]*Tabela9[VALOR LATA]</f>
        <v>#VALUE!</v>
      </c>
    </row>
    <row r="303" spans="2:12" hidden="1" x14ac:dyDescent="0.3">
      <c r="B303" s="127">
        <f>VALUE('CONTROLE DE PRODUÇÃO'!B255)</f>
        <v>0</v>
      </c>
      <c r="C303" s="128" t="str">
        <f>IFERROR(VLOOKUP(Tabela8[[#This Row],[ID]],Tabela7[],2,0),"")</f>
        <v/>
      </c>
      <c r="D303" s="128" t="e">
        <f>VLOOKUP(Tabela8[[#This Row],[ID]],Tabela1[],3,0)</f>
        <v>#N/A</v>
      </c>
      <c r="E303" s="127" t="str">
        <f>IFERROR(VLOOKUP(Tabela8[[#This Row],[ID]],Tabela1[],4,0),"")</f>
        <v/>
      </c>
      <c r="F303" s="127" t="str">
        <f>IFERROR(VLOOKUP(Tabela8[[#This Row],[ID]],Tabela1[],5,0),"")</f>
        <v/>
      </c>
      <c r="G303" s="127" t="str">
        <f>IFERROR(VLOOKUP(Tabela8[[#This Row],[ID]],Tabela1[],6,0),"")</f>
        <v/>
      </c>
      <c r="H303" s="127" t="str">
        <f>IFERROR(VLOOKUP(Tabela8[[#This Row],[ID]],Tabela1[],7,0),"")</f>
        <v/>
      </c>
      <c r="I303" s="126"/>
      <c r="J303" s="126"/>
      <c r="K303" s="129" t="str">
        <f>IFERROR(VLOOKUP(Tabela8[[#This Row],[ID]],Tabela7[],11,0),"")</f>
        <v/>
      </c>
      <c r="L303" s="130" t="e">
        <f>Tabela8[[#This Row],[Latas a Pagar]]*Tabela9[VALOR LATA]</f>
        <v>#VALUE!</v>
      </c>
    </row>
    <row r="304" spans="2:12" hidden="1" x14ac:dyDescent="0.3">
      <c r="B304" s="127">
        <f>VALUE('CONTROLE DE PRODUÇÃO'!B256)</f>
        <v>0</v>
      </c>
      <c r="C304" s="128" t="str">
        <f>IFERROR(VLOOKUP(Tabela8[[#This Row],[ID]],Tabela7[],2,0),"")</f>
        <v/>
      </c>
      <c r="D304" s="128" t="e">
        <f>VLOOKUP(Tabela8[[#This Row],[ID]],Tabela1[],3,0)</f>
        <v>#N/A</v>
      </c>
      <c r="E304" s="127" t="str">
        <f>IFERROR(VLOOKUP(Tabela8[[#This Row],[ID]],Tabela1[],4,0),"")</f>
        <v/>
      </c>
      <c r="F304" s="127" t="str">
        <f>IFERROR(VLOOKUP(Tabela8[[#This Row],[ID]],Tabela1[],5,0),"")</f>
        <v/>
      </c>
      <c r="G304" s="127" t="str">
        <f>IFERROR(VLOOKUP(Tabela8[[#This Row],[ID]],Tabela1[],6,0),"")</f>
        <v/>
      </c>
      <c r="H304" s="127" t="str">
        <f>IFERROR(VLOOKUP(Tabela8[[#This Row],[ID]],Tabela1[],7,0),"")</f>
        <v/>
      </c>
      <c r="I304" s="126"/>
      <c r="J304" s="126"/>
      <c r="K304" s="129" t="str">
        <f>IFERROR(VLOOKUP(Tabela8[[#This Row],[ID]],Tabela7[],11,0),"")</f>
        <v/>
      </c>
      <c r="L304" s="130" t="e">
        <f>Tabela8[[#This Row],[Latas a Pagar]]*Tabela9[VALOR LATA]</f>
        <v>#VALUE!</v>
      </c>
    </row>
    <row r="305" spans="2:12" hidden="1" x14ac:dyDescent="0.3">
      <c r="B305" s="127">
        <f>VALUE('CONTROLE DE PRODUÇÃO'!B159)</f>
        <v>0</v>
      </c>
      <c r="C305" s="128" t="str">
        <f>IFERROR(VLOOKUP(Tabela8[[#This Row],[ID]],Tabela7[],2,0),"")</f>
        <v/>
      </c>
      <c r="D305" s="128" t="e">
        <f>VLOOKUP(Tabela8[[#This Row],[ID]],Tabela1[],3,0)</f>
        <v>#N/A</v>
      </c>
      <c r="E305" s="127" t="str">
        <f>IFERROR(VLOOKUP(Tabela8[[#This Row],[ID]],Tabela1[],4,0),"")</f>
        <v/>
      </c>
      <c r="F305" s="127" t="str">
        <f>IFERROR(VLOOKUP(Tabela8[[#This Row],[ID]],Tabela1[],5,0),"")</f>
        <v/>
      </c>
      <c r="G305" s="127" t="str">
        <f>IFERROR(VLOOKUP(Tabela8[[#This Row],[ID]],Tabela1[],6,0),"")</f>
        <v/>
      </c>
      <c r="H305" s="127" t="str">
        <f>IFERROR(VLOOKUP(Tabela8[[#This Row],[ID]],Tabela1[],7,0),"")</f>
        <v/>
      </c>
      <c r="I305" s="126"/>
      <c r="J305" s="126"/>
      <c r="K305" s="129" t="str">
        <f>IFERROR(VLOOKUP(Tabela8[[#This Row],[ID]],Tabela7[],11,0),"")</f>
        <v/>
      </c>
      <c r="L305" s="130" t="e">
        <f>Tabela8[[#This Row],[Latas a Pagar]]*Tabela9[VALOR LATA]</f>
        <v>#VALUE!</v>
      </c>
    </row>
    <row r="306" spans="2:12" hidden="1" x14ac:dyDescent="0.3">
      <c r="B306" s="127">
        <f>VALUE('CONTROLE DE PRODUÇÃO'!B160)</f>
        <v>0</v>
      </c>
      <c r="C306" s="128" t="str">
        <f>IFERROR(VLOOKUP(Tabela8[[#This Row],[ID]],Tabela7[],2,0),"")</f>
        <v/>
      </c>
      <c r="D306" s="128" t="e">
        <f>VLOOKUP(Tabela8[[#This Row],[ID]],Tabela1[],3,0)</f>
        <v>#N/A</v>
      </c>
      <c r="E306" s="127" t="str">
        <f>IFERROR(VLOOKUP(Tabela8[[#This Row],[ID]],Tabela1[],4,0),"")</f>
        <v/>
      </c>
      <c r="F306" s="127" t="str">
        <f>IFERROR(VLOOKUP(Tabela8[[#This Row],[ID]],Tabela1[],5,0),"")</f>
        <v/>
      </c>
      <c r="G306" s="127" t="str">
        <f>IFERROR(VLOOKUP(Tabela8[[#This Row],[ID]],Tabela1[],6,0),"")</f>
        <v/>
      </c>
      <c r="H306" s="127" t="str">
        <f>IFERROR(VLOOKUP(Tabela8[[#This Row],[ID]],Tabela1[],7,0),"")</f>
        <v/>
      </c>
      <c r="I306" s="126"/>
      <c r="J306" s="126"/>
      <c r="K306" s="129" t="str">
        <f>IFERROR(VLOOKUP(Tabela8[[#This Row],[ID]],Tabela7[],11,0),"")</f>
        <v/>
      </c>
      <c r="L306" s="130" t="e">
        <f>Tabela8[[#This Row],[Latas a Pagar]]*Tabela9[VALOR LATA]</f>
        <v>#VALUE!</v>
      </c>
    </row>
    <row r="307" spans="2:12" ht="19.5" hidden="1" customHeight="1" x14ac:dyDescent="0.3">
      <c r="B307" s="127">
        <f>VALUE('CONTROLE DE PRODUÇÃO'!B161)</f>
        <v>0</v>
      </c>
      <c r="C307" s="128" t="str">
        <f>IFERROR(VLOOKUP(Tabela8[[#This Row],[ID]],Tabela7[],2,0),"")</f>
        <v/>
      </c>
      <c r="D307" s="128" t="e">
        <f>VLOOKUP(Tabela8[[#This Row],[ID]],Tabela1[],3,0)</f>
        <v>#N/A</v>
      </c>
      <c r="E307" s="127" t="str">
        <f>IFERROR(VLOOKUP(Tabela8[[#This Row],[ID]],Tabela1[],4,0),"")</f>
        <v/>
      </c>
      <c r="F307" s="127" t="str">
        <f>IFERROR(VLOOKUP(Tabela8[[#This Row],[ID]],Tabela1[],5,0),"")</f>
        <v/>
      </c>
      <c r="G307" s="127" t="str">
        <f>IFERROR(VLOOKUP(Tabela8[[#This Row],[ID]],Tabela1[],6,0),"")</f>
        <v/>
      </c>
      <c r="H307" s="127" t="str">
        <f>IFERROR(VLOOKUP(Tabela8[[#This Row],[ID]],Tabela1[],7,0),"")</f>
        <v/>
      </c>
      <c r="I307" s="126"/>
      <c r="J307" s="126"/>
      <c r="K307" s="129" t="str">
        <f>IFERROR(VLOOKUP(Tabela8[[#This Row],[ID]],Tabela7[],11,0),"")</f>
        <v/>
      </c>
      <c r="L307" s="130" t="e">
        <f>Tabela8[[#This Row],[Latas a Pagar]]*Tabela9[VALOR LATA]</f>
        <v>#VALUE!</v>
      </c>
    </row>
    <row r="308" spans="2:12" hidden="1" x14ac:dyDescent="0.3">
      <c r="B308" s="127">
        <f>VALUE('CONTROLE DE PRODUÇÃO'!B162)</f>
        <v>0</v>
      </c>
      <c r="C308" s="128" t="str">
        <f>IFERROR(VLOOKUP(Tabela8[[#This Row],[ID]],Tabela7[],2,0),"")</f>
        <v/>
      </c>
      <c r="D308" s="128" t="e">
        <f>VLOOKUP(Tabela8[[#This Row],[ID]],Tabela1[],3,0)</f>
        <v>#N/A</v>
      </c>
      <c r="E308" s="127" t="str">
        <f>IFERROR(VLOOKUP(Tabela8[[#This Row],[ID]],Tabela1[],4,0),"")</f>
        <v/>
      </c>
      <c r="F308" s="127" t="str">
        <f>IFERROR(VLOOKUP(Tabela8[[#This Row],[ID]],Tabela1[],5,0),"")</f>
        <v/>
      </c>
      <c r="G308" s="127" t="str">
        <f>IFERROR(VLOOKUP(Tabela8[[#This Row],[ID]],Tabela1[],6,0),"")</f>
        <v/>
      </c>
      <c r="H308" s="127" t="str">
        <f>IFERROR(VLOOKUP(Tabela8[[#This Row],[ID]],Tabela1[],7,0),"")</f>
        <v/>
      </c>
      <c r="I308" s="126"/>
      <c r="J308" s="126"/>
      <c r="K308" s="129" t="str">
        <f>IFERROR(VLOOKUP(Tabela8[[#This Row],[ID]],Tabela7[],11,0),"")</f>
        <v/>
      </c>
      <c r="L308" s="130" t="e">
        <f>Tabela8[[#This Row],[Latas a Pagar]]*Tabela9[VALOR LATA]</f>
        <v>#VALUE!</v>
      </c>
    </row>
    <row r="309" spans="2:12" x14ac:dyDescent="0.3">
      <c r="B309" s="168"/>
      <c r="C309" s="169">
        <f>SUBTOTAL(103,Tabela8[COLABORADOR])</f>
        <v>7</v>
      </c>
      <c r="D309" s="169"/>
      <c r="E309" s="168"/>
      <c r="F309" s="168"/>
      <c r="G309" s="168"/>
      <c r="H309" s="168"/>
      <c r="I309" s="170"/>
      <c r="J309" s="170"/>
      <c r="K309" s="171">
        <f>SUBTOTAL(109,K4:K308)</f>
        <v>0</v>
      </c>
      <c r="L309" s="172" t="e">
        <f>SUBTOTAL(109,L4:L308)</f>
        <v>#VALUE!</v>
      </c>
    </row>
  </sheetData>
  <mergeCells count="2">
    <mergeCell ref="B1:L1"/>
    <mergeCell ref="B2:L2"/>
  </mergeCells>
  <dataValidations count="1">
    <dataValidation type="custom" allowBlank="1" showInputMessage="1" showErrorMessage="1" sqref="D4:D308" xr:uid="{00000000-0002-0000-0900-000000000000}">
      <formula1>"(000.000.000-00)"</formula1>
    </dataValidation>
  </dataValidations>
  <printOptions horizontalCentered="1"/>
  <pageMargins left="0.23622047244094491" right="0.23622047244094491" top="0.19685039370078741" bottom="0.19685039370078741" header="0.31496062992125984" footer="0.31496062992125984"/>
  <pageSetup paperSize="9" scale="53" fitToHeight="0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Apoio!$G$5:$G$9</xm:f>
          </x14:formula1>
          <xm:sqref>J4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3:G15"/>
  <sheetViews>
    <sheetView workbookViewId="0">
      <selection activeCell="F38" sqref="F38"/>
    </sheetView>
  </sheetViews>
  <sheetFormatPr defaultRowHeight="15" x14ac:dyDescent="0.25"/>
  <cols>
    <col min="1" max="1" width="20.5703125" customWidth="1"/>
    <col min="5" max="5" width="14.5703125" customWidth="1"/>
    <col min="7" max="7" width="14.5703125" customWidth="1"/>
  </cols>
  <sheetData>
    <row r="3" spans="1:7" x14ac:dyDescent="0.25">
      <c r="A3" t="s">
        <v>4950</v>
      </c>
      <c r="C3" t="s">
        <v>4951</v>
      </c>
      <c r="E3" t="s">
        <v>4952</v>
      </c>
    </row>
    <row r="4" spans="1:7" x14ac:dyDescent="0.25">
      <c r="A4" t="s">
        <v>9</v>
      </c>
      <c r="C4" t="s">
        <v>4953</v>
      </c>
      <c r="E4" s="104">
        <v>15</v>
      </c>
      <c r="G4" t="s">
        <v>4954</v>
      </c>
    </row>
    <row r="5" spans="1:7" x14ac:dyDescent="0.25">
      <c r="A5" t="s">
        <v>35</v>
      </c>
      <c r="C5" t="s">
        <v>4955</v>
      </c>
      <c r="G5" t="s">
        <v>4956</v>
      </c>
    </row>
    <row r="6" spans="1:7" x14ac:dyDescent="0.25">
      <c r="A6" t="s">
        <v>21</v>
      </c>
      <c r="G6" t="s">
        <v>4957</v>
      </c>
    </row>
    <row r="7" spans="1:7" x14ac:dyDescent="0.25">
      <c r="A7" t="s">
        <v>51</v>
      </c>
      <c r="G7" t="s">
        <v>4958</v>
      </c>
    </row>
    <row r="8" spans="1:7" x14ac:dyDescent="0.25">
      <c r="A8" t="s">
        <v>1964</v>
      </c>
      <c r="E8" t="s">
        <v>4959</v>
      </c>
      <c r="G8" t="s">
        <v>4960</v>
      </c>
    </row>
    <row r="9" spans="1:7" x14ac:dyDescent="0.25">
      <c r="G9" t="s">
        <v>4961</v>
      </c>
    </row>
    <row r="10" spans="1:7" x14ac:dyDescent="0.25">
      <c r="A10" t="s">
        <v>4946</v>
      </c>
      <c r="B10" t="s">
        <v>4954</v>
      </c>
      <c r="G10" t="s">
        <v>4962</v>
      </c>
    </row>
    <row r="11" spans="1:7" x14ac:dyDescent="0.25">
      <c r="A11" s="106" t="s">
        <v>4956</v>
      </c>
      <c r="B11" s="119">
        <f>'CONTROLE DE PRODUÇÃO'!L:L</f>
        <v>0</v>
      </c>
    </row>
    <row r="12" spans="1:7" x14ac:dyDescent="0.25">
      <c r="A12" s="107" t="s">
        <v>4957</v>
      </c>
      <c r="B12" s="106">
        <f>'CONTROLE DE PRODUÇÃO'!L:L</f>
        <v>0</v>
      </c>
    </row>
    <row r="13" spans="1:7" x14ac:dyDescent="0.25">
      <c r="A13" s="106" t="s">
        <v>4958</v>
      </c>
      <c r="B13" s="106">
        <f>'CONTROLE DE PRODUÇÃO'!L:L</f>
        <v>0</v>
      </c>
    </row>
    <row r="14" spans="1:7" x14ac:dyDescent="0.25">
      <c r="A14" s="107" t="s">
        <v>4960</v>
      </c>
      <c r="B14" s="106">
        <f>'CONTROLE DE PRODUÇÃO'!L:L</f>
        <v>0</v>
      </c>
    </row>
    <row r="15" spans="1:7" x14ac:dyDescent="0.25">
      <c r="A15" s="108" t="s">
        <v>4961</v>
      </c>
      <c r="B15" s="108">
        <f>'CONTROLE DE PRODUÇÃO'!L:L</f>
        <v>0</v>
      </c>
    </row>
  </sheetData>
  <pageMargins left="0.511811024" right="0.511811024" top="0.78740157499999996" bottom="0.78740157499999996" header="0.31496062000000002" footer="0.31496062000000002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7</vt:i4>
      </vt:variant>
    </vt:vector>
  </HeadingPairs>
  <TitlesOfParts>
    <vt:vector size="18" baseType="lpstr">
      <vt:lpstr>CADASTROS</vt:lpstr>
      <vt:lpstr>Planilha6</vt:lpstr>
      <vt:lpstr>PLANILHA_COLHEITA_DIÁRIA</vt:lpstr>
      <vt:lpstr>PLANILHA_PAGAMENTO_SEMANAL</vt:lpstr>
      <vt:lpstr>CX ECONÔMICA</vt:lpstr>
      <vt:lpstr>BRADESCO</vt:lpstr>
      <vt:lpstr>BANCO DO BRASIL</vt:lpstr>
      <vt:lpstr>CONTROLE DE PRODUÇÃO</vt:lpstr>
      <vt:lpstr>Planilha7</vt:lpstr>
      <vt:lpstr>FOLHA DE PAGAMENTO</vt:lpstr>
      <vt:lpstr>Apoio</vt:lpstr>
      <vt:lpstr>CADASTROS!Area_de_impressao</vt:lpstr>
      <vt:lpstr>'CONTROLE DE PRODUÇÃO'!Area_de_impressao</vt:lpstr>
      <vt:lpstr>'FOLHA DE PAGAMENTO'!Area_de_impressao</vt:lpstr>
      <vt:lpstr>PLANILHA_COLHEITA_DIÁRIA!Area_de_impressao</vt:lpstr>
      <vt:lpstr>PLANILHA_PAGAMENTO_SEMANAL!Area_de_impressao</vt:lpstr>
      <vt:lpstr>PLANILHA_PAGAMENTO_SEMANAL!Criterios</vt:lpstr>
      <vt:lpstr>'FOLHA DE PAGAMENTO'!Titulos_de_impressao</vt:lpstr>
    </vt:vector>
  </TitlesOfParts>
  <Manager/>
  <Company>Grizli777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paulo</dc:creator>
  <cp:keywords/>
  <dc:description/>
  <cp:lastModifiedBy>Lucas Rosa da Silva</cp:lastModifiedBy>
  <cp:revision/>
  <cp:lastPrinted>2026-01-29T19:55:02Z</cp:lastPrinted>
  <dcterms:created xsi:type="dcterms:W3CDTF">2017-10-06T14:44:09Z</dcterms:created>
  <dcterms:modified xsi:type="dcterms:W3CDTF">2026-05-31T16:29:24Z</dcterms:modified>
  <cp:category/>
  <cp:contentStatus/>
</cp:coreProperties>
</file>